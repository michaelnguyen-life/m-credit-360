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4be5367fea628ec/Documents/02. DU AN AI ^0 CONG NGHE/THUONG THUONG AI/32_HATTRICK/M_CREDIT_360/data_test/3. CTY KET CAU THEP MOCK AN DANH/2. Hoat dong/"/>
    </mc:Choice>
  </mc:AlternateContent>
  <xr:revisionPtr revIDLastSave="1" documentId="11_CD711B343193F985027D67BB9087E4BC7A694C54" xr6:coauthVersionLast="47" xr6:coauthVersionMax="47" xr10:uidLastSave="{B41B782A-A1FF-4CEC-8EAE-E67DD02CD0BA}"/>
  <bookViews>
    <workbookView xWindow="-103" yWindow="-103" windowWidth="19954" windowHeight="12652" xr2:uid="{00000000-000D-0000-FFFF-FFFF00000000}"/>
  </bookViews>
  <sheets>
    <sheet name="TỔNG HỢP CÔNG NỢ PHẢI TRẢ NHÀ " sheetId="1" r:id="rId1"/>
  </sheets>
  <externalReferences>
    <externalReference r:id="rId2"/>
  </externalReferences>
  <definedNames>
    <definedName name="_xlnm._FilterDatabase" localSheetId="0" hidden="1">'TỔNG HỢP CÔNG NỢ PHẢI TRẢ NHÀ '!$A$5:$I$161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" i="1" l="1"/>
  <c r="H161" i="1"/>
  <c r="D161" i="1"/>
  <c r="E160" i="1"/>
  <c r="E159" i="1"/>
  <c r="E158" i="1"/>
  <c r="E157" i="1"/>
  <c r="E156" i="1"/>
  <c r="E155" i="1"/>
  <c r="E154" i="1"/>
  <c r="E153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7" i="1"/>
  <c r="E6" i="1"/>
  <c r="E161" i="1" l="1"/>
</calcChain>
</file>

<file path=xl/sharedStrings.xml><?xml version="1.0" encoding="utf-8"?>
<sst xmlns="http://schemas.openxmlformats.org/spreadsheetml/2006/main" count="480" uniqueCount="319">
  <si>
    <t>TỔNG HỢP CÔNG NỢ PHẢI TRẢ NHÀ CUNG CẤP</t>
  </si>
  <si>
    <t>Tài khoản: 331, Loại tiền: VND, Năm 2025</t>
  </si>
  <si>
    <t>Mã nhà cung cấp</t>
  </si>
  <si>
    <t>Tên nhà cung cấp</t>
  </si>
  <si>
    <t>TK Công nợ</t>
  </si>
  <si>
    <t>Số dư đầu kỳ</t>
  </si>
  <si>
    <t>Phát sinh</t>
  </si>
  <si>
    <t>Số dư cuối kỳ</t>
  </si>
  <si>
    <t>Nợ</t>
  </si>
  <si>
    <t>Có</t>
  </si>
  <si>
    <t>2995342</t>
  </si>
  <si>
    <t>Hải quan của khẩu cảng sài gòn khu vực 1</t>
  </si>
  <si>
    <t>331</t>
  </si>
  <si>
    <t>AIG Việt Nam - Chi Nhánh TP Hồ Chí Minh</t>
  </si>
  <si>
    <t>Công ty TNHH Bảo Hiểm AIG Việt Nam - Chi Nhánh Thành phố Hồ Chí Minh</t>
  </si>
  <si>
    <t>ALPHAFASTENER</t>
  </si>
  <si>
    <t>CÔNG TY CỔ PHẦN ALPHA FASTENER</t>
  </si>
  <si>
    <t>An Toàn</t>
  </si>
  <si>
    <t>CÔNG TY CỔ PHẦN CHỨNG SỐ AN TOÀN</t>
  </si>
  <si>
    <t>BÁNH KẸO HỶ LÂM MÔN</t>
  </si>
  <si>
    <t>CÔNG TY TNHH SẢN XUẤT THƯƠNG MẠI DỊCH VỤ BÁNH KẸO HỶ LÂM MÔN</t>
  </si>
  <si>
    <t>BẢO VIỆT THÀNH PHỐ HỒ CHÍ MINH</t>
  </si>
  <si>
    <t>CTY BẢO VIỆT THÀNH PHỐ HỒ CHÍ MINH</t>
  </si>
  <si>
    <t>BASE ENTERPRISE</t>
  </si>
  <si>
    <t>CÔNG TY CỔ PHẦN BASE ENTERPRISE</t>
  </si>
  <si>
    <t>BCAR AUTO</t>
  </si>
  <si>
    <t>CÔNG TY CỔ PHẦN THƯƠNG MẠI DỊCH VỤ XUẤT NHẬP KHẨU PHỤ TÙNG Ô TÔ BCAR AUTO</t>
  </si>
  <si>
    <t>Be</t>
  </si>
  <si>
    <t>CÔNG TY CỔ PHẦN BE GROUP</t>
  </si>
  <si>
    <t>BENTHANH</t>
  </si>
  <si>
    <t>CÔNG TY CỔ PHẦN DỊCH VỤ DU LỊCH BẾN THÀNH</t>
  </si>
  <si>
    <t>BFC</t>
  </si>
  <si>
    <t>CÔNG TY TNHH KỸ THUẬT VÀ THƯƠNG MẠI B.F.C</t>
  </si>
  <si>
    <t>BHLĐ Sài Gòn</t>
  </si>
  <si>
    <t>CÔNG TY TNHH SẢN XUẤT THƯƠNG MẠI DỊCH VỤ BẢO HỘ LAO ĐỘNG SÀI GÒN</t>
  </si>
  <si>
    <t>BUREAU VERITAS VIỆT NAM</t>
  </si>
  <si>
    <t>CÔNG TY TNHH BUREAU VERITAS VIỆT NAM</t>
  </si>
  <si>
    <t>BUTRACO VIỆT NAM</t>
  </si>
  <si>
    <t>CÔNG TY TNHH BUTRACO VIỆT NAM</t>
  </si>
  <si>
    <t>CÁCH NHIỆT HÀ BẮC</t>
  </si>
  <si>
    <t>CÔNG TY TNHH CÁCH NHIỆT HÀ BẮC</t>
  </si>
  <si>
    <t>CẢNG PHƯỚC AN</t>
  </si>
  <si>
    <t>CÔNG TY CỔ PHẦN DẦU KHÍ ĐẦU TƯ KHAI THÁC CẢNG PHƯỚC AN</t>
  </si>
  <si>
    <t>CAREERVIET</t>
  </si>
  <si>
    <t>CÔNG TY CỔ PHẦN GIẢI PHÁP CAREERVIET</t>
  </si>
  <si>
    <t>CÁT TƯỜNG</t>
  </si>
  <si>
    <t>CÔNG TY CỔ PHẦN SẢN XUẤT VẬT LIỆU CÁCH ÂM - CÁCH NHIỆT CÁT TƯỜNG</t>
  </si>
  <si>
    <t>CHẾ TẠO MÁY DŨNG SƠN</t>
  </si>
  <si>
    <t>CÔNG TY TNHH XÂY DỰNG CƠ KHÍ VÀ CHẾ TẠO MÁY DŨNG SƠN</t>
  </si>
  <si>
    <t>CHÍ THÀNH</t>
  </si>
  <si>
    <t>CÔNG TY TNHH VĂN PHÒNG PHẨM CHÍ THÀNH</t>
  </si>
  <si>
    <t>CHUNGNHANQUOCTE</t>
  </si>
  <si>
    <t>CÔNG TY CỔ PHẦN CHỨNG NHẬN QUỐC TẾ</t>
  </si>
  <si>
    <t>CNTHEGIOIDIDONG04</t>
  </si>
  <si>
    <t>CHI NHÁNH CÔNG TY CỔ PHẦN THẾ GIỚI DI ĐỘNG</t>
  </si>
  <si>
    <t>CÔNG NGHỆ DGA</t>
  </si>
  <si>
    <t>CÔNG TY TNHH THƯƠNG MẠI DỊCH VỤ CÔNG NGHỆ DGA</t>
  </si>
  <si>
    <t>CÔNG NGHỆ ĐÔNG NAM</t>
  </si>
  <si>
    <t>CÔNG TY TNHH THƯƠNG MẠI CÔNG NGHỆ ĐÔNG NAM</t>
  </si>
  <si>
    <t>CÔNG NGHỆ GEEKTEK</t>
  </si>
  <si>
    <t>CÔNG TY CỔ PHẦN ĐẦU TƯ CÔNG NGHỆ GEEKTEK</t>
  </si>
  <si>
    <t>CÔNG NGHỆ ISTAR</t>
  </si>
  <si>
    <t>CÔNG TY TNHH CÔNG NGHỆ ISTAR</t>
  </si>
  <si>
    <t>CÔNG NGHỆ MAI TRUNG</t>
  </si>
  <si>
    <t>CÔNG TY TNHH THƯƠNG MẠI DỊCH VỤ CÔNG NGHỆ MAI TRUNG</t>
  </si>
  <si>
    <t>CÔNG NGHỆ SỐ GIA LONG</t>
  </si>
  <si>
    <t>CÔNG TY TNHH THƯƠNG MẠI DỊCH VỤ CÔNG NGHỆ SỐ GIA LONG</t>
  </si>
  <si>
    <t>Công Nghệ Thái Sơn</t>
  </si>
  <si>
    <t>Công Ty TNHH Phát Triển Công Nghệ Thái Sơn</t>
  </si>
  <si>
    <t>CÔNG NGHIỆP THÀNH CÔNG</t>
  </si>
  <si>
    <t>CÔNG TY TNHH MTV VẬT TƯ CÔNG NGHIỆP THÀNH CÔNG</t>
  </si>
  <si>
    <t>Cường Thịnh</t>
  </si>
  <si>
    <t>CÔNG TY CỔ PHẦN CÔNG NGHIỆP VÀ THƯƠNG MẠI CƯỜNG THỊNH</t>
  </si>
  <si>
    <t>Đại Hải Bình Dương</t>
  </si>
  <si>
    <t>Công Ty Trách Nhiệm Hữu Hạn Một Thành Viên Thương Mại Và Dịch Vụ Đại Hải Bình Dương</t>
  </si>
  <si>
    <t>ĐẠI TOÀN THẮNG</t>
  </si>
  <si>
    <t>CÔNG TY TNHH MTV ĐẦU TƯ ĐẠI TOÀN THẮNG</t>
  </si>
  <si>
    <t>DHL</t>
  </si>
  <si>
    <t>CÔNG TY TNHH CHUYỂN PHÁT NHANH DHL - VNPT</t>
  </si>
  <si>
    <t>DỊCH VỤ BẢO VỆ LONGSEA</t>
  </si>
  <si>
    <t>CÔNG TY CỔ PHẦN DỊCH VỤ BẢO VỆ LONGSEA</t>
  </si>
  <si>
    <t>DỊCH VỤ DHD VIỆT NAM</t>
  </si>
  <si>
    <t>CÔNG TY CỔ PHẦN XÂY DỰNG VÀ DỊCH VỤ DHD VIỆT NAM</t>
  </si>
  <si>
    <t>DỊCH VỤ THỬ KHÔNG PHÁ HỦY Q.I.S</t>
  </si>
  <si>
    <t>CÔNG TY TRÁCH NHIỆM HỮU HẠN DỊCH VỤ THỬ KHÔNG PHÁ HỦY Q.I.S</t>
  </si>
  <si>
    <t>DIENCUONGTHING</t>
  </si>
  <si>
    <t>CÔNG TY TNHH XÂY LẮP ĐIỆN CƯỜNG THỊNH</t>
  </si>
  <si>
    <t>ĐIỆP MINH THIỆN</t>
  </si>
  <si>
    <t>CÔNG TY TNHH SẢN XUẤT THƯƠNG MẠI NỘI THẤT ĐIỆP MINH THIỆN</t>
  </si>
  <si>
    <t>Diệu Phúc</t>
  </si>
  <si>
    <t>CÔNG TY TNHH THƯƠNG MẠI VÀ DỊCH VỤ KỸ THUẬT DIỆU PHÚC</t>
  </si>
  <si>
    <t>DO BUILDING</t>
  </si>
  <si>
    <t>CÔNG TY TNHH XÂY DỰNG VÀ THƯƠNG MẠI DO BUILDING</t>
  </si>
  <si>
    <t>ĐO LƯỜNG SÀI GÒN</t>
  </si>
  <si>
    <t>CÔNG TY CỔ PHẦN CÔNG NGHỆ ĐO LƯỜNG SÀI GÒN</t>
  </si>
  <si>
    <t>ĐỨC HIỆP</t>
  </si>
  <si>
    <t>CÔNG TY TNHH CƠ KHÍ ĐỨC HIỆP</t>
  </si>
  <si>
    <t>ĐỨC MINH KHÔI</t>
  </si>
  <si>
    <t>CÔNG TY TNHH ĐỨC MINH KHÔI</t>
  </si>
  <si>
    <t>FURICCO VIỆT NAM</t>
  </si>
  <si>
    <t>CÔNG TY CỔ PHẦN FURICCO VIỆT NAM</t>
  </si>
  <si>
    <t>GIAO NHẬN KHẢI HOÀN</t>
  </si>
  <si>
    <t>CÔNG TY CỔ PHẦN GIAO NHẬN KHẢI HOÀN</t>
  </si>
  <si>
    <t>GIGA GIFT</t>
  </si>
  <si>
    <t>CÔNG TY TNHH GIGA GIFT</t>
  </si>
  <si>
    <t>GOLD GARMENT</t>
  </si>
  <si>
    <t>CÔNG TY CỔ PHẦN GOLD GARMENT</t>
  </si>
  <si>
    <t>GỖ VŨ THỊNH</t>
  </si>
  <si>
    <t>CÔNG TY TNHH GỖ VŨ THỊNH</t>
  </si>
  <si>
    <t>HÀNG HẢI NHẬT MINH</t>
  </si>
  <si>
    <t>CÔNG TY TNHH DỊCH VỤ KỸ THUẬT HÀNG HẢI NHẬT MINH</t>
  </si>
  <si>
    <t>HÀNG HÓA THỜI GIAN</t>
  </si>
  <si>
    <t>CÔNG TY TNHH DỊCH VỤ GIAO NHẬN HÀNG HÓA THỜI GIAN</t>
  </si>
  <si>
    <t>HILSET VIỆT NAM</t>
  </si>
  <si>
    <t>CÔNG TY TNHH HILSET VIỆT NAM</t>
  </si>
  <si>
    <t>HILTI VIỆT NAM</t>
  </si>
  <si>
    <t>CÔNG TY TNHH HILTI VIỆT NAM</t>
  </si>
  <si>
    <t>HO0028</t>
  </si>
  <si>
    <t>Đỗ Khắc Hiếu</t>
  </si>
  <si>
    <t>HOACHATTHANHCONG</t>
  </si>
  <si>
    <t>CÔNG TY TNHH ĐẦU TƯ HÓA CHẤT THÀNH CÔNG</t>
  </si>
  <si>
    <t>HOANGLONG</t>
  </si>
  <si>
    <t>CÔNG TY TNHH SẢN XUẤT THƯƠNG MẠI DÂY ĐAI HOÀNG LONG</t>
  </si>
  <si>
    <t>HOÀNG NGUYỄN</t>
  </si>
  <si>
    <t>CÔNG TY TNHH CÔNG NGHỆ HOÀNG NGUYỄN</t>
  </si>
  <si>
    <t>HOÀNG PHÁT</t>
  </si>
  <si>
    <t>CÔNG TY TNHH SẢN XUẤT THƯƠNG MẠI VÀ DỊCH VỤ NỘI THẤT HOÀNG PHÁT</t>
  </si>
  <si>
    <t>In Ấn</t>
  </si>
  <si>
    <t>CÔNG TY TNHH MỘT THÀNH VIÊN THẾ GIỚI IN ẤN</t>
  </si>
  <si>
    <t>IN ẤN MINH KHANG</t>
  </si>
  <si>
    <t>CÔNG TY TNHH THIẾT KẾ - IN ẤN MINH KHANG</t>
  </si>
  <si>
    <t>INTERTEK VIỆT NAM</t>
  </si>
  <si>
    <t>CÔNG TY TNHH INTERTEK VIỆT NAM</t>
  </si>
  <si>
    <t>IPC SÀI GÒN</t>
  </si>
  <si>
    <t>CÔNG TY TNHH THÉP IPC SÀI GÒN</t>
  </si>
  <si>
    <t>JOTUN</t>
  </si>
  <si>
    <t>CÔNG TY TNHH SƠN JOTUN VIỆT NAM</t>
  </si>
  <si>
    <t>KANGAROO QUỐC TẾ - CHI NHÁNH MIỀN NAM</t>
  </si>
  <si>
    <t>CÔNG TY CỔ PHẦN LIÊN DOANH KANGAROO QUỐC TẾ - CHI NHÁNH MIỀN NAM</t>
  </si>
  <si>
    <t>KBE VIỆT NAM</t>
  </si>
  <si>
    <t>CÔNG TY TNHH KBE VIỆT NAM</t>
  </si>
  <si>
    <t>KỆ SẮT DUY TÂM</t>
  </si>
  <si>
    <t>CÔNG TY TNHH KỆ SẮT DUY TÂM</t>
  </si>
  <si>
    <t>KHẮC DẤU SAO VIỆT</t>
  </si>
  <si>
    <t>CÔNG TY TNHH MỘT THÀNH VIÊN DỊCH VỤ KHẮC DẤU SAO VIỆT</t>
  </si>
  <si>
    <t>Khương Thành</t>
  </si>
  <si>
    <t>CÔNG TY TNHH KẾT CẤU THÉP KHƯƠNG THÀNH</t>
  </si>
  <si>
    <t>KIÊN HOÀNG</t>
  </si>
  <si>
    <t>CÔNG TY TNHH XUẤT NHẬP KHẨU THƯƠNG MẠI KIÊN HOÀNG</t>
  </si>
  <si>
    <t>KVN</t>
  </si>
  <si>
    <t>CÔNG TY TNHH DỊCH VỤ &amp; GIẢI PHÁP KVN</t>
  </si>
  <si>
    <t>Lam Hồng</t>
  </si>
  <si>
    <t>CÔNG TY TNHH THƯƠNG MẠI LAM HỒNG</t>
  </si>
  <si>
    <t>LINKI VIỆT NAM</t>
  </si>
  <si>
    <t>CÔNG TY TNHH LINKI VIỆT NAM</t>
  </si>
  <si>
    <t>LONG TRUNG PHÁT</t>
  </si>
  <si>
    <t>CÔNG TY TNHH THƯƠNG MẠI DỊCH VỤ LONG TRUNG PHÁT</t>
  </si>
  <si>
    <t>LOTALUX</t>
  </si>
  <si>
    <t>CÔNG TY TNHH LOTALUX</t>
  </si>
  <si>
    <t>MAISON LUXURY</t>
  </si>
  <si>
    <t>CÔNG TY CỔ PHẦN GIẢI PHÁP QUÀ TẶNG MAISON LUXURY</t>
  </si>
  <si>
    <t>Minh Khôi</t>
  </si>
  <si>
    <t>CÔNG TY TNHH SẢN XUẤT THƯƠNG MẠI VÀ KỸ THUẬT MINH KHÔI</t>
  </si>
  <si>
    <t>MISA</t>
  </si>
  <si>
    <t>CÔNG TY CỔ PHẦN MISA</t>
  </si>
  <si>
    <t>NAM VIỆT</t>
  </si>
  <si>
    <t>CÔNG TY TNHH THƯƠNG MẠI DỊCH VỤ SẢN XUẤT NHỰA NAM VIỆT</t>
  </si>
  <si>
    <t>Navigos</t>
  </si>
  <si>
    <t>CÔNG TY CỔ PHẦN NAVIGOS GROUP VIỆT NAM</t>
  </si>
  <si>
    <t>NHẬP KHẨU HABICO</t>
  </si>
  <si>
    <t>CÔNG TY TNHH SẢN XUẤT XUẤT NHẬP KHẨU HABICO</t>
  </si>
  <si>
    <t>NIPPOVINA</t>
  </si>
  <si>
    <t>CÔNG TY TNHH NIPPOVINA</t>
  </si>
  <si>
    <t>NIPPOVINA TẠI TIỀN GIANG</t>
  </si>
  <si>
    <t>CHI NHÁNH CÔNG TY TNHH NIPPOVINA TẠI TIỀN GIANG</t>
  </si>
  <si>
    <t>NV002</t>
  </si>
  <si>
    <t>Nguyễn Văn Steeltech</t>
  </si>
  <si>
    <t>NV010</t>
  </si>
  <si>
    <t>Hà Thị Kim Kha</t>
  </si>
  <si>
    <t>NV011</t>
  </si>
  <si>
    <t>Hoàng Thế Mạnh</t>
  </si>
  <si>
    <t>NV029</t>
  </si>
  <si>
    <t>Lê Thị Thoa</t>
  </si>
  <si>
    <t>NV033</t>
  </si>
  <si>
    <t>Ô TÔ MINH PHƯƠNG</t>
  </si>
  <si>
    <t>CÔNG TY TNHH Ô TÔ MINH PHƯƠNG</t>
  </si>
  <si>
    <t>OTOVINHCUU</t>
  </si>
  <si>
    <t>CÔNG TY TNHH Ô TÔ VĨNH CỬU</t>
  </si>
  <si>
    <t>PG</t>
  </si>
  <si>
    <t>CÔNG TY TNHH THƯƠNG MẠI DỊCH VỤ PG</t>
  </si>
  <si>
    <t>PHAN TRUNG ĐỨC</t>
  </si>
  <si>
    <t>PHÚC THỊNH</t>
  </si>
  <si>
    <t>CÔNG TY TNHH THƯƠNG MẠI - DỊCH VỤ P.T PHÚC THỊNH</t>
  </si>
  <si>
    <t>PHƯƠNG KHANG COMPUTER</t>
  </si>
  <si>
    <t>CÔNG TY TNHH PHƯƠNG KHANG COMPUTER</t>
  </si>
  <si>
    <t>PHUONGNAMTOUR</t>
  </si>
  <si>
    <t>CÔNG TY TNHH PHƯƠNG NAM TOUR AND TRAVEL</t>
  </si>
  <si>
    <t>PHƯƠNG NAM TOURISM</t>
  </si>
  <si>
    <t>CÔNG TY TNHH PHƯƠNG NAM TOURISM</t>
  </si>
  <si>
    <t>PHÚ QUANG</t>
  </si>
  <si>
    <t>CÔNG TY TNHH KỸ THUẬT SỐ PHÚ QUANG</t>
  </si>
  <si>
    <t>QH PLUS</t>
  </si>
  <si>
    <t>CÔNG TY CỔ PHẦN QH PLUS</t>
  </si>
  <si>
    <t>QUẢNG CÁO VHV</t>
  </si>
  <si>
    <t>CÔNG TY TRÁCH NHIỆM HỮU HẠN THƯƠNG MẠI DỊCH VỤ QUẢNG CÁO VHV</t>
  </si>
  <si>
    <t>SẢN XUẤT HOÀNG CƯ</t>
  </si>
  <si>
    <t>CÔNG TY TNHH THƯƠNG MẠI DỊCH VỤ SẢN XUẤT HOÀNG CƯ</t>
  </si>
  <si>
    <t>SẢN XUẤT STEELTECH</t>
  </si>
  <si>
    <t>CÔNG TY TNHH SẢN XUẤT STEELTECH</t>
  </si>
  <si>
    <t>SẢN XUẤT THƯƠNG MẠI DỊCH VỤ COSACO</t>
  </si>
  <si>
    <t>CÔNG TY TRÁCH NHIỆM HỮU HẠN  SẢN XUẤT THƯƠNG MẠI DỊCH VỤ COSACO</t>
  </si>
  <si>
    <t>SIÊU TỐC</t>
  </si>
  <si>
    <t>CÔNG TY TNHH SIÊU TỐC</t>
  </si>
  <si>
    <t>Siêu Việt</t>
  </si>
  <si>
    <t>CÔNG TY TNHH  IN ẤN THIẾT KẾ SIÊU VIỆT</t>
  </si>
  <si>
    <t>SONG TẠO</t>
  </si>
  <si>
    <t>CÔNG TY TNHH SONG TẠO</t>
  </si>
  <si>
    <t>SƠN KANSAI VIỆT NAM</t>
  </si>
  <si>
    <t>CHI NHÁNH MIỀN NAM - CÔNG TY TNHH SƠN KANSAI VIỆT NAM</t>
  </si>
  <si>
    <t>STANDARD CHARTERED (VIỆT NAM)</t>
  </si>
  <si>
    <t>NGÂN HÀNG TNHH MỘT THÀNH VIÊN STANDARD CHARTERED (VIỆT NAM)</t>
  </si>
  <si>
    <t>TACA VIỆT NAM</t>
  </si>
  <si>
    <t>CÔNG TY CỔ PHẦN TACA VIỆT NAM</t>
  </si>
  <si>
    <t>TÀI LỘC WINDOW</t>
  </si>
  <si>
    <t>CÔNG TY TNHH TÀI LỘC WINDOW</t>
  </si>
  <si>
    <t>Tân Mỹ Hạnh</t>
  </si>
  <si>
    <t>CÔNG TY TNHH TÂN MỸ  HẠNH</t>
  </si>
  <si>
    <t>THAI VAN CHI</t>
  </si>
  <si>
    <t>THẨM ĐỊNH GIÁ TNS VALUE</t>
  </si>
  <si>
    <t>CÔNG TY CỔ PHẦN THẨM ĐỊNH GIÁ TNS VALUE</t>
  </si>
  <si>
    <t>Thanh Huyền</t>
  </si>
  <si>
    <t>CÔNG TY TNHH MTV SẢN XUẤT THƯƠNG MẠI DỊCH VỤ THANH HUYỀN</t>
  </si>
  <si>
    <t>THANH PHÁT</t>
  </si>
  <si>
    <t>CÔNG TY CỔ PHẦN THƯƠNG MẠI DỊCH VỤ KỸ THUẬT THANH PHÁT</t>
  </si>
  <si>
    <t>THEGIOITOANCAU</t>
  </si>
  <si>
    <t>CÔNG TY CỔ PHẦN GIAO NHẬN THẾ GIỚI TOÀN CẦU</t>
  </si>
  <si>
    <t>THẾ GIỚI TÚI VẢI</t>
  </si>
  <si>
    <t>CÔNG TY CỔ PHẦN THẾ GIỚI TÚI VẢI</t>
  </si>
  <si>
    <t>THÉP CƯỜNG LÂM</t>
  </si>
  <si>
    <t>CÔNG TY TNHH THƯƠNG MẠI THÉP CƯỜNG LÂM</t>
  </si>
  <si>
    <t>THÉP KHÔNG GỈ VẠN LỢI</t>
  </si>
  <si>
    <t>CÔNG TY TNHH THƯƠNG MẠI DỊCH VỤ THÉP KHÔNG GỈ VẠN LỢI</t>
  </si>
  <si>
    <t>THÉP KIM NAM</t>
  </si>
  <si>
    <t>CÔNG TY TNHH XNK THÉP KIM NAM</t>
  </si>
  <si>
    <t>THÉP QUỐC THANH</t>
  </si>
  <si>
    <t>CÔNG TY TNHH THÉP QUỐC THANH</t>
  </si>
  <si>
    <t>THÉP SÔNG HỒNG HÀ</t>
  </si>
  <si>
    <t>CÔNG TY TNHH VẬT LIỆU XÂY DỰNG THÉP SÔNG HỒNG HÀ</t>
  </si>
  <si>
    <t>THEPTHIENLONG</t>
  </si>
  <si>
    <t>CÔNG TY TNHH DỊCH VỤ - THƯƠNG MẠI THÉP THIÊN LONG</t>
  </si>
  <si>
    <t>THÉP TOÀN THẮNG</t>
  </si>
  <si>
    <t>CÔNG TY TNHH THƯƠNG MẠI THÉP TOÀN THẮNG</t>
  </si>
  <si>
    <t>THIÊN ÂN</t>
  </si>
  <si>
    <t>CÔNG TY TRÁCH NHIỆM HỮU HẠN THIẾT BỊ TIN HỌC THIÊN ÂN</t>
  </si>
  <si>
    <t>THIẾT BỊ XÂY DỰNG QUANG MINH HƯNG</t>
  </si>
  <si>
    <t>CÔNG TY TNHH THIẾT BỊ XÂY DỰNG QUANG MINH HƯNG</t>
  </si>
  <si>
    <t>THIẾT KẾ VÀ XÂY DỰNG HẢI PHONG</t>
  </si>
  <si>
    <t>CÔNG TY TNHH TƯ VẤN THIẾT KẾ VÀ XÂY DỰNG HẢI PHONG</t>
  </si>
  <si>
    <t>THỢ VIỆT</t>
  </si>
  <si>
    <t>CÔNG TY TNHH DỊCH VỤ KỸ THUẬT THỢ VIỆT</t>
  </si>
  <si>
    <t>THỬ NGHIỆM VŨNG TÀU</t>
  </si>
  <si>
    <t>CÔNG TY CỔ PHẦN DỊCH VỤ GIA CÔNG VÀ THỬ NGHIỆM VŨNG TÀU</t>
  </si>
  <si>
    <t>THƯƠNG MẠI &amp; DỊCH VỤ HOÀI</t>
  </si>
  <si>
    <t>CÔNG TY CỔ PHẦN THƯƠNG MẠI &amp; DỊCH VỤ HOÀI</t>
  </si>
  <si>
    <t>THƯƠNG MẠI KK</t>
  </si>
  <si>
    <t>CÔNG TY TNHH CÔNG NGHỆ THƯƠNG MẠI KK</t>
  </si>
  <si>
    <t>THƯƠNG MẠI NAM VIỆT</t>
  </si>
  <si>
    <t>CÔNG TY CỔ PHẦN ĐẦU TƯ VÀ DỊCH VỤ THƯƠNG MẠI NAM VIỆT</t>
  </si>
  <si>
    <t>Tiến Thành</t>
  </si>
  <si>
    <t>CÔNG TY TNHH SẢN XUẤT THƯƠNG MẠI PHÁT TRIỂN TIẾN THÀNH</t>
  </si>
  <si>
    <t>TM DV PHÁT ĐẠT</t>
  </si>
  <si>
    <t>CÔNG TY TNHH XUẤT NHẬP KHẨU TM DV PHÁT ĐẠT</t>
  </si>
  <si>
    <t>TMDV THÀNH NAM</t>
  </si>
  <si>
    <t>CÔNG TY TNHH CƠ KHÍ XÂY DỰNG VÀ TMDV THÀNH NAM</t>
  </si>
  <si>
    <t>TOÀN CẦU LOGISTICS VINA</t>
  </si>
  <si>
    <t>CÔNG TY TNHH ETS TOÀN CẦU LOGISTICS VINA</t>
  </si>
  <si>
    <t>TOÀN THẮNG - LA</t>
  </si>
  <si>
    <t>CÔNG TY CỔ PHẦN THÉP TOÀN THẮNG - LA</t>
  </si>
  <si>
    <t>TONGCTYVIETTEL</t>
  </si>
  <si>
    <t>TỔNG CÔNG TY CỔ PHẦN BƯU CHÍNH VIETTEL</t>
  </si>
  <si>
    <t>Toyota Đông Sài Gòn</t>
  </si>
  <si>
    <t>CÔNG TY CỔ PHẦN TOYOTA ĐÔNG SÀI GÒN</t>
  </si>
  <si>
    <t>TRINH THI DUNG</t>
  </si>
  <si>
    <t>TRỊNH THỊ DUNG</t>
  </si>
  <si>
    <t>TRUNGNGUYEN</t>
  </si>
  <si>
    <t>CÔNG TY CỔ PHẦN TRUNG NGUYÊN FRANCHISING</t>
  </si>
  <si>
    <t>TRƯỜNG PHÚC</t>
  </si>
  <si>
    <t>CÔNG TY TNHH SẢN XUẤT THƯƠNG MẠI TRƯỜNG PHÚC</t>
  </si>
  <si>
    <t>TUỆ LINH</t>
  </si>
  <si>
    <t>CÔNG TY TNHH SX - TM - DV TUỆ LINH</t>
  </si>
  <si>
    <t>TUV NORD VIỆT NAM</t>
  </si>
  <si>
    <t>CHI NHÁNH CÔNG TY TNHH TUV NORD VIỆT NAM</t>
  </si>
  <si>
    <t>Vân Phát</t>
  </si>
  <si>
    <t>CÔNG TY TNHH GIAO NHẬN VẬN TẢI VÂN PHÁT</t>
  </si>
  <si>
    <t>VẬN TẢI BIỂN NM</t>
  </si>
  <si>
    <t>CÔNG TY TNHH VẬN TẢI BIỂN NM</t>
  </si>
  <si>
    <t>VẬN TẢI KẾT NỐI TOÀN CẦU</t>
  </si>
  <si>
    <t>CÔNG TY CỔ PHẦN GIAO NHẬN VẬN TẢI KẾT NỐI TOÀN CẦU</t>
  </si>
  <si>
    <t>VICTORIA HEALTHCARE</t>
  </si>
  <si>
    <t>CÔNG TY CỔ PHẦN PHÁT TRIỂN Y TẾ VICTORIA HEALTHCARE</t>
  </si>
  <si>
    <t>Vietin Quản lý nợ</t>
  </si>
  <si>
    <t>CÔNG TY TNHH MỘT THÀNH VIÊN QUẢN LÝ NỢ VÀ KHAI THÁC TÀI SẢN NGÂN HÀNG THƯƠNG MẠI CỔ PHẦN CÔNG THƯƠNG VIỆT NAM</t>
  </si>
  <si>
    <t>Việt Tiến Phát</t>
  </si>
  <si>
    <t>Công Ty TNHH Đầu Tư Thương Mại Dịch Vụ Việt Tiến Phát</t>
  </si>
  <si>
    <t>VIỆT TỨ HẢI</t>
  </si>
  <si>
    <t>CÔNG TY TNHH THƯƠNG MẠI - DỊCH VỤ VIỆT TỨ HẢI</t>
  </si>
  <si>
    <t>VISTA TRAVEL &amp; EVENT</t>
  </si>
  <si>
    <t>CÔNG TY CỔ PHẦN VISTA TRAVEL &amp; EVENT</t>
  </si>
  <si>
    <t>VPP HOÀNG NAM</t>
  </si>
  <si>
    <t>CÔNG TY TNHH THƯƠNG MẠI - DỊCH VỤ VPP HOÀNG NAM</t>
  </si>
  <si>
    <t>WUA DESIGN</t>
  </si>
  <si>
    <t>CÔNG TY TNHH TƯ VẤN THIẾT KẾ THI CÔNG WUA DESIGN</t>
  </si>
  <si>
    <t>XÂY DỰNG AVA</t>
  </si>
  <si>
    <t>CÔNG TY TNHH KIẾN TRÚC XÂY DỰNG AVA</t>
  </si>
  <si>
    <t>Xây Dựng Sài Gòn</t>
  </si>
  <si>
    <t>CÔNG TY CỔ PHẦN KIỂM ĐỊNH CÔNG TRÌNH XÂY DỰNG SÀI GÒN</t>
  </si>
  <si>
    <t>XÂY DỰNG TÍN PHÁT</t>
  </si>
  <si>
    <t>CÔNG TY TNHH ĐẦU TƯ VÀ XÂY DỰNG TÍN PHÁT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</si>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</sst>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37" fontId="3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31%20theo%20Khach%20hang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11"/>
      <sheetName val="3312"/>
    </sheetNames>
    <sheetDataSet>
      <sheetData sheetId="0">
        <row r="6">
          <cell r="B6" t="str">
            <v>Hải quan của khẩu cảng sài gòn khu vực 1</v>
          </cell>
          <cell r="C6" t="str">
            <v>3311</v>
          </cell>
          <cell r="D6">
            <v>0</v>
          </cell>
          <cell r="E6">
            <v>0</v>
          </cell>
        </row>
        <row r="7">
          <cell r="B7" t="str">
            <v>Công ty TNHH Bảo Hiểm AIG Việt Nam - Chi Nhánh Thành phố Hồ Chí Minh</v>
          </cell>
          <cell r="C7" t="str">
            <v>3311</v>
          </cell>
          <cell r="D7">
            <v>0</v>
          </cell>
          <cell r="E7">
            <v>0</v>
          </cell>
        </row>
        <row r="8">
          <cell r="B8" t="str">
            <v>CÔNG TY CỔ PHẦN CHỨNG SỐ AN TOÀN</v>
          </cell>
          <cell r="C8" t="str">
            <v>3311</v>
          </cell>
          <cell r="D8">
            <v>0</v>
          </cell>
          <cell r="E8">
            <v>0</v>
          </cell>
        </row>
        <row r="9">
          <cell r="B9" t="str">
            <v>CÔNG TY TNHH SẢN XUẤT THƯƠNG MẠI DỊCH VỤ BÁNH KẸO HỶ LÂM MÔN</v>
          </cell>
          <cell r="C9" t="str">
            <v>3311</v>
          </cell>
          <cell r="D9">
            <v>0</v>
          </cell>
          <cell r="E9">
            <v>0</v>
          </cell>
        </row>
        <row r="10">
          <cell r="B10" t="str">
            <v>CTY BẢO VIỆT THÀNH PHỐ HỒ CHÍ MINH</v>
          </cell>
          <cell r="C10" t="str">
            <v>3311</v>
          </cell>
          <cell r="D10">
            <v>0</v>
          </cell>
          <cell r="E10">
            <v>0</v>
          </cell>
        </row>
        <row r="11">
          <cell r="B11" t="str">
            <v>CÔNG TY CỔ PHẦN BASE ENTERPRISE</v>
          </cell>
          <cell r="C11" t="str">
            <v>3311</v>
          </cell>
          <cell r="D11">
            <v>0</v>
          </cell>
          <cell r="E11">
            <v>0</v>
          </cell>
        </row>
        <row r="12">
          <cell r="B12" t="str">
            <v>CÔNG TY CỔ PHẦN THƯƠNG MẠI DỊCH VỤ XUẤT NHẬP KHẨU PHỤ TÙNG Ô TÔ BCAR AUTO</v>
          </cell>
          <cell r="C12" t="str">
            <v>3311</v>
          </cell>
          <cell r="D12">
            <v>0</v>
          </cell>
          <cell r="E12">
            <v>0</v>
          </cell>
        </row>
        <row r="13">
          <cell r="B13" t="str">
            <v>CÔNG TY CỔ PHẦN BE GROUP</v>
          </cell>
          <cell r="C13" t="str">
            <v>3311</v>
          </cell>
          <cell r="D13">
            <v>0</v>
          </cell>
          <cell r="E13">
            <v>2854080</v>
          </cell>
        </row>
        <row r="14">
          <cell r="B14" t="str">
            <v>CÔNG TY CỔ PHẦN DỊCH VỤ DU LỊCH BẾN THÀNH</v>
          </cell>
          <cell r="C14" t="str">
            <v>3311</v>
          </cell>
          <cell r="D14">
            <v>0</v>
          </cell>
          <cell r="E14">
            <v>0</v>
          </cell>
        </row>
        <row r="15">
          <cell r="B15" t="str">
            <v>CÔNG TY TNHH KỸ THUẬT VÀ THƯƠNG MẠI B.F.C</v>
          </cell>
          <cell r="C15" t="str">
            <v>3311</v>
          </cell>
          <cell r="D15">
            <v>0</v>
          </cell>
          <cell r="E15">
            <v>0</v>
          </cell>
        </row>
        <row r="16">
          <cell r="B16" t="str">
            <v>CÔNG TY TNHH SẢN XUẤT THƯƠNG MẠI DỊCH VỤ BẢO HỘ LAO ĐỘNG SÀI GÒN</v>
          </cell>
          <cell r="C16" t="str">
            <v>3311</v>
          </cell>
          <cell r="D16">
            <v>0</v>
          </cell>
          <cell r="E16">
            <v>0</v>
          </cell>
        </row>
        <row r="17">
          <cell r="B17" t="str">
            <v>CÔNG TY TNHH BUREAU VERITAS VIỆT NAM</v>
          </cell>
          <cell r="C17" t="str">
            <v>3311</v>
          </cell>
          <cell r="D17">
            <v>0</v>
          </cell>
          <cell r="E17">
            <v>0</v>
          </cell>
        </row>
        <row r="18">
          <cell r="B18" t="str">
            <v>CÔNG TY TNHH BUTRACO VIỆT NAM</v>
          </cell>
          <cell r="C18" t="str">
            <v>3311</v>
          </cell>
          <cell r="D18">
            <v>0</v>
          </cell>
          <cell r="E18">
            <v>0</v>
          </cell>
        </row>
        <row r="19">
          <cell r="B19" t="str">
            <v>CÔNG TY TNHH CÁCH NHIỆT HÀ BẮC</v>
          </cell>
          <cell r="C19" t="str">
            <v>3311</v>
          </cell>
          <cell r="D19">
            <v>0</v>
          </cell>
          <cell r="E19">
            <v>0</v>
          </cell>
        </row>
        <row r="20">
          <cell r="B20" t="str">
            <v>CÔNG TY CỔ PHẦN DẦU KHÍ ĐẦU TƯ KHAI THÁC CẢNG PHƯỚC AN</v>
          </cell>
          <cell r="C20" t="str">
            <v>3311</v>
          </cell>
          <cell r="D20">
            <v>0</v>
          </cell>
          <cell r="E20">
            <v>0</v>
          </cell>
        </row>
        <row r="21">
          <cell r="B21" t="str">
            <v>CÔNG TY CỔ PHẦN GIẢI PHÁP CAREERVIET</v>
          </cell>
          <cell r="C21" t="str">
            <v>3311</v>
          </cell>
          <cell r="D21">
            <v>0</v>
          </cell>
          <cell r="E21">
            <v>0</v>
          </cell>
        </row>
        <row r="22">
          <cell r="B22" t="str">
            <v>CÔNG TY CỔ PHẦN SẢN XUẤT VẬT LIỆU CÁCH ÂM - CÁCH NHIỆT CÁT TƯỜNG</v>
          </cell>
          <cell r="C22" t="str">
            <v>3311</v>
          </cell>
          <cell r="D22">
            <v>0</v>
          </cell>
          <cell r="E22">
            <v>0</v>
          </cell>
        </row>
        <row r="23">
          <cell r="B23" t="str">
            <v>CÔNG TY TNHH XÂY DỰNG CƠ KHÍ VÀ CHẾ TẠO MÁY DŨNG SƠN</v>
          </cell>
          <cell r="C23" t="str">
            <v>3311</v>
          </cell>
          <cell r="D23">
            <v>0</v>
          </cell>
          <cell r="E23">
            <v>0</v>
          </cell>
        </row>
        <row r="24">
          <cell r="B24" t="str">
            <v>CÔNG TY TNHH VĂN PHÒNG PHẨM CHÍ THÀNH</v>
          </cell>
          <cell r="C24" t="str">
            <v>3311</v>
          </cell>
          <cell r="D24">
            <v>0</v>
          </cell>
          <cell r="E24">
            <v>0</v>
          </cell>
        </row>
        <row r="25">
          <cell r="B25" t="str">
            <v>CÔNG TY CỔ PHẦN CHỨNG NHẬN QUỐC TẾ</v>
          </cell>
          <cell r="C25" t="str">
            <v>3311</v>
          </cell>
          <cell r="D25">
            <v>0</v>
          </cell>
          <cell r="E25">
            <v>0</v>
          </cell>
        </row>
        <row r="26">
          <cell r="B26" t="str">
            <v>CHI NHÁNH CÔNG TY CỔ PHẦN THẾ GIỚI DI ĐỘNG</v>
          </cell>
          <cell r="C26" t="str">
            <v>3311</v>
          </cell>
          <cell r="D26">
            <v>0</v>
          </cell>
          <cell r="E26">
            <v>0</v>
          </cell>
        </row>
        <row r="27">
          <cell r="B27" t="str">
            <v>CÔNG TY TNHH THƯƠNG MẠI DỊCH VỤ CÔNG NGHỆ DGA</v>
          </cell>
          <cell r="C27" t="str">
            <v>3311</v>
          </cell>
          <cell r="D27">
            <v>0</v>
          </cell>
          <cell r="E27">
            <v>0</v>
          </cell>
        </row>
        <row r="28">
          <cell r="B28" t="str">
            <v>CÔNG TY TNHH THƯƠNG MẠI CÔNG NGHỆ ĐÔNG NAM</v>
          </cell>
          <cell r="C28" t="str">
            <v>3311</v>
          </cell>
          <cell r="D28">
            <v>0</v>
          </cell>
          <cell r="E28">
            <v>0</v>
          </cell>
        </row>
        <row r="29">
          <cell r="B29" t="str">
            <v>CÔNG TY CỔ PHẦN ĐẦU TƯ CÔNG NGHỆ GEEKTEK</v>
          </cell>
          <cell r="C29" t="str">
            <v>3311</v>
          </cell>
          <cell r="D29">
            <v>0</v>
          </cell>
          <cell r="E29">
            <v>0</v>
          </cell>
        </row>
        <row r="30">
          <cell r="B30" t="str">
            <v>CÔNG TY TNHH CÔNG NGHỆ ISTAR</v>
          </cell>
          <cell r="C30" t="str">
            <v>3311</v>
          </cell>
          <cell r="D30">
            <v>0</v>
          </cell>
          <cell r="E30">
            <v>0</v>
          </cell>
        </row>
        <row r="31">
          <cell r="B31" t="str">
            <v>CÔNG TY TNHH THƯƠNG MẠI DỊCH VỤ CÔNG NGHỆ MAI TRUNG</v>
          </cell>
          <cell r="C31" t="str">
            <v>3311</v>
          </cell>
          <cell r="D31">
            <v>0</v>
          </cell>
          <cell r="E31">
            <v>0</v>
          </cell>
        </row>
        <row r="32">
          <cell r="B32" t="str">
            <v>CÔNG TY TNHH THƯƠNG MẠI DỊCH VỤ CÔNG NGHỆ SỐ GIA LONG</v>
          </cell>
          <cell r="C32" t="str">
            <v>3311</v>
          </cell>
          <cell r="D32">
            <v>0</v>
          </cell>
          <cell r="E32">
            <v>0</v>
          </cell>
        </row>
        <row r="33">
          <cell r="B33" t="str">
            <v>Công Ty TNHH Phát Triển Công Nghệ Thái Sơn</v>
          </cell>
          <cell r="C33" t="str">
            <v>3311</v>
          </cell>
          <cell r="D33">
            <v>0</v>
          </cell>
          <cell r="E33">
            <v>0</v>
          </cell>
        </row>
        <row r="34">
          <cell r="B34" t="str">
            <v>CÔNG TY TNHH MTV VẬT TƯ CÔNG NGHIỆP THÀNH CÔNG</v>
          </cell>
          <cell r="C34" t="str">
            <v>3311</v>
          </cell>
          <cell r="D34">
            <v>0</v>
          </cell>
          <cell r="E34">
            <v>0</v>
          </cell>
        </row>
        <row r="35">
          <cell r="B35" t="str">
            <v>CÔNG TY CỔ PHẦN CÔNG NGHIỆP VÀ THƯƠNG MẠI CƯỜNG THỊNH</v>
          </cell>
          <cell r="C35" t="str">
            <v>3311</v>
          </cell>
          <cell r="D35">
            <v>0</v>
          </cell>
          <cell r="E35">
            <v>13057229</v>
          </cell>
        </row>
        <row r="36">
          <cell r="B36" t="str">
            <v>Công Ty Trách Nhiệm Hữu Hạn Một Thành Viên Thương Mại Và Dịch Vụ Đại Hải Bình Dương</v>
          </cell>
          <cell r="C36" t="str">
            <v>3311</v>
          </cell>
          <cell r="D36">
            <v>0</v>
          </cell>
          <cell r="E36">
            <v>0</v>
          </cell>
        </row>
        <row r="37">
          <cell r="B37" t="str">
            <v>CÔNG TY TNHH MTV ĐẦU TƯ ĐẠI TOÀN THẮNG</v>
          </cell>
          <cell r="C37" t="str">
            <v>3311</v>
          </cell>
          <cell r="D37">
            <v>0</v>
          </cell>
          <cell r="E37">
            <v>0</v>
          </cell>
        </row>
        <row r="38">
          <cell r="B38" t="str">
            <v>CÔNG TY TNHH CHUYỂN PHÁT NHANH DHL - VNPT</v>
          </cell>
          <cell r="C38" t="str">
            <v>3311</v>
          </cell>
          <cell r="D38">
            <v>0</v>
          </cell>
          <cell r="E38">
            <v>0</v>
          </cell>
        </row>
        <row r="39">
          <cell r="B39" t="str">
            <v>CÔNG TY CỔ PHẦN DỊCH VỤ BẢO VỆ LONGSEA</v>
          </cell>
          <cell r="C39" t="str">
            <v>3311</v>
          </cell>
          <cell r="D39">
            <v>0</v>
          </cell>
          <cell r="E39">
            <v>0</v>
          </cell>
        </row>
        <row r="40">
          <cell r="B40" t="str">
            <v>CÔNG TY CỔ PHẦN XÂY DỰNG VÀ DỊCH VỤ DHD VIỆT NAM</v>
          </cell>
          <cell r="C40" t="str">
            <v>3311</v>
          </cell>
          <cell r="D40">
            <v>0</v>
          </cell>
          <cell r="E40">
            <v>0</v>
          </cell>
        </row>
        <row r="41">
          <cell r="B41" t="str">
            <v>CÔNG TY TRÁCH NHIỆM HỮU HẠN DỊCH VỤ THỬ KHÔNG PHÁ HỦY Q.I.S</v>
          </cell>
          <cell r="C41" t="str">
            <v>3311</v>
          </cell>
          <cell r="D41">
            <v>0</v>
          </cell>
          <cell r="E41">
            <v>0</v>
          </cell>
        </row>
        <row r="42">
          <cell r="B42" t="str">
            <v>CÔNG TY TNHH XÂY LẮP ĐIỆN CƯỜNG THỊNH</v>
          </cell>
          <cell r="C42" t="str">
            <v>3311</v>
          </cell>
          <cell r="D42">
            <v>0</v>
          </cell>
          <cell r="E42">
            <v>0</v>
          </cell>
        </row>
        <row r="43">
          <cell r="B43" t="str">
            <v>CÔNG TY TNHH SẢN XUẤT THƯƠNG MẠI NỘI THẤT ĐIỆP MINH THIỆN</v>
          </cell>
          <cell r="C43" t="str">
            <v>3311</v>
          </cell>
          <cell r="D43">
            <v>0</v>
          </cell>
          <cell r="E43">
            <v>0</v>
          </cell>
        </row>
        <row r="44">
          <cell r="B44" t="str">
            <v>CÔNG TY TNHH THƯƠNG MẠI VÀ DỊCH VỤ KỸ THUẬT DIỆU PHÚC</v>
          </cell>
          <cell r="C44" t="str">
            <v>3311</v>
          </cell>
          <cell r="D44">
            <v>0</v>
          </cell>
          <cell r="E44">
            <v>0</v>
          </cell>
        </row>
        <row r="45">
          <cell r="B45" t="str">
            <v>CÔNG TY TNHH XÂY DỰNG VÀ THƯƠNG MẠI DO BUILDING</v>
          </cell>
          <cell r="C45" t="str">
            <v>3311</v>
          </cell>
          <cell r="D45">
            <v>0</v>
          </cell>
          <cell r="E45">
            <v>0</v>
          </cell>
        </row>
        <row r="46">
          <cell r="B46" t="str">
            <v>CÔNG TY CỔ PHẦN CÔNG NGHỆ ĐO LƯỜNG SÀI GÒN</v>
          </cell>
          <cell r="C46" t="str">
            <v>3311</v>
          </cell>
          <cell r="D46">
            <v>0</v>
          </cell>
          <cell r="E46">
            <v>0</v>
          </cell>
        </row>
        <row r="47">
          <cell r="B47" t="str">
            <v>CÔNG TY TNHH CƠ KHÍ ĐỨC HIỆP</v>
          </cell>
          <cell r="C47" t="str">
            <v>3311</v>
          </cell>
          <cell r="D47">
            <v>0</v>
          </cell>
          <cell r="E47">
            <v>0</v>
          </cell>
        </row>
        <row r="48">
          <cell r="B48" t="str">
            <v>CÔNG TY TNHH ĐỨC MINH KHÔI</v>
          </cell>
          <cell r="C48" t="str">
            <v>3311</v>
          </cell>
          <cell r="D48">
            <v>0</v>
          </cell>
          <cell r="E48">
            <v>0</v>
          </cell>
        </row>
        <row r="49">
          <cell r="B49" t="str">
            <v>CÔNG TY CỔ PHẦN FURICCO VIỆT NAM</v>
          </cell>
          <cell r="C49" t="str">
            <v>3311</v>
          </cell>
          <cell r="D49">
            <v>0</v>
          </cell>
          <cell r="E49">
            <v>0</v>
          </cell>
        </row>
        <row r="50">
          <cell r="B50" t="str">
            <v>CÔNG TY CỔ PHẦN GIAO NHẬN KHẢI HOÀN</v>
          </cell>
          <cell r="C50" t="str">
            <v>3311</v>
          </cell>
          <cell r="D50">
            <v>0</v>
          </cell>
          <cell r="E50">
            <v>0</v>
          </cell>
        </row>
        <row r="51">
          <cell r="B51" t="str">
            <v>CÔNG TY CỔ PHẦN GOLD GARMENT</v>
          </cell>
          <cell r="C51" t="str">
            <v>3311</v>
          </cell>
          <cell r="D51">
            <v>0</v>
          </cell>
          <cell r="E51">
            <v>0</v>
          </cell>
        </row>
        <row r="52">
          <cell r="B52" t="str">
            <v>CÔNG TY TNHH GỖ VŨ THỊNH</v>
          </cell>
          <cell r="C52" t="str">
            <v>3311</v>
          </cell>
          <cell r="D52">
            <v>0</v>
          </cell>
          <cell r="E52">
            <v>0</v>
          </cell>
        </row>
        <row r="53">
          <cell r="B53" t="str">
            <v>CÔNG TY TNHH DỊCH VỤ KỸ THUẬT HÀNG HẢI NHẬT MINH</v>
          </cell>
          <cell r="C53" t="str">
            <v>3311</v>
          </cell>
          <cell r="D53">
            <v>0</v>
          </cell>
          <cell r="E53">
            <v>0</v>
          </cell>
        </row>
        <row r="54">
          <cell r="B54" t="str">
            <v>CÔNG TY TNHH DỊCH VỤ GIAO NHẬN HÀNG HÓA THỜI GIAN</v>
          </cell>
          <cell r="C54" t="str">
            <v>3311</v>
          </cell>
          <cell r="D54">
            <v>0</v>
          </cell>
          <cell r="E54">
            <v>0</v>
          </cell>
        </row>
        <row r="55">
          <cell r="B55" t="str">
            <v>CÔNG TY TNHH HILSET VIỆT NAM</v>
          </cell>
          <cell r="C55" t="str">
            <v>3311</v>
          </cell>
          <cell r="D55">
            <v>0</v>
          </cell>
          <cell r="E55">
            <v>0</v>
          </cell>
        </row>
        <row r="56">
          <cell r="B56" t="str">
            <v>CÔNG TY TNHH HILTI VIỆT NAM</v>
          </cell>
          <cell r="C56" t="str">
            <v>3311</v>
          </cell>
          <cell r="D56">
            <v>0</v>
          </cell>
          <cell r="E56">
            <v>0</v>
          </cell>
        </row>
        <row r="57">
          <cell r="B57" t="str">
            <v>Đỗ Khắc Hiếu</v>
          </cell>
          <cell r="C57" t="str">
            <v>3311</v>
          </cell>
          <cell r="D57">
            <v>0</v>
          </cell>
          <cell r="E57">
            <v>0</v>
          </cell>
        </row>
        <row r="58">
          <cell r="B58" t="str">
            <v>CÔNG TY TNHH ĐẦU TƯ HÓA CHẤT THÀNH CÔNG</v>
          </cell>
          <cell r="C58" t="str">
            <v>3311</v>
          </cell>
          <cell r="D58">
            <v>0</v>
          </cell>
          <cell r="E58">
            <v>0</v>
          </cell>
        </row>
        <row r="59">
          <cell r="B59" t="str">
            <v>CÔNG TY TNHH SẢN XUẤT THƯƠNG MẠI DÂY ĐAI HOÀNG LONG</v>
          </cell>
          <cell r="C59" t="str">
            <v>3311</v>
          </cell>
          <cell r="D59">
            <v>0</v>
          </cell>
          <cell r="E59">
            <v>0</v>
          </cell>
        </row>
        <row r="60">
          <cell r="B60" t="str">
            <v>CÔNG TY TNHH CÔNG NGHỆ HOÀNG NGUYỄN</v>
          </cell>
          <cell r="C60" t="str">
            <v>3311</v>
          </cell>
          <cell r="D60">
            <v>0</v>
          </cell>
          <cell r="E60">
            <v>0</v>
          </cell>
        </row>
        <row r="61">
          <cell r="B61" t="str">
            <v>CÔNG TY TNHH SẢN XUẤT THƯƠNG MẠI VÀ DỊCH VỤ NỘI THẤT HOÀNG PHÁT</v>
          </cell>
          <cell r="C61" t="str">
            <v>3311</v>
          </cell>
          <cell r="D61">
            <v>0</v>
          </cell>
          <cell r="E61">
            <v>0</v>
          </cell>
        </row>
        <row r="62">
          <cell r="B62" t="str">
            <v>CÔNG TY TNHH MỘT THÀNH VIÊN THẾ GIỚI IN ẤN</v>
          </cell>
          <cell r="C62" t="str">
            <v>3311</v>
          </cell>
          <cell r="D62">
            <v>0</v>
          </cell>
          <cell r="E62">
            <v>0</v>
          </cell>
        </row>
        <row r="63">
          <cell r="B63" t="str">
            <v>CÔNG TY TNHH THIẾT KẾ - IN ẤN MINH KHANG</v>
          </cell>
          <cell r="C63" t="str">
            <v>3311</v>
          </cell>
          <cell r="D63">
            <v>0</v>
          </cell>
          <cell r="E63">
            <v>0</v>
          </cell>
        </row>
        <row r="64">
          <cell r="B64" t="str">
            <v>CÔNG TY TNHH INTERTEK VIỆT NAM</v>
          </cell>
          <cell r="C64" t="str">
            <v>3311</v>
          </cell>
          <cell r="D64">
            <v>0</v>
          </cell>
          <cell r="E64">
            <v>0</v>
          </cell>
        </row>
        <row r="65">
          <cell r="B65" t="str">
            <v>CÔNG TY TNHH THÉP IPC SÀI GÒN</v>
          </cell>
          <cell r="C65" t="str">
            <v>3311</v>
          </cell>
          <cell r="D65">
            <v>0</v>
          </cell>
          <cell r="E65">
            <v>0</v>
          </cell>
        </row>
        <row r="66">
          <cell r="B66" t="str">
            <v>CÔNG TY TNHH SƠN JOTUN VIỆT NAM</v>
          </cell>
          <cell r="C66" t="str">
            <v>3311</v>
          </cell>
          <cell r="D66">
            <v>0</v>
          </cell>
          <cell r="E66">
            <v>0</v>
          </cell>
        </row>
        <row r="67">
          <cell r="B67" t="str">
            <v>CÔNG TY CỔ PHẦN LIÊN DOANH KANGAROO QUỐC TẾ - CHI NHÁNH MIỀN NAM</v>
          </cell>
          <cell r="C67" t="str">
            <v>3311</v>
          </cell>
          <cell r="D67">
            <v>0</v>
          </cell>
          <cell r="E67">
            <v>0</v>
          </cell>
        </row>
        <row r="68">
          <cell r="B68" t="str">
            <v>CÔNG TY TNHH KBE VIỆT NAM</v>
          </cell>
          <cell r="C68" t="str">
            <v>3311</v>
          </cell>
          <cell r="D68">
            <v>0</v>
          </cell>
          <cell r="E68">
            <v>0</v>
          </cell>
        </row>
        <row r="69">
          <cell r="B69" t="str">
            <v>CÔNG TY TNHH KỆ SẮT DUY TÂM</v>
          </cell>
          <cell r="C69" t="str">
            <v>3311</v>
          </cell>
          <cell r="D69">
            <v>0</v>
          </cell>
          <cell r="E69">
            <v>0</v>
          </cell>
        </row>
        <row r="70">
          <cell r="B70" t="str">
            <v>CÔNG TY TNHH MỘT THÀNH VIÊN DỊCH VỤ KHẮC DẤU SAO VIỆT</v>
          </cell>
          <cell r="C70" t="str">
            <v>3311</v>
          </cell>
          <cell r="D70">
            <v>0</v>
          </cell>
          <cell r="E70">
            <v>0</v>
          </cell>
        </row>
        <row r="71">
          <cell r="B71" t="str">
            <v>CÔNG TY TNHH KẾT CẤU THÉP KHƯƠNG THÀNH</v>
          </cell>
          <cell r="C71" t="str">
            <v>3311</v>
          </cell>
          <cell r="D71">
            <v>0</v>
          </cell>
          <cell r="E71">
            <v>22390830122</v>
          </cell>
        </row>
        <row r="72">
          <cell r="B72" t="str">
            <v>CÔNG TY TNHH XUẤT NHẬP KHẨU THƯƠNG MẠI KIÊN HOÀNG</v>
          </cell>
          <cell r="C72" t="str">
            <v>3311</v>
          </cell>
          <cell r="D72">
            <v>0</v>
          </cell>
          <cell r="E72">
            <v>0</v>
          </cell>
        </row>
        <row r="73">
          <cell r="B73" t="str">
            <v>CÔNG TY TNHH DỊCH VỤ &amp; GIẢI PHÁP KVN</v>
          </cell>
          <cell r="C73" t="str">
            <v>3311</v>
          </cell>
          <cell r="D73">
            <v>0</v>
          </cell>
          <cell r="E73">
            <v>0</v>
          </cell>
        </row>
        <row r="74">
          <cell r="B74" t="str">
            <v>CÔNG TY TNHH THƯƠNG MẠI LAM HỒNG</v>
          </cell>
          <cell r="C74" t="str">
            <v>3311</v>
          </cell>
          <cell r="D74">
            <v>0</v>
          </cell>
          <cell r="E74">
            <v>0</v>
          </cell>
        </row>
        <row r="75">
          <cell r="B75" t="str">
            <v>CÔNG TY TNHH LINKI VIỆT NAM</v>
          </cell>
          <cell r="C75" t="str">
            <v>3311</v>
          </cell>
          <cell r="D75">
            <v>0</v>
          </cell>
          <cell r="E75">
            <v>0</v>
          </cell>
        </row>
        <row r="76">
          <cell r="B76" t="str">
            <v>CÔNG TY TNHH THƯƠNG MẠI DỊCH VỤ LONG TRUNG PHÁT</v>
          </cell>
          <cell r="C76" t="str">
            <v>3311</v>
          </cell>
          <cell r="D76">
            <v>0</v>
          </cell>
          <cell r="E76">
            <v>0</v>
          </cell>
        </row>
        <row r="77">
          <cell r="B77" t="str">
            <v>CÔNG TY TNHH LOTALUX</v>
          </cell>
          <cell r="C77" t="str">
            <v>3311</v>
          </cell>
          <cell r="D77">
            <v>0</v>
          </cell>
          <cell r="E77">
            <v>0</v>
          </cell>
        </row>
        <row r="78">
          <cell r="B78" t="str">
            <v>CÔNG TY CỔ PHẦN GIẢI PHÁP QUÀ TẶNG MAISON LUXURY</v>
          </cell>
          <cell r="C78" t="str">
            <v>3311</v>
          </cell>
          <cell r="D78">
            <v>0</v>
          </cell>
          <cell r="E78">
            <v>0</v>
          </cell>
        </row>
        <row r="79">
          <cell r="B79" t="str">
            <v>CÔNG TY TNHH SẢN XUẤT THƯƠNG MẠI VÀ KỸ THUẬT MINH KHÔI</v>
          </cell>
          <cell r="C79" t="str">
            <v>3311</v>
          </cell>
          <cell r="D79">
            <v>0</v>
          </cell>
          <cell r="E79">
            <v>0</v>
          </cell>
        </row>
        <row r="80">
          <cell r="B80" t="str">
            <v>CÔNG TY CỔ PHẦN MISA</v>
          </cell>
          <cell r="C80" t="str">
            <v>3311</v>
          </cell>
          <cell r="D80">
            <v>0</v>
          </cell>
          <cell r="E80">
            <v>0</v>
          </cell>
        </row>
        <row r="81">
          <cell r="B81" t="str">
            <v>CÔNG TY TNHH THƯƠNG MẠI DỊCH VỤ SẢN XUẤT NHỰA NAM VIỆT</v>
          </cell>
          <cell r="C81" t="str">
            <v>3311</v>
          </cell>
          <cell r="D81">
            <v>0</v>
          </cell>
          <cell r="E81">
            <v>0</v>
          </cell>
        </row>
        <row r="82">
          <cell r="B82" t="str">
            <v>CÔNG TY CỔ PHẦN NAVIGOS GROUP VIỆT NAM</v>
          </cell>
          <cell r="C82" t="str">
            <v>3311</v>
          </cell>
          <cell r="D82">
            <v>0</v>
          </cell>
          <cell r="E82">
            <v>0</v>
          </cell>
        </row>
        <row r="83">
          <cell r="B83" t="str">
            <v>CÔNG TY TNHH SẢN XUẤT XUẤT NHẬP KHẨU HABICO</v>
          </cell>
          <cell r="C83" t="str">
            <v>3311</v>
          </cell>
          <cell r="D83">
            <v>0</v>
          </cell>
          <cell r="E83">
            <v>0</v>
          </cell>
        </row>
        <row r="84">
          <cell r="B84" t="str">
            <v>CÔNG TY TNHH NIPPOVINA</v>
          </cell>
          <cell r="C84" t="str">
            <v>3311</v>
          </cell>
          <cell r="D84">
            <v>0</v>
          </cell>
          <cell r="E84">
            <v>0</v>
          </cell>
        </row>
        <row r="85">
          <cell r="B85" t="str">
            <v>CHI NHÁNH CÔNG TY TNHH NIPPOVINA TẠI TIỀN GIANG</v>
          </cell>
          <cell r="C85" t="str">
            <v>3311</v>
          </cell>
          <cell r="D85">
            <v>0</v>
          </cell>
          <cell r="E85">
            <v>0</v>
          </cell>
        </row>
        <row r="86">
          <cell r="B86" t="str">
            <v>Huỳnh Thanh Duy</v>
          </cell>
          <cell r="C86" t="str">
            <v>3311</v>
          </cell>
          <cell r="D86">
            <v>0</v>
          </cell>
          <cell r="E86">
            <v>0</v>
          </cell>
        </row>
        <row r="87">
          <cell r="B87" t="str">
            <v>Hà Thị Kim Kha</v>
          </cell>
          <cell r="C87" t="str">
            <v>3311</v>
          </cell>
          <cell r="D87">
            <v>0</v>
          </cell>
          <cell r="E87">
            <v>0</v>
          </cell>
        </row>
        <row r="88">
          <cell r="B88" t="str">
            <v>Hoàng Thế Mạnh</v>
          </cell>
          <cell r="C88" t="str">
            <v>3311</v>
          </cell>
          <cell r="D88">
            <v>0</v>
          </cell>
          <cell r="E88">
            <v>0</v>
          </cell>
        </row>
        <row r="89">
          <cell r="B89" t="str">
            <v>Lê Thị Thoa</v>
          </cell>
          <cell r="C89" t="str">
            <v>3311</v>
          </cell>
          <cell r="D89">
            <v>0</v>
          </cell>
          <cell r="E89">
            <v>0</v>
          </cell>
        </row>
        <row r="90">
          <cell r="B90" t="str">
            <v>Đỗ Khắc Hiếu</v>
          </cell>
          <cell r="C90" t="str">
            <v>3311</v>
          </cell>
          <cell r="D90">
            <v>0</v>
          </cell>
          <cell r="E90">
            <v>0</v>
          </cell>
        </row>
        <row r="91">
          <cell r="B91" t="str">
            <v>CÔNG TY TNHH Ô TÔ MINH PHƯƠNG</v>
          </cell>
          <cell r="C91" t="str">
            <v>3311</v>
          </cell>
          <cell r="D91">
            <v>0</v>
          </cell>
          <cell r="E91">
            <v>0</v>
          </cell>
        </row>
        <row r="92">
          <cell r="B92" t="str">
            <v>CÔNG TY TNHH Ô TÔ VĨNH CỬU</v>
          </cell>
          <cell r="C92" t="str">
            <v>3311</v>
          </cell>
          <cell r="D92">
            <v>0</v>
          </cell>
          <cell r="E92">
            <v>0</v>
          </cell>
        </row>
        <row r="93">
          <cell r="B93" t="str">
            <v>CÔNG TY TNHH THƯƠNG MẠI DỊCH VỤ PG</v>
          </cell>
          <cell r="C93" t="str">
            <v>3311</v>
          </cell>
          <cell r="D93">
            <v>0</v>
          </cell>
          <cell r="E93">
            <v>0</v>
          </cell>
        </row>
        <row r="94">
          <cell r="B94" t="str">
            <v>PHAN TRUNG ĐỨC</v>
          </cell>
          <cell r="C94" t="str">
            <v>3311</v>
          </cell>
          <cell r="D94">
            <v>0</v>
          </cell>
          <cell r="E94">
            <v>0</v>
          </cell>
        </row>
        <row r="95">
          <cell r="B95" t="str">
            <v>CÔNG TY TNHH THƯƠNG MẠI - DỊCH VỤ P.T PHÚC THỊNH</v>
          </cell>
          <cell r="C95" t="str">
            <v>3311</v>
          </cell>
          <cell r="D95">
            <v>0</v>
          </cell>
          <cell r="E95">
            <v>0</v>
          </cell>
        </row>
        <row r="96">
          <cell r="B96" t="str">
            <v>CÔNG TY TNHH PHƯƠNG KHANG COMPUTER</v>
          </cell>
          <cell r="C96" t="str">
            <v>3311</v>
          </cell>
          <cell r="D96">
            <v>0</v>
          </cell>
          <cell r="E96">
            <v>0</v>
          </cell>
        </row>
        <row r="97">
          <cell r="B97" t="str">
            <v>CÔNG TY TNHH PHƯƠNG NAM TOUR AND TRAVEL</v>
          </cell>
          <cell r="C97" t="str">
            <v>3311</v>
          </cell>
          <cell r="D97">
            <v>0</v>
          </cell>
          <cell r="E97">
            <v>0</v>
          </cell>
        </row>
        <row r="98">
          <cell r="B98" t="str">
            <v>CÔNG TY TNHH PHƯƠNG NAM TOURISM</v>
          </cell>
          <cell r="C98" t="str">
            <v>3311</v>
          </cell>
          <cell r="D98">
            <v>0</v>
          </cell>
          <cell r="E98">
            <v>0</v>
          </cell>
        </row>
        <row r="99">
          <cell r="B99" t="str">
            <v>CÔNG TY TNHH KỸ THUẬT SỐ PHÚ QUANG</v>
          </cell>
          <cell r="C99" t="str">
            <v>3311</v>
          </cell>
          <cell r="D99">
            <v>0</v>
          </cell>
          <cell r="E99">
            <v>0</v>
          </cell>
        </row>
        <row r="100">
          <cell r="B100" t="str">
            <v>CÔNG TY CỔ PHẦN QH PLUS</v>
          </cell>
          <cell r="C100" t="str">
            <v>3311</v>
          </cell>
          <cell r="D100">
            <v>0</v>
          </cell>
          <cell r="E100">
            <v>0</v>
          </cell>
        </row>
        <row r="101">
          <cell r="B101" t="str">
            <v>CÔNG TY TRÁCH NHIỆM HỮU HẠN THƯƠNG MẠI DỊCH VỤ QUẢNG CÁO VHV</v>
          </cell>
          <cell r="C101" t="str">
            <v>3311</v>
          </cell>
          <cell r="D101">
            <v>0</v>
          </cell>
          <cell r="E101">
            <v>0</v>
          </cell>
        </row>
        <row r="102">
          <cell r="B102" t="str">
            <v>CÔNG TY TNHH THƯƠNG MẠI DỊCH VỤ SẢN XUẤT HOÀNG CƯ</v>
          </cell>
          <cell r="C102" t="str">
            <v>3311</v>
          </cell>
          <cell r="D102">
            <v>0</v>
          </cell>
          <cell r="E102">
            <v>0</v>
          </cell>
        </row>
        <row r="103">
          <cell r="B103" t="str">
            <v>CÔNG TY TNHH SẢN XUẤT REMARK</v>
          </cell>
          <cell r="C103" t="str">
            <v>3311</v>
          </cell>
          <cell r="D103">
            <v>0</v>
          </cell>
          <cell r="E103">
            <v>0</v>
          </cell>
        </row>
        <row r="104">
          <cell r="B104" t="str">
            <v>CÔNG TY TRÁCH NHIỆM HỮU HẠN  SẢN XUẤT THƯƠNG MẠI DỊCH VỤ COSACO</v>
          </cell>
          <cell r="C104" t="str">
            <v>3311</v>
          </cell>
          <cell r="D104">
            <v>0</v>
          </cell>
          <cell r="E104">
            <v>0</v>
          </cell>
        </row>
        <row r="105">
          <cell r="B105" t="str">
            <v>CÔNG TY TNHH SIÊU TỐC</v>
          </cell>
          <cell r="C105" t="str">
            <v>3311</v>
          </cell>
          <cell r="D105">
            <v>0</v>
          </cell>
          <cell r="E105">
            <v>0</v>
          </cell>
        </row>
        <row r="106">
          <cell r="B106" t="str">
            <v>CÔNG TY TNHH  IN ẤN THIẾT KẾ SIÊU VIỆT</v>
          </cell>
          <cell r="C106" t="str">
            <v>3311</v>
          </cell>
          <cell r="D106">
            <v>0</v>
          </cell>
          <cell r="E106">
            <v>0</v>
          </cell>
        </row>
        <row r="107">
          <cell r="B107" t="str">
            <v>CÔNG TY TNHH SONG TẠO</v>
          </cell>
          <cell r="C107" t="str">
            <v>3311</v>
          </cell>
          <cell r="D107">
            <v>0</v>
          </cell>
          <cell r="E107">
            <v>0</v>
          </cell>
        </row>
        <row r="108">
          <cell r="B108" t="str">
            <v>CHI NHÁNH MIỀN NAM - CÔNG TY TNHH SƠN KANSAI VIỆT NAM</v>
          </cell>
          <cell r="C108" t="str">
            <v>3311</v>
          </cell>
          <cell r="D108">
            <v>0</v>
          </cell>
          <cell r="E108">
            <v>0</v>
          </cell>
        </row>
        <row r="109">
          <cell r="B109" t="str">
            <v>NGÂN HÀNG TNHH MỘT THÀNH VIÊN STANDARD CHARTERED (VIỆT NAM)</v>
          </cell>
          <cell r="C109" t="str">
            <v>3311</v>
          </cell>
          <cell r="D109">
            <v>0</v>
          </cell>
          <cell r="E109">
            <v>0</v>
          </cell>
        </row>
        <row r="110">
          <cell r="B110" t="str">
            <v>CÔNG TY CỔ PHẦN TACA VIỆT NAM</v>
          </cell>
          <cell r="C110" t="str">
            <v>3311</v>
          </cell>
          <cell r="D110">
            <v>0</v>
          </cell>
          <cell r="E110">
            <v>0</v>
          </cell>
        </row>
        <row r="111">
          <cell r="B111" t="str">
            <v>CÔNG TY TNHH TÀI LỘC WINDOW</v>
          </cell>
          <cell r="C111" t="str">
            <v>3311</v>
          </cell>
          <cell r="D111">
            <v>0</v>
          </cell>
          <cell r="E111">
            <v>0</v>
          </cell>
        </row>
        <row r="112">
          <cell r="B112" t="str">
            <v>CÔNG TY TNHH TÂN MỸ  HẠNH</v>
          </cell>
          <cell r="C112" t="str">
            <v>3311</v>
          </cell>
          <cell r="D112">
            <v>0</v>
          </cell>
          <cell r="E112">
            <v>0</v>
          </cell>
        </row>
        <row r="113">
          <cell r="B113" t="str">
            <v>THAI VAN CHI</v>
          </cell>
          <cell r="C113" t="str">
            <v>3311</v>
          </cell>
          <cell r="D113">
            <v>0</v>
          </cell>
          <cell r="E113">
            <v>0</v>
          </cell>
        </row>
        <row r="114">
          <cell r="B114" t="str">
            <v>CÔNG TY CỔ PHẦN THẨM ĐỊNH GIÁ TNS VALUE</v>
          </cell>
          <cell r="C114" t="str">
            <v>3311</v>
          </cell>
          <cell r="D114">
            <v>0</v>
          </cell>
          <cell r="E114">
            <v>0</v>
          </cell>
        </row>
        <row r="115">
          <cell r="B115" t="str">
            <v>CÔNG TY TNHH MTV SẢN XUẤT THƯƠNG MẠI DỊCH VỤ THANH HUYỀN</v>
          </cell>
          <cell r="C115" t="str">
            <v>3311</v>
          </cell>
          <cell r="D115">
            <v>0</v>
          </cell>
          <cell r="E115">
            <v>0</v>
          </cell>
        </row>
        <row r="116">
          <cell r="B116" t="str">
            <v>CÔNG TY CỔ PHẦN THƯƠNG MẠI DỊCH VỤ KỸ THUẬT THANH PHÁT</v>
          </cell>
          <cell r="C116" t="str">
            <v>3311</v>
          </cell>
          <cell r="D116">
            <v>0</v>
          </cell>
          <cell r="E116">
            <v>0</v>
          </cell>
        </row>
        <row r="117">
          <cell r="B117" t="str">
            <v>CÔNG TY CỔ PHẦN GIAO NHẬN THẾ GIỚI TOÀN CẦU</v>
          </cell>
          <cell r="C117" t="str">
            <v>3311</v>
          </cell>
          <cell r="D117">
            <v>0</v>
          </cell>
          <cell r="E117">
            <v>0</v>
          </cell>
        </row>
        <row r="118">
          <cell r="B118" t="str">
            <v>CÔNG TY CỔ PHẦN THẾ GIỚI TÚI VẢI</v>
          </cell>
          <cell r="C118" t="str">
            <v>3311</v>
          </cell>
          <cell r="D118">
            <v>0</v>
          </cell>
          <cell r="E118">
            <v>0</v>
          </cell>
        </row>
        <row r="119">
          <cell r="B119" t="str">
            <v>CÔNG TY TNHH THƯƠNG MẠI THÉP CƯỜNG LÂM</v>
          </cell>
          <cell r="C119" t="str">
            <v>3311</v>
          </cell>
          <cell r="D119">
            <v>0</v>
          </cell>
          <cell r="E119">
            <v>0</v>
          </cell>
        </row>
        <row r="120">
          <cell r="B120" t="str">
            <v>CÔNG TY TNHH THƯƠNG MẠI DỊCH VỤ THÉP KHÔNG GỈ VẠN LỢI</v>
          </cell>
          <cell r="C120" t="str">
            <v>3311</v>
          </cell>
          <cell r="D120">
            <v>0</v>
          </cell>
          <cell r="E120">
            <v>0</v>
          </cell>
        </row>
        <row r="121">
          <cell r="B121" t="str">
            <v>CÔNG TY TNHH XNK THÉP KIM NAM</v>
          </cell>
          <cell r="C121" t="str">
            <v>3311</v>
          </cell>
          <cell r="D121">
            <v>0</v>
          </cell>
          <cell r="E121">
            <v>132423000</v>
          </cell>
        </row>
        <row r="122">
          <cell r="B122" t="str">
            <v>CÔNG TY TNHH THÉP QUỐC THANH</v>
          </cell>
          <cell r="C122" t="str">
            <v>3311</v>
          </cell>
          <cell r="D122">
            <v>0</v>
          </cell>
          <cell r="E122">
            <v>0</v>
          </cell>
        </row>
        <row r="123">
          <cell r="B123" t="str">
            <v>CÔNG TY TNHH VẬT LIỆU XÂY DỰNG THÉP SÔNG HỒNG HÀ</v>
          </cell>
          <cell r="C123" t="str">
            <v>3311</v>
          </cell>
          <cell r="D123">
            <v>0</v>
          </cell>
          <cell r="E123">
            <v>0</v>
          </cell>
        </row>
        <row r="124">
          <cell r="B124" t="str">
            <v>CÔNG TY TNHH DỊCH VỤ - THƯƠNG MẠI THÉP THIÊN LONG</v>
          </cell>
          <cell r="C124" t="str">
            <v>3311</v>
          </cell>
          <cell r="D124">
            <v>0</v>
          </cell>
          <cell r="E124">
            <v>0</v>
          </cell>
        </row>
        <row r="125">
          <cell r="B125" t="str">
            <v>CÔNG TY TNHH THƯƠNG MẠI THÉP TOÀN THẮNG</v>
          </cell>
          <cell r="C125" t="str">
            <v>3311</v>
          </cell>
          <cell r="D125">
            <v>0</v>
          </cell>
          <cell r="E125">
            <v>524159697</v>
          </cell>
        </row>
        <row r="126">
          <cell r="B126" t="str">
            <v>CÔNG TY TRÁCH NHIỆM HỮU HẠN THIẾT BỊ TIN HỌC THIÊN ÂN</v>
          </cell>
          <cell r="C126" t="str">
            <v>3311</v>
          </cell>
          <cell r="D126">
            <v>0</v>
          </cell>
          <cell r="E126">
            <v>0</v>
          </cell>
        </row>
        <row r="127">
          <cell r="B127" t="str">
            <v>CÔNG TY TNHH THIẾT BỊ XÂY DỰNG QUANG MINH HƯNG</v>
          </cell>
          <cell r="C127" t="str">
            <v>3311</v>
          </cell>
          <cell r="D127">
            <v>0</v>
          </cell>
          <cell r="E127">
            <v>0</v>
          </cell>
        </row>
        <row r="128">
          <cell r="B128" t="str">
            <v>CÔNG TY TNHH TƯ VẤN THIẾT KẾ VÀ XÂY DỰNG HẢI PHONG</v>
          </cell>
          <cell r="C128" t="str">
            <v>3311</v>
          </cell>
          <cell r="D128">
            <v>0</v>
          </cell>
          <cell r="E128">
            <v>0</v>
          </cell>
        </row>
        <row r="129">
          <cell r="B129" t="str">
            <v>CÔNG TY TNHH DỊCH VỤ KỸ THUẬT THỢ VIỆT</v>
          </cell>
          <cell r="C129" t="str">
            <v>3311</v>
          </cell>
          <cell r="D129">
            <v>0</v>
          </cell>
          <cell r="E129">
            <v>0</v>
          </cell>
        </row>
        <row r="130">
          <cell r="B130" t="str">
            <v>CÔNG TY CỔ PHẦN DỊCH VỤ GIA CÔNG VÀ THỬ NGHIỆM VŨNG TÀU</v>
          </cell>
          <cell r="C130" t="str">
            <v>3311</v>
          </cell>
          <cell r="D130">
            <v>0</v>
          </cell>
          <cell r="E130">
            <v>0</v>
          </cell>
        </row>
        <row r="131">
          <cell r="B131" t="str">
            <v>CÔNG TY CỔ PHẦN THƯƠNG MẠI &amp; DỊCH VỤ HOÀI</v>
          </cell>
          <cell r="C131" t="str">
            <v>3311</v>
          </cell>
          <cell r="D131">
            <v>0</v>
          </cell>
          <cell r="E131">
            <v>0</v>
          </cell>
        </row>
        <row r="132">
          <cell r="B132" t="str">
            <v>CÔNG TY TNHH CÔNG NGHỆ THƯƠNG MẠI KK</v>
          </cell>
          <cell r="C132" t="str">
            <v>3311</v>
          </cell>
          <cell r="D132">
            <v>0</v>
          </cell>
          <cell r="E132">
            <v>0</v>
          </cell>
        </row>
        <row r="133">
          <cell r="B133" t="str">
            <v>CÔNG TY TNHH SẢN XUẤT THƯƠNG MẠI PHÁT TRIỂN TIẾN THÀNH</v>
          </cell>
          <cell r="C133" t="str">
            <v>3311</v>
          </cell>
          <cell r="D133">
            <v>0</v>
          </cell>
          <cell r="E133">
            <v>0</v>
          </cell>
        </row>
        <row r="134">
          <cell r="B134" t="str">
            <v>CÔNG TY TNHH XUẤT NHẬP KHẨU TM DV PHÁT ĐẠT</v>
          </cell>
          <cell r="C134" t="str">
            <v>3311</v>
          </cell>
          <cell r="D134">
            <v>0</v>
          </cell>
          <cell r="E134">
            <v>0</v>
          </cell>
        </row>
        <row r="135">
          <cell r="B135" t="str">
            <v>CÔNG TY TNHH CƠ KHÍ XÂY DỰNG VÀ TMDV THÀNH NAM</v>
          </cell>
          <cell r="C135" t="str">
            <v>3311</v>
          </cell>
          <cell r="D135">
            <v>0</v>
          </cell>
          <cell r="E135">
            <v>0</v>
          </cell>
        </row>
        <row r="136">
          <cell r="B136" t="str">
            <v>CÔNG TY TNHH ETS TOÀN CẦU LOGISTICS VINA</v>
          </cell>
          <cell r="C136" t="str">
            <v>3311</v>
          </cell>
          <cell r="D136">
            <v>0</v>
          </cell>
          <cell r="E136">
            <v>0</v>
          </cell>
        </row>
        <row r="137">
          <cell r="B137" t="str">
            <v>CÔNG TY CỔ PHẦN THÉP TOÀN THẮNG - LA</v>
          </cell>
          <cell r="C137" t="str">
            <v>3311</v>
          </cell>
          <cell r="D137">
            <v>0</v>
          </cell>
          <cell r="E137">
            <v>0</v>
          </cell>
        </row>
        <row r="138">
          <cell r="B138" t="str">
            <v>TỔNG CÔNG TY CỔ PHẦN BƯU CHÍNH VIETTEL</v>
          </cell>
          <cell r="C138" t="str">
            <v>3311</v>
          </cell>
          <cell r="D138">
            <v>0</v>
          </cell>
          <cell r="E138">
            <v>0</v>
          </cell>
        </row>
        <row r="139">
          <cell r="B139" t="str">
            <v>CÔNG TY CỔ PHẦN TOYOTA ĐÔNG SÀI GÒN</v>
          </cell>
          <cell r="C139" t="str">
            <v>3311</v>
          </cell>
          <cell r="D139">
            <v>0</v>
          </cell>
          <cell r="E139">
            <v>0</v>
          </cell>
        </row>
        <row r="140">
          <cell r="B140" t="str">
            <v>TRỊNH THỊ DUNG</v>
          </cell>
          <cell r="C140" t="str">
            <v>3311</v>
          </cell>
          <cell r="D140">
            <v>0</v>
          </cell>
          <cell r="E140">
            <v>0</v>
          </cell>
        </row>
        <row r="141">
          <cell r="B141" t="str">
            <v>CÔNG TY CỔ PHẦN TRUNG NGUYÊN FRANCHISING</v>
          </cell>
          <cell r="C141" t="str">
            <v>3311</v>
          </cell>
          <cell r="D141">
            <v>0</v>
          </cell>
          <cell r="E141">
            <v>0</v>
          </cell>
        </row>
        <row r="142">
          <cell r="B142" t="str">
            <v>CÔNG TY TNHH SẢN XUẤT THƯƠNG MẠI TRƯỜNG PHÚC</v>
          </cell>
          <cell r="C142" t="str">
            <v>3311</v>
          </cell>
          <cell r="D142">
            <v>0</v>
          </cell>
          <cell r="E142">
            <v>0</v>
          </cell>
        </row>
        <row r="143">
          <cell r="B143" t="str">
            <v>CÔNG TY TNHH SX - TM - DV TUỆ LINH</v>
          </cell>
          <cell r="C143" t="str">
            <v>3311</v>
          </cell>
          <cell r="D143">
            <v>0</v>
          </cell>
          <cell r="E143">
            <v>0</v>
          </cell>
        </row>
        <row r="144">
          <cell r="B144" t="str">
            <v>CHI NHÁNH CÔNG TY TNHH TUV NORD VIỆT NAM</v>
          </cell>
          <cell r="C144" t="str">
            <v>3311</v>
          </cell>
          <cell r="D144">
            <v>0</v>
          </cell>
          <cell r="E144">
            <v>0</v>
          </cell>
        </row>
        <row r="145">
          <cell r="B145" t="str">
            <v>CÔNG TY TNHH GIAO NHẬN VẬN TẢI VÂN PHÁT</v>
          </cell>
          <cell r="C145" t="str">
            <v>3311</v>
          </cell>
          <cell r="D145">
            <v>0</v>
          </cell>
          <cell r="E145">
            <v>131948863</v>
          </cell>
        </row>
        <row r="146">
          <cell r="B146" t="str">
            <v>CÔNG TY TNHH VẬN TẢI BIỂN NM</v>
          </cell>
          <cell r="C146" t="str">
            <v>3311</v>
          </cell>
          <cell r="D146">
            <v>0</v>
          </cell>
          <cell r="E146">
            <v>0</v>
          </cell>
        </row>
        <row r="147">
          <cell r="B147" t="str">
            <v>CÔNG TY CỔ PHẦN GIAO NHẬN VẬN TẢI KẾT NỐI TOÀN CẦU</v>
          </cell>
          <cell r="C147" t="str">
            <v>3311</v>
          </cell>
          <cell r="D147">
            <v>0</v>
          </cell>
          <cell r="E147">
            <v>0</v>
          </cell>
        </row>
        <row r="148">
          <cell r="B148" t="str">
            <v>CÔNG TY CỔ PHẦN PHÁT TRIỂN Y TẾ VICTORIA HEALTHCARE</v>
          </cell>
          <cell r="C148" t="str">
            <v>3311</v>
          </cell>
          <cell r="D148">
            <v>0</v>
          </cell>
          <cell r="E148">
            <v>0</v>
          </cell>
        </row>
        <row r="149">
          <cell r="B149" t="str">
            <v>Công Ty TNHH Đầu Tư Thương Mại Dịch Vụ Việt Tiến Phát</v>
          </cell>
          <cell r="C149" t="str">
            <v>3311</v>
          </cell>
          <cell r="D149">
            <v>0</v>
          </cell>
          <cell r="E149">
            <v>0</v>
          </cell>
        </row>
        <row r="150">
          <cell r="B150" t="str">
            <v>CÔNG TY TNHH THƯƠNG MẠI - DỊCH VỤ VIỆT TỨ HẢI</v>
          </cell>
          <cell r="C150" t="str">
            <v>3311</v>
          </cell>
          <cell r="D150">
            <v>0</v>
          </cell>
          <cell r="E150">
            <v>0</v>
          </cell>
        </row>
        <row r="151">
          <cell r="B151" t="str">
            <v>CÔNG TY CỔ PHẦN VISTA TRAVEL &amp; EVENT</v>
          </cell>
          <cell r="C151" t="str">
            <v>3311</v>
          </cell>
          <cell r="D151">
            <v>0</v>
          </cell>
          <cell r="E151">
            <v>0</v>
          </cell>
        </row>
        <row r="152">
          <cell r="B152" t="str">
            <v>CÔNG TY TNHH THƯƠNG MẠI - DỊCH VỤ VPP HOÀNG NAM</v>
          </cell>
          <cell r="C152" t="str">
            <v>3311</v>
          </cell>
          <cell r="D152">
            <v>0</v>
          </cell>
          <cell r="E152">
            <v>0</v>
          </cell>
        </row>
        <row r="153">
          <cell r="B153" t="str">
            <v>CÔNG TY TNHH TƯ VẤN THIẾT KẾ THI CÔNG WUA DESIGN</v>
          </cell>
          <cell r="C153" t="str">
            <v>3311</v>
          </cell>
          <cell r="D153">
            <v>0</v>
          </cell>
          <cell r="E153">
            <v>0</v>
          </cell>
        </row>
        <row r="154">
          <cell r="B154" t="str">
            <v>CÔNG TY TNHH KIẾN TRÚC XÂY DỰNG AVA</v>
          </cell>
          <cell r="C154" t="str">
            <v>3311</v>
          </cell>
          <cell r="D154">
            <v>0</v>
          </cell>
          <cell r="E154">
            <v>0</v>
          </cell>
        </row>
        <row r="155">
          <cell r="B155" t="str">
            <v>CÔNG TY CỔ PHẦN KIỂM ĐỊNH CÔNG TRÌNH XÂY DỰNG SÀI GÒN</v>
          </cell>
          <cell r="C155" t="str">
            <v>3311</v>
          </cell>
          <cell r="D155">
            <v>0</v>
          </cell>
          <cell r="E155">
            <v>0</v>
          </cell>
        </row>
        <row r="156">
          <cell r="B156" t="str">
            <v>CÔNG TY TNHH ĐẦU TƯ VÀ XÂY DỰNG TÍN PHÁT</v>
          </cell>
          <cell r="C156" t="str">
            <v>3311</v>
          </cell>
          <cell r="D156">
            <v>0</v>
          </cell>
          <cell r="E15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showZeros="0" tabSelected="1" workbookViewId="0">
      <selection activeCell="C67" sqref="C67"/>
    </sheetView>
  </sheetViews>
  <sheetFormatPr defaultRowHeight="14.15" x14ac:dyDescent="0.35"/>
  <cols>
    <col min="1" max="1" width="18.3828125" style="1" customWidth="1"/>
    <col min="2" max="2" width="30.84375" style="1" customWidth="1"/>
    <col min="3" max="3" width="18.3828125" style="1" customWidth="1"/>
    <col min="4" max="9" width="18.3828125" style="2" customWidth="1"/>
  </cols>
  <sheetData>
    <row r="1" spans="1:9" s="4" customFormat="1" ht="28.2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s="5" customFormat="1" ht="28.2" customHeight="1" x14ac:dyDescent="0.3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s="4" customFormat="1" ht="20.25" customHeight="1" x14ac:dyDescent="0.35">
      <c r="A3" s="12"/>
      <c r="B3" s="12"/>
      <c r="C3" s="12"/>
      <c r="D3" s="13"/>
      <c r="E3" s="13"/>
      <c r="F3" s="13"/>
      <c r="G3" s="13"/>
      <c r="H3" s="13"/>
      <c r="I3" s="13"/>
    </row>
    <row r="4" spans="1:9" x14ac:dyDescent="0.35">
      <c r="A4" s="10" t="s">
        <v>2</v>
      </c>
      <c r="B4" s="10" t="s">
        <v>3</v>
      </c>
      <c r="C4" s="10" t="s">
        <v>4</v>
      </c>
      <c r="D4" s="8" t="s">
        <v>5</v>
      </c>
      <c r="E4" s="9"/>
      <c r="F4" s="8" t="s">
        <v>6</v>
      </c>
      <c r="G4" s="9"/>
      <c r="H4" s="8" t="s">
        <v>7</v>
      </c>
      <c r="I4" s="9"/>
    </row>
    <row r="5" spans="1:9" x14ac:dyDescent="0.35">
      <c r="A5" s="11"/>
      <c r="B5" s="11"/>
      <c r="C5" s="11"/>
      <c r="D5" s="3" t="s">
        <v>8</v>
      </c>
      <c r="E5" s="3" t="s">
        <v>9</v>
      </c>
      <c r="F5" s="3" t="s">
        <v>8</v>
      </c>
      <c r="G5" s="3" t="s">
        <v>9</v>
      </c>
      <c r="H5" s="3" t="s">
        <v>8</v>
      </c>
      <c r="I5" s="3" t="s">
        <v>9</v>
      </c>
    </row>
    <row r="6" spans="1:9" ht="30" customHeight="1" x14ac:dyDescent="0.35">
      <c r="A6" s="1" t="s">
        <v>10</v>
      </c>
      <c r="B6" s="1" t="s">
        <v>11</v>
      </c>
      <c r="C6" s="1" t="s">
        <v>12</v>
      </c>
      <c r="E6" s="2">
        <f>VLOOKUP(B6,'[1]3311'!$B$6:$E$156,4,0)</f>
        <v>0</v>
      </c>
      <c r="F6" s="2">
        <v>60000</v>
      </c>
      <c r="G6" s="2">
        <v>60000</v>
      </c>
      <c r="I6" s="2">
        <v>0</v>
      </c>
    </row>
    <row r="7" spans="1:9" ht="45" customHeight="1" x14ac:dyDescent="0.35">
      <c r="A7" s="1" t="s">
        <v>13</v>
      </c>
      <c r="B7" s="1" t="s">
        <v>14</v>
      </c>
      <c r="C7" s="1" t="s">
        <v>12</v>
      </c>
      <c r="D7" s="2">
        <v>0</v>
      </c>
      <c r="E7" s="2">
        <f>VLOOKUP(B7,'[1]3311'!$B$6:$E$156,4,0)</f>
        <v>0</v>
      </c>
      <c r="F7" s="2">
        <v>31996000</v>
      </c>
      <c r="G7" s="2">
        <v>31996000</v>
      </c>
      <c r="H7" s="2">
        <v>0</v>
      </c>
      <c r="I7" s="2">
        <v>0</v>
      </c>
    </row>
    <row r="8" spans="1:9" ht="30" customHeight="1" x14ac:dyDescent="0.35">
      <c r="A8" s="1" t="s">
        <v>15</v>
      </c>
      <c r="B8" s="1" t="s">
        <v>16</v>
      </c>
      <c r="C8" s="1" t="s">
        <v>12</v>
      </c>
      <c r="D8" s="2">
        <v>71839904</v>
      </c>
      <c r="F8" s="2">
        <v>0</v>
      </c>
      <c r="G8" s="2">
        <v>71839904</v>
      </c>
      <c r="H8" s="2">
        <v>0</v>
      </c>
    </row>
    <row r="9" spans="1:9" ht="30" customHeight="1" x14ac:dyDescent="0.35">
      <c r="A9" s="1" t="s">
        <v>17</v>
      </c>
      <c r="B9" s="1" t="s">
        <v>18</v>
      </c>
      <c r="C9" s="1" t="s">
        <v>12</v>
      </c>
      <c r="E9" s="2">
        <f>VLOOKUP(B9,'[1]3311'!$B$6:$E$156,4,0)</f>
        <v>0</v>
      </c>
      <c r="F9" s="2">
        <v>2814900</v>
      </c>
      <c r="G9" s="2">
        <v>2814900</v>
      </c>
      <c r="I9" s="2">
        <v>0</v>
      </c>
    </row>
    <row r="10" spans="1:9" ht="45" customHeight="1" x14ac:dyDescent="0.35">
      <c r="A10" s="1" t="s">
        <v>19</v>
      </c>
      <c r="B10" s="1" t="s">
        <v>20</v>
      </c>
      <c r="C10" s="1" t="s">
        <v>12</v>
      </c>
      <c r="E10" s="2">
        <f>VLOOKUP(B10,'[1]3311'!$B$6:$E$156,4,0)</f>
        <v>0</v>
      </c>
      <c r="F10" s="2">
        <v>5312400</v>
      </c>
      <c r="G10" s="2">
        <v>5312400</v>
      </c>
      <c r="I10" s="2">
        <v>0</v>
      </c>
    </row>
    <row r="11" spans="1:9" ht="45" customHeight="1" x14ac:dyDescent="0.35">
      <c r="A11" s="1" t="s">
        <v>21</v>
      </c>
      <c r="B11" s="1" t="s">
        <v>22</v>
      </c>
      <c r="C11" s="1" t="s">
        <v>12</v>
      </c>
      <c r="D11" s="2">
        <v>0</v>
      </c>
      <c r="E11" s="2">
        <f>VLOOKUP(B11,'[1]3311'!$B$6:$E$156,4,0)</f>
        <v>0</v>
      </c>
      <c r="F11" s="2">
        <v>5763780</v>
      </c>
      <c r="G11" s="2">
        <v>5763780</v>
      </c>
      <c r="H11" s="2">
        <v>0</v>
      </c>
      <c r="I11" s="2">
        <v>0</v>
      </c>
    </row>
    <row r="12" spans="1:9" ht="30" customHeight="1" x14ac:dyDescent="0.35">
      <c r="A12" s="1" t="s">
        <v>23</v>
      </c>
      <c r="B12" s="1" t="s">
        <v>24</v>
      </c>
      <c r="C12" s="1" t="s">
        <v>12</v>
      </c>
      <c r="E12" s="2">
        <f>VLOOKUP(B12,'[1]3311'!$B$6:$E$156,4,0)</f>
        <v>0</v>
      </c>
      <c r="F12" s="2">
        <v>45400000</v>
      </c>
      <c r="G12" s="2">
        <v>45400000</v>
      </c>
      <c r="I12" s="2">
        <v>0</v>
      </c>
    </row>
    <row r="13" spans="1:9" ht="60" customHeight="1" x14ac:dyDescent="0.35">
      <c r="A13" s="1" t="s">
        <v>25</v>
      </c>
      <c r="B13" s="1" t="s">
        <v>26</v>
      </c>
      <c r="C13" s="1" t="s">
        <v>12</v>
      </c>
      <c r="E13" s="2">
        <f>VLOOKUP(B13,'[1]3311'!$B$6:$E$156,4,0)</f>
        <v>0</v>
      </c>
      <c r="F13" s="2">
        <v>76712400</v>
      </c>
      <c r="G13" s="2">
        <v>76712400</v>
      </c>
      <c r="I13" s="2">
        <v>0</v>
      </c>
    </row>
    <row r="14" spans="1:9" ht="30" customHeight="1" x14ac:dyDescent="0.35">
      <c r="A14" s="1" t="s">
        <v>27</v>
      </c>
      <c r="B14" s="1" t="s">
        <v>28</v>
      </c>
      <c r="C14" s="1" t="s">
        <v>12</v>
      </c>
      <c r="E14" s="2">
        <f>VLOOKUP(B14,'[1]3311'!$B$6:$E$156,4,0)</f>
        <v>2854080</v>
      </c>
      <c r="F14" s="2">
        <v>47267840</v>
      </c>
      <c r="G14" s="2">
        <v>47958240</v>
      </c>
      <c r="I14" s="2">
        <v>3544480</v>
      </c>
    </row>
    <row r="15" spans="1:9" ht="30" customHeight="1" x14ac:dyDescent="0.35">
      <c r="A15" s="1" t="s">
        <v>29</v>
      </c>
      <c r="B15" s="1" t="s">
        <v>30</v>
      </c>
      <c r="C15" s="1" t="s">
        <v>12</v>
      </c>
      <c r="D15" s="2">
        <v>0</v>
      </c>
      <c r="E15" s="2">
        <f>VLOOKUP(B15,'[1]3311'!$B$6:$E$156,4,0)</f>
        <v>0</v>
      </c>
      <c r="F15" s="2">
        <v>63478500</v>
      </c>
      <c r="G15" s="2">
        <v>63478500</v>
      </c>
      <c r="H15" s="2">
        <v>0</v>
      </c>
      <c r="I15" s="2">
        <v>0</v>
      </c>
    </row>
    <row r="16" spans="1:9" ht="30" customHeight="1" x14ac:dyDescent="0.35">
      <c r="A16" s="1" t="s">
        <v>31</v>
      </c>
      <c r="B16" s="1" t="s">
        <v>32</v>
      </c>
      <c r="C16" s="1" t="s">
        <v>12</v>
      </c>
      <c r="D16" s="2">
        <v>0</v>
      </c>
      <c r="E16" s="2">
        <f>VLOOKUP(B16,'[1]3311'!$B$6:$E$156,4,0)</f>
        <v>0</v>
      </c>
      <c r="F16" s="2">
        <v>181823849</v>
      </c>
      <c r="G16" s="2">
        <v>181823849</v>
      </c>
      <c r="H16" s="2">
        <v>0</v>
      </c>
      <c r="I16" s="2">
        <v>0</v>
      </c>
    </row>
    <row r="17" spans="1:9" ht="45" customHeight="1" x14ac:dyDescent="0.35">
      <c r="A17" s="1" t="s">
        <v>33</v>
      </c>
      <c r="B17" s="1" t="s">
        <v>34</v>
      </c>
      <c r="C17" s="1" t="s">
        <v>12</v>
      </c>
      <c r="D17" s="2">
        <v>4698000</v>
      </c>
      <c r="E17" s="2">
        <f>VLOOKUP(B17,'[1]3311'!$B$6:$E$156,4,0)</f>
        <v>0</v>
      </c>
      <c r="F17" s="2">
        <v>9396000</v>
      </c>
      <c r="G17" s="2">
        <v>14094000</v>
      </c>
      <c r="H17" s="2">
        <v>0</v>
      </c>
      <c r="I17" s="2">
        <v>0</v>
      </c>
    </row>
    <row r="18" spans="1:9" ht="45" customHeight="1" x14ac:dyDescent="0.35">
      <c r="A18" s="1" t="s">
        <v>35</v>
      </c>
      <c r="B18" s="1" t="s">
        <v>36</v>
      </c>
      <c r="C18" s="1" t="s">
        <v>12</v>
      </c>
      <c r="E18" s="2">
        <f>VLOOKUP(B18,'[1]3311'!$B$6:$E$156,4,0)</f>
        <v>0</v>
      </c>
      <c r="F18" s="2">
        <v>62748000</v>
      </c>
      <c r="G18" s="2">
        <v>62748000</v>
      </c>
      <c r="I18" s="2">
        <v>0</v>
      </c>
    </row>
    <row r="19" spans="1:9" ht="30" customHeight="1" x14ac:dyDescent="0.35">
      <c r="A19" s="1" t="s">
        <v>37</v>
      </c>
      <c r="B19" s="1" t="s">
        <v>38</v>
      </c>
      <c r="C19" s="1" t="s">
        <v>12</v>
      </c>
      <c r="D19" s="2">
        <v>0</v>
      </c>
      <c r="E19" s="2">
        <f>VLOOKUP(B19,'[1]3311'!$B$6:$E$156,4,0)</f>
        <v>0</v>
      </c>
      <c r="F19" s="2">
        <v>301654650</v>
      </c>
      <c r="G19" s="2">
        <v>301654650</v>
      </c>
      <c r="H19" s="2">
        <v>0</v>
      </c>
      <c r="I19" s="2">
        <v>0</v>
      </c>
    </row>
    <row r="20" spans="1:9" ht="30" customHeight="1" x14ac:dyDescent="0.35">
      <c r="A20" s="1" t="s">
        <v>39</v>
      </c>
      <c r="B20" s="1" t="s">
        <v>40</v>
      </c>
      <c r="C20" s="1" t="s">
        <v>12</v>
      </c>
      <c r="E20" s="2">
        <f>VLOOKUP(B20,'[1]3311'!$B$6:$E$156,4,0)</f>
        <v>0</v>
      </c>
      <c r="F20" s="2">
        <v>24624000</v>
      </c>
      <c r="G20" s="2">
        <v>24624000</v>
      </c>
      <c r="I20" s="2">
        <v>0</v>
      </c>
    </row>
    <row r="21" spans="1:9" ht="45" customHeight="1" x14ac:dyDescent="0.35">
      <c r="A21" s="1" t="s">
        <v>41</v>
      </c>
      <c r="B21" s="1" t="s">
        <v>42</v>
      </c>
      <c r="C21" s="1" t="s">
        <v>12</v>
      </c>
      <c r="E21" s="2">
        <f>VLOOKUP(B21,'[1]3311'!$B$6:$E$156,4,0)</f>
        <v>0</v>
      </c>
      <c r="F21" s="2">
        <v>212512499</v>
      </c>
      <c r="G21" s="2">
        <v>212512499</v>
      </c>
      <c r="I21" s="2">
        <v>0</v>
      </c>
    </row>
    <row r="22" spans="1:9" ht="30" customHeight="1" x14ac:dyDescent="0.35">
      <c r="A22" s="1" t="s">
        <v>43</v>
      </c>
      <c r="B22" s="1" t="s">
        <v>44</v>
      </c>
      <c r="C22" s="1" t="s">
        <v>12</v>
      </c>
      <c r="E22" s="2">
        <f>VLOOKUP(B22,'[1]3311'!$B$6:$E$156,4,0)</f>
        <v>0</v>
      </c>
      <c r="F22" s="2">
        <v>92664000</v>
      </c>
      <c r="G22" s="2">
        <v>92664000</v>
      </c>
      <c r="I22" s="2">
        <v>0</v>
      </c>
    </row>
    <row r="23" spans="1:9" ht="45" customHeight="1" x14ac:dyDescent="0.35">
      <c r="A23" s="1" t="s">
        <v>45</v>
      </c>
      <c r="B23" s="1" t="s">
        <v>46</v>
      </c>
      <c r="C23" s="1" t="s">
        <v>12</v>
      </c>
      <c r="D23" s="2">
        <v>0</v>
      </c>
      <c r="E23" s="2">
        <f>VLOOKUP(B23,'[1]3311'!$B$6:$E$156,4,0)</f>
        <v>0</v>
      </c>
      <c r="F23" s="2">
        <v>1133377127</v>
      </c>
      <c r="G23" s="2">
        <v>1133377127</v>
      </c>
      <c r="H23" s="2">
        <v>0</v>
      </c>
      <c r="I23" s="2">
        <v>0</v>
      </c>
    </row>
    <row r="24" spans="1:9" ht="45" customHeight="1" x14ac:dyDescent="0.35">
      <c r="A24" s="1" t="s">
        <v>47</v>
      </c>
      <c r="B24" s="1" t="s">
        <v>48</v>
      </c>
      <c r="C24" s="1" t="s">
        <v>12</v>
      </c>
      <c r="D24" s="2">
        <v>0</v>
      </c>
      <c r="E24" s="2">
        <f>VLOOKUP(B24,'[1]3311'!$B$6:$E$156,4,0)</f>
        <v>0</v>
      </c>
      <c r="F24" s="2">
        <v>801615493</v>
      </c>
      <c r="G24" s="2">
        <v>801615493</v>
      </c>
      <c r="H24" s="2">
        <v>0</v>
      </c>
      <c r="I24" s="2">
        <v>0</v>
      </c>
    </row>
    <row r="25" spans="1:9" ht="30" customHeight="1" x14ac:dyDescent="0.35">
      <c r="A25" s="1" t="s">
        <v>49</v>
      </c>
      <c r="B25" s="1" t="s">
        <v>50</v>
      </c>
      <c r="C25" s="1" t="s">
        <v>12</v>
      </c>
      <c r="E25" s="2">
        <f>VLOOKUP(B25,'[1]3311'!$B$6:$E$156,4,0)</f>
        <v>0</v>
      </c>
      <c r="F25" s="2">
        <v>9463894</v>
      </c>
      <c r="G25" s="2">
        <v>11512114</v>
      </c>
      <c r="I25" s="2">
        <v>2048220</v>
      </c>
    </row>
    <row r="26" spans="1:9" ht="30" customHeight="1" x14ac:dyDescent="0.35">
      <c r="A26" s="1" t="s">
        <v>51</v>
      </c>
      <c r="B26" s="1" t="s">
        <v>52</v>
      </c>
      <c r="C26" s="1" t="s">
        <v>12</v>
      </c>
      <c r="D26" s="2">
        <v>0</v>
      </c>
      <c r="E26" s="2">
        <f>VLOOKUP(B26,'[1]3311'!$B$6:$E$156,4,0)</f>
        <v>0</v>
      </c>
      <c r="F26" s="2">
        <v>42000000</v>
      </c>
      <c r="G26" s="2">
        <v>42000000</v>
      </c>
      <c r="H26" s="2">
        <v>0</v>
      </c>
      <c r="I26" s="2">
        <v>0</v>
      </c>
    </row>
    <row r="27" spans="1:9" ht="30" customHeight="1" x14ac:dyDescent="0.35">
      <c r="A27" s="1" t="s">
        <v>53</v>
      </c>
      <c r="B27" s="1" t="s">
        <v>54</v>
      </c>
      <c r="C27" s="1" t="s">
        <v>12</v>
      </c>
      <c r="D27" s="2">
        <v>0</v>
      </c>
      <c r="E27" s="2">
        <f>VLOOKUP(B27,'[1]3311'!$B$6:$E$156,4,0)</f>
        <v>0</v>
      </c>
      <c r="F27" s="2">
        <v>75076001</v>
      </c>
      <c r="G27" s="2">
        <v>75076001</v>
      </c>
      <c r="H27" s="2">
        <v>0</v>
      </c>
      <c r="I27" s="2">
        <v>0</v>
      </c>
    </row>
    <row r="28" spans="1:9" ht="45" customHeight="1" x14ac:dyDescent="0.35">
      <c r="A28" s="1" t="s">
        <v>55</v>
      </c>
      <c r="B28" s="1" t="s">
        <v>56</v>
      </c>
      <c r="C28" s="1" t="s">
        <v>12</v>
      </c>
      <c r="D28" s="2">
        <v>0</v>
      </c>
      <c r="E28" s="2">
        <f>VLOOKUP(B28,'[1]3311'!$B$6:$E$156,4,0)</f>
        <v>0</v>
      </c>
      <c r="F28" s="2">
        <v>45900000</v>
      </c>
      <c r="G28" s="2">
        <v>45900000</v>
      </c>
      <c r="H28" s="2">
        <v>0</v>
      </c>
      <c r="I28" s="2">
        <v>0</v>
      </c>
    </row>
    <row r="29" spans="1:9" ht="45" customHeight="1" x14ac:dyDescent="0.35">
      <c r="A29" s="1" t="s">
        <v>57</v>
      </c>
      <c r="B29" s="1" t="s">
        <v>58</v>
      </c>
      <c r="C29" s="1" t="s">
        <v>12</v>
      </c>
      <c r="E29" s="2">
        <f>VLOOKUP(B29,'[1]3311'!$B$6:$E$156,4,0)</f>
        <v>0</v>
      </c>
      <c r="F29" s="2">
        <v>60763224</v>
      </c>
      <c r="G29" s="2">
        <v>60763224</v>
      </c>
      <c r="I29" s="2">
        <v>0</v>
      </c>
    </row>
    <row r="30" spans="1:9" ht="30" customHeight="1" x14ac:dyDescent="0.35">
      <c r="A30" s="1" t="s">
        <v>59</v>
      </c>
      <c r="B30" s="1" t="s">
        <v>60</v>
      </c>
      <c r="C30" s="1" t="s">
        <v>12</v>
      </c>
      <c r="D30" s="2">
        <v>0</v>
      </c>
      <c r="E30" s="2">
        <f>VLOOKUP(B30,'[1]3311'!$B$6:$E$156,4,0)</f>
        <v>0</v>
      </c>
      <c r="F30" s="2">
        <v>89197200</v>
      </c>
      <c r="G30" s="2">
        <v>89197200</v>
      </c>
      <c r="H30" s="2">
        <v>0</v>
      </c>
      <c r="I30" s="2">
        <v>0</v>
      </c>
    </row>
    <row r="31" spans="1:9" ht="30" customHeight="1" x14ac:dyDescent="0.35">
      <c r="A31" s="1" t="s">
        <v>61</v>
      </c>
      <c r="B31" s="1" t="s">
        <v>62</v>
      </c>
      <c r="C31" s="1" t="s">
        <v>12</v>
      </c>
      <c r="E31" s="2">
        <f>VLOOKUP(B31,'[1]3311'!$B$6:$E$156,4,0)</f>
        <v>0</v>
      </c>
      <c r="F31" s="2">
        <v>27180000</v>
      </c>
      <c r="G31" s="2">
        <v>27180000</v>
      </c>
      <c r="I31" s="2">
        <v>0</v>
      </c>
    </row>
    <row r="32" spans="1:9" ht="45" customHeight="1" x14ac:dyDescent="0.35">
      <c r="A32" s="1" t="s">
        <v>63</v>
      </c>
      <c r="B32" s="1" t="s">
        <v>64</v>
      </c>
      <c r="C32" s="1" t="s">
        <v>12</v>
      </c>
      <c r="D32" s="2">
        <v>0</v>
      </c>
      <c r="E32" s="2">
        <f>VLOOKUP(B32,'[1]3311'!$B$6:$E$156,4,0)</f>
        <v>0</v>
      </c>
      <c r="F32" s="2">
        <v>296067920</v>
      </c>
      <c r="G32" s="2">
        <v>296067920</v>
      </c>
      <c r="H32" s="2">
        <v>0</v>
      </c>
      <c r="I32" s="2">
        <v>0</v>
      </c>
    </row>
    <row r="33" spans="1:9" ht="45" customHeight="1" x14ac:dyDescent="0.35">
      <c r="A33" s="1" t="s">
        <v>65</v>
      </c>
      <c r="B33" s="1" t="s">
        <v>66</v>
      </c>
      <c r="C33" s="1" t="s">
        <v>12</v>
      </c>
      <c r="E33" s="2">
        <f>VLOOKUP(B33,'[1]3311'!$B$6:$E$156,4,0)</f>
        <v>0</v>
      </c>
      <c r="F33" s="2">
        <v>9300000</v>
      </c>
      <c r="G33" s="2">
        <v>9300000</v>
      </c>
      <c r="I33" s="2">
        <v>0</v>
      </c>
    </row>
    <row r="34" spans="1:9" ht="30" customHeight="1" x14ac:dyDescent="0.35">
      <c r="A34" s="1" t="s">
        <v>67</v>
      </c>
      <c r="B34" s="1" t="s">
        <v>68</v>
      </c>
      <c r="C34" s="1" t="s">
        <v>12</v>
      </c>
      <c r="E34" s="2">
        <f>VLOOKUP(B34,'[1]3311'!$B$6:$E$156,4,0)</f>
        <v>0</v>
      </c>
      <c r="F34" s="2">
        <v>4284000</v>
      </c>
      <c r="G34" s="2">
        <v>4284000</v>
      </c>
      <c r="I34" s="2">
        <v>0</v>
      </c>
    </row>
    <row r="35" spans="1:9" ht="45" customHeight="1" x14ac:dyDescent="0.35">
      <c r="A35" s="1" t="s">
        <v>69</v>
      </c>
      <c r="B35" s="1" t="s">
        <v>70</v>
      </c>
      <c r="C35" s="1" t="s">
        <v>12</v>
      </c>
      <c r="D35" s="2">
        <v>0</v>
      </c>
      <c r="E35" s="2">
        <f>VLOOKUP(B35,'[1]3311'!$B$6:$E$156,4,0)</f>
        <v>0</v>
      </c>
      <c r="F35" s="2">
        <v>7257600</v>
      </c>
      <c r="G35" s="2">
        <v>7257600</v>
      </c>
      <c r="H35" s="2">
        <v>0</v>
      </c>
      <c r="I35" s="2">
        <v>0</v>
      </c>
    </row>
    <row r="36" spans="1:9" ht="45" customHeight="1" x14ac:dyDescent="0.35">
      <c r="A36" s="1" t="s">
        <v>71</v>
      </c>
      <c r="B36" s="1" t="s">
        <v>72</v>
      </c>
      <c r="C36" s="1" t="s">
        <v>12</v>
      </c>
      <c r="D36" s="2">
        <v>0</v>
      </c>
      <c r="E36" s="2">
        <f>VLOOKUP(B36,'[1]3311'!$B$6:$E$156,4,0)</f>
        <v>13057229</v>
      </c>
      <c r="F36" s="2">
        <v>10850640208</v>
      </c>
      <c r="G36" s="2">
        <v>11906941636</v>
      </c>
      <c r="H36" s="2">
        <v>0</v>
      </c>
      <c r="I36" s="2">
        <v>1069358657</v>
      </c>
    </row>
    <row r="37" spans="1:9" ht="45" customHeight="1" x14ac:dyDescent="0.35">
      <c r="A37" s="1" t="s">
        <v>73</v>
      </c>
      <c r="B37" s="1" t="s">
        <v>74</v>
      </c>
      <c r="C37" s="1" t="s">
        <v>12</v>
      </c>
      <c r="E37" s="2">
        <f>VLOOKUP(B37,'[1]3311'!$B$6:$E$156,4,0)</f>
        <v>0</v>
      </c>
      <c r="F37" s="2">
        <v>9720000</v>
      </c>
      <c r="G37" s="2">
        <v>10800000</v>
      </c>
      <c r="I37" s="2">
        <v>1080000</v>
      </c>
    </row>
    <row r="38" spans="1:9" ht="30" customHeight="1" x14ac:dyDescent="0.35">
      <c r="A38" s="1" t="s">
        <v>75</v>
      </c>
      <c r="B38" s="1" t="s">
        <v>76</v>
      </c>
      <c r="C38" s="1" t="s">
        <v>12</v>
      </c>
      <c r="D38" s="2">
        <v>0</v>
      </c>
      <c r="E38" s="2">
        <f>VLOOKUP(B38,'[1]3311'!$B$6:$E$156,4,0)</f>
        <v>0</v>
      </c>
      <c r="F38" s="2">
        <v>172800000</v>
      </c>
      <c r="G38" s="2">
        <v>172800000</v>
      </c>
      <c r="H38" s="2">
        <v>0</v>
      </c>
      <c r="I38" s="2">
        <v>0</v>
      </c>
    </row>
    <row r="39" spans="1:9" ht="30" customHeight="1" x14ac:dyDescent="0.35">
      <c r="A39" s="1" t="s">
        <v>77</v>
      </c>
      <c r="B39" s="1" t="s">
        <v>78</v>
      </c>
      <c r="C39" s="1" t="s">
        <v>12</v>
      </c>
      <c r="E39" s="2">
        <f>VLOOKUP(B39,'[1]3311'!$B$6:$E$156,4,0)</f>
        <v>0</v>
      </c>
      <c r="F39" s="2">
        <v>5574312</v>
      </c>
      <c r="G39" s="2">
        <v>5574312</v>
      </c>
      <c r="I39" s="2">
        <v>0</v>
      </c>
    </row>
    <row r="40" spans="1:9" ht="30" customHeight="1" x14ac:dyDescent="0.35">
      <c r="A40" s="1" t="s">
        <v>79</v>
      </c>
      <c r="B40" s="1" t="s">
        <v>80</v>
      </c>
      <c r="C40" s="1" t="s">
        <v>12</v>
      </c>
      <c r="E40" s="2">
        <f>VLOOKUP(B40,'[1]3311'!$B$6:$E$156,4,0)</f>
        <v>0</v>
      </c>
      <c r="F40" s="2">
        <v>93420000</v>
      </c>
      <c r="G40" s="2">
        <v>93420000</v>
      </c>
      <c r="I40" s="2">
        <v>0</v>
      </c>
    </row>
    <row r="41" spans="1:9" ht="45" customHeight="1" x14ac:dyDescent="0.35">
      <c r="A41" s="1" t="s">
        <v>81</v>
      </c>
      <c r="B41" s="1" t="s">
        <v>82</v>
      </c>
      <c r="C41" s="1" t="s">
        <v>12</v>
      </c>
      <c r="D41" s="2">
        <v>0</v>
      </c>
      <c r="E41" s="2">
        <f>VLOOKUP(B41,'[1]3311'!$B$6:$E$156,4,0)</f>
        <v>0</v>
      </c>
      <c r="F41" s="2">
        <v>12538800</v>
      </c>
      <c r="G41" s="2">
        <v>12538800</v>
      </c>
      <c r="H41" s="2">
        <v>0</v>
      </c>
      <c r="I41" s="2">
        <v>0</v>
      </c>
    </row>
    <row r="42" spans="1:9" ht="45" customHeight="1" x14ac:dyDescent="0.35">
      <c r="A42" s="1" t="s">
        <v>83</v>
      </c>
      <c r="B42" s="1" t="s">
        <v>84</v>
      </c>
      <c r="C42" s="1" t="s">
        <v>12</v>
      </c>
      <c r="E42" s="2">
        <f>VLOOKUP(B42,'[1]3311'!$B$6:$E$156,4,0)</f>
        <v>0</v>
      </c>
      <c r="F42" s="2">
        <v>0</v>
      </c>
      <c r="G42" s="2">
        <v>6156000</v>
      </c>
      <c r="I42" s="2">
        <v>6156000</v>
      </c>
    </row>
    <row r="43" spans="1:9" ht="30" customHeight="1" x14ac:dyDescent="0.35">
      <c r="A43" s="1" t="s">
        <v>85</v>
      </c>
      <c r="B43" s="1" t="s">
        <v>86</v>
      </c>
      <c r="C43" s="1" t="s">
        <v>12</v>
      </c>
      <c r="E43" s="2">
        <f>VLOOKUP(B43,'[1]3311'!$B$6:$E$156,4,0)</f>
        <v>0</v>
      </c>
      <c r="F43" s="2">
        <v>6160000</v>
      </c>
      <c r="G43" s="2">
        <v>6160000</v>
      </c>
      <c r="I43" s="2">
        <v>0</v>
      </c>
    </row>
    <row r="44" spans="1:9" ht="45" customHeight="1" x14ac:dyDescent="0.35">
      <c r="A44" s="1" t="s">
        <v>87</v>
      </c>
      <c r="B44" s="1" t="s">
        <v>88</v>
      </c>
      <c r="C44" s="1" t="s">
        <v>12</v>
      </c>
      <c r="D44" s="2">
        <v>0</v>
      </c>
      <c r="E44" s="2">
        <f>VLOOKUP(B44,'[1]3311'!$B$6:$E$156,4,0)</f>
        <v>0</v>
      </c>
      <c r="F44" s="2">
        <v>21481200</v>
      </c>
      <c r="G44" s="2">
        <v>21481200</v>
      </c>
      <c r="H44" s="2">
        <v>0</v>
      </c>
      <c r="I44" s="2">
        <v>0</v>
      </c>
    </row>
    <row r="45" spans="1:9" ht="45" customHeight="1" x14ac:dyDescent="0.35">
      <c r="A45" s="1" t="s">
        <v>89</v>
      </c>
      <c r="B45" s="1" t="s">
        <v>90</v>
      </c>
      <c r="C45" s="1" t="s">
        <v>12</v>
      </c>
      <c r="E45" s="2">
        <f>VLOOKUP(B45,'[1]3311'!$B$6:$E$156,4,0)</f>
        <v>0</v>
      </c>
      <c r="F45" s="2">
        <v>18100000</v>
      </c>
      <c r="G45" s="2">
        <v>18100000</v>
      </c>
      <c r="I45" s="2">
        <v>0</v>
      </c>
    </row>
    <row r="46" spans="1:9" ht="45" customHeight="1" x14ac:dyDescent="0.35">
      <c r="A46" s="1" t="s">
        <v>91</v>
      </c>
      <c r="B46" s="1" t="s">
        <v>92</v>
      </c>
      <c r="C46" s="1" t="s">
        <v>12</v>
      </c>
      <c r="D46" s="2">
        <v>0</v>
      </c>
      <c r="E46" s="2">
        <f>VLOOKUP(B46,'[1]3311'!$B$6:$E$156,4,0)</f>
        <v>0</v>
      </c>
      <c r="F46" s="2">
        <v>15552000</v>
      </c>
      <c r="G46" s="2">
        <v>15552000</v>
      </c>
      <c r="H46" s="2">
        <v>0</v>
      </c>
      <c r="I46" s="2">
        <v>0</v>
      </c>
    </row>
    <row r="47" spans="1:9" ht="30" customHeight="1" x14ac:dyDescent="0.35">
      <c r="A47" s="1" t="s">
        <v>93</v>
      </c>
      <c r="B47" s="1" t="s">
        <v>94</v>
      </c>
      <c r="C47" s="1" t="s">
        <v>12</v>
      </c>
      <c r="E47" s="2">
        <f>VLOOKUP(B47,'[1]3311'!$B$6:$E$156,4,0)</f>
        <v>0</v>
      </c>
      <c r="F47" s="2">
        <v>9450000</v>
      </c>
      <c r="G47" s="2">
        <v>9450000</v>
      </c>
      <c r="I47" s="2">
        <v>0</v>
      </c>
    </row>
    <row r="48" spans="1:9" ht="30" customHeight="1" x14ac:dyDescent="0.35">
      <c r="A48" s="1" t="s">
        <v>95</v>
      </c>
      <c r="B48" s="1" t="s">
        <v>96</v>
      </c>
      <c r="C48" s="1" t="s">
        <v>12</v>
      </c>
      <c r="D48" s="2">
        <v>0</v>
      </c>
      <c r="E48" s="2">
        <f>VLOOKUP(B48,'[1]3311'!$B$6:$E$156,4,0)</f>
        <v>0</v>
      </c>
      <c r="F48" s="2">
        <v>3053502250</v>
      </c>
      <c r="G48" s="2">
        <v>3053502250</v>
      </c>
      <c r="H48" s="2">
        <v>0</v>
      </c>
      <c r="I48" s="2">
        <v>0</v>
      </c>
    </row>
    <row r="49" spans="1:9" ht="30" customHeight="1" x14ac:dyDescent="0.35">
      <c r="A49" s="1" t="s">
        <v>97</v>
      </c>
      <c r="B49" s="1" t="s">
        <v>98</v>
      </c>
      <c r="C49" s="1" t="s">
        <v>12</v>
      </c>
      <c r="D49" s="2">
        <v>0</v>
      </c>
      <c r="E49" s="2">
        <f>VLOOKUP(B49,'[1]3311'!$B$6:$E$156,4,0)</f>
        <v>0</v>
      </c>
      <c r="F49" s="2">
        <v>370370000</v>
      </c>
      <c r="G49" s="2">
        <v>370370000</v>
      </c>
      <c r="H49" s="2">
        <v>0</v>
      </c>
      <c r="I49" s="2">
        <v>0</v>
      </c>
    </row>
    <row r="50" spans="1:9" ht="30" customHeight="1" x14ac:dyDescent="0.35">
      <c r="A50" s="1" t="s">
        <v>99</v>
      </c>
      <c r="B50" s="1" t="s">
        <v>100</v>
      </c>
      <c r="C50" s="1" t="s">
        <v>12</v>
      </c>
      <c r="D50" s="2">
        <v>0</v>
      </c>
      <c r="E50" s="2">
        <f>VLOOKUP(B50,'[1]3311'!$B$6:$E$156,4,0)</f>
        <v>0</v>
      </c>
      <c r="F50" s="2">
        <v>437238000</v>
      </c>
      <c r="G50" s="2">
        <v>437238000</v>
      </c>
      <c r="H50" s="2">
        <v>0</v>
      </c>
      <c r="I50" s="2">
        <v>0</v>
      </c>
    </row>
    <row r="51" spans="1:9" ht="30" customHeight="1" x14ac:dyDescent="0.35">
      <c r="A51" s="1" t="s">
        <v>101</v>
      </c>
      <c r="B51" s="1" t="s">
        <v>102</v>
      </c>
      <c r="C51" s="1" t="s">
        <v>12</v>
      </c>
      <c r="E51" s="2">
        <f>VLOOKUP(B51,'[1]3311'!$B$6:$E$156,4,0)</f>
        <v>0</v>
      </c>
      <c r="F51" s="2">
        <v>3467455026</v>
      </c>
      <c r="G51" s="2">
        <v>3467455026</v>
      </c>
      <c r="I51" s="2">
        <v>0</v>
      </c>
    </row>
    <row r="52" spans="1:9" x14ac:dyDescent="0.35">
      <c r="A52" s="1" t="s">
        <v>103</v>
      </c>
      <c r="B52" s="1" t="s">
        <v>104</v>
      </c>
      <c r="C52" s="1" t="s">
        <v>12</v>
      </c>
      <c r="D52" s="2">
        <v>0</v>
      </c>
      <c r="F52" s="2">
        <v>51336000</v>
      </c>
      <c r="G52" s="2">
        <v>0</v>
      </c>
      <c r="H52" s="2">
        <v>51336000</v>
      </c>
    </row>
    <row r="53" spans="1:9" ht="30" customHeight="1" x14ac:dyDescent="0.35">
      <c r="A53" s="1" t="s">
        <v>105</v>
      </c>
      <c r="B53" s="1" t="s">
        <v>106</v>
      </c>
      <c r="C53" s="1" t="s">
        <v>12</v>
      </c>
      <c r="D53" s="2">
        <v>0</v>
      </c>
      <c r="E53" s="2">
        <f>VLOOKUP(B53,'[1]3311'!$B$6:$E$156,4,0)</f>
        <v>0</v>
      </c>
      <c r="F53" s="2">
        <v>83700000</v>
      </c>
      <c r="G53" s="2">
        <v>83700000</v>
      </c>
      <c r="H53" s="2">
        <v>0</v>
      </c>
      <c r="I53" s="2">
        <v>0</v>
      </c>
    </row>
    <row r="54" spans="1:9" ht="30" customHeight="1" x14ac:dyDescent="0.35">
      <c r="A54" s="1" t="s">
        <v>107</v>
      </c>
      <c r="B54" s="1" t="s">
        <v>108</v>
      </c>
      <c r="C54" s="1" t="s">
        <v>12</v>
      </c>
      <c r="E54" s="2">
        <f>VLOOKUP(B54,'[1]3311'!$B$6:$E$156,4,0)</f>
        <v>0</v>
      </c>
      <c r="F54" s="2">
        <v>618466320</v>
      </c>
      <c r="G54" s="2">
        <v>647151120</v>
      </c>
      <c r="I54" s="2">
        <v>28684800</v>
      </c>
    </row>
    <row r="55" spans="1:9" ht="45" customHeight="1" x14ac:dyDescent="0.35">
      <c r="A55" s="1" t="s">
        <v>109</v>
      </c>
      <c r="B55" s="1" t="s">
        <v>110</v>
      </c>
      <c r="C55" s="1" t="s">
        <v>12</v>
      </c>
      <c r="D55" s="2">
        <v>0</v>
      </c>
      <c r="E55" s="2">
        <f>VLOOKUP(B55,'[1]3311'!$B$6:$E$156,4,0)</f>
        <v>0</v>
      </c>
      <c r="F55" s="2">
        <v>351691900</v>
      </c>
      <c r="G55" s="2">
        <v>351274000</v>
      </c>
      <c r="H55" s="2">
        <v>417900</v>
      </c>
      <c r="I55" s="2">
        <v>0</v>
      </c>
    </row>
    <row r="56" spans="1:9" ht="45" customHeight="1" x14ac:dyDescent="0.35">
      <c r="A56" s="1" t="s">
        <v>111</v>
      </c>
      <c r="B56" s="1" t="s">
        <v>112</v>
      </c>
      <c r="C56" s="1" t="s">
        <v>12</v>
      </c>
      <c r="E56" s="2">
        <f>VLOOKUP(B56,'[1]3311'!$B$6:$E$156,4,0)</f>
        <v>0</v>
      </c>
      <c r="F56" s="2">
        <v>23568543</v>
      </c>
      <c r="G56" s="2">
        <v>23568543</v>
      </c>
      <c r="I56" s="2">
        <v>0</v>
      </c>
    </row>
    <row r="57" spans="1:9" ht="30" customHeight="1" x14ac:dyDescent="0.35">
      <c r="A57" s="1" t="s">
        <v>113</v>
      </c>
      <c r="B57" s="1" t="s">
        <v>114</v>
      </c>
      <c r="C57" s="1" t="s">
        <v>12</v>
      </c>
      <c r="E57" s="2">
        <f>VLOOKUP(B57,'[1]3311'!$B$6:$E$156,4,0)</f>
        <v>0</v>
      </c>
      <c r="F57" s="2">
        <v>57521860</v>
      </c>
      <c r="G57" s="2">
        <v>57521860</v>
      </c>
      <c r="I57" s="2">
        <v>0</v>
      </c>
    </row>
    <row r="58" spans="1:9" ht="30" customHeight="1" x14ac:dyDescent="0.35">
      <c r="A58" s="1" t="s">
        <v>115</v>
      </c>
      <c r="B58" s="1" t="s">
        <v>116</v>
      </c>
      <c r="C58" s="1" t="s">
        <v>12</v>
      </c>
      <c r="D58" s="2">
        <v>0</v>
      </c>
      <c r="E58" s="2">
        <f>VLOOKUP(B58,'[1]3311'!$B$6:$E$156,4,0)</f>
        <v>0</v>
      </c>
      <c r="F58" s="2">
        <v>383905642</v>
      </c>
      <c r="G58" s="2">
        <v>383905642</v>
      </c>
      <c r="H58" s="2">
        <v>0</v>
      </c>
      <c r="I58" s="2">
        <v>0</v>
      </c>
    </row>
    <row r="59" spans="1:9" x14ac:dyDescent="0.35">
      <c r="A59" s="1" t="s">
        <v>117</v>
      </c>
      <c r="B59" s="1" t="s">
        <v>118</v>
      </c>
      <c r="C59" s="1" t="s">
        <v>12</v>
      </c>
      <c r="D59" s="2">
        <v>0</v>
      </c>
      <c r="E59" s="2">
        <f>VLOOKUP(B59,'[1]3311'!$B$6:$E$156,4,0)</f>
        <v>0</v>
      </c>
      <c r="F59" s="2">
        <v>6926699</v>
      </c>
      <c r="G59" s="2">
        <v>6926699</v>
      </c>
      <c r="H59" s="2">
        <v>0</v>
      </c>
      <c r="I59" s="2">
        <v>0</v>
      </c>
    </row>
    <row r="60" spans="1:9" ht="30" customHeight="1" x14ac:dyDescent="0.35">
      <c r="A60" s="1" t="s">
        <v>119</v>
      </c>
      <c r="B60" s="1" t="s">
        <v>120</v>
      </c>
      <c r="C60" s="1" t="s">
        <v>12</v>
      </c>
      <c r="E60" s="2">
        <f>VLOOKUP(B60,'[1]3311'!$B$6:$E$156,4,0)</f>
        <v>0</v>
      </c>
      <c r="F60" s="2">
        <v>11400000</v>
      </c>
      <c r="G60" s="2">
        <v>11400000</v>
      </c>
      <c r="I60" s="2">
        <v>0</v>
      </c>
    </row>
    <row r="61" spans="1:9" ht="45" customHeight="1" x14ac:dyDescent="0.35">
      <c r="A61" s="1" t="s">
        <v>121</v>
      </c>
      <c r="B61" s="1" t="s">
        <v>122</v>
      </c>
      <c r="C61" s="1" t="s">
        <v>12</v>
      </c>
      <c r="E61" s="2">
        <f>VLOOKUP(B61,'[1]3311'!$B$6:$E$156,4,0)</f>
        <v>0</v>
      </c>
      <c r="F61" s="2">
        <v>35590000</v>
      </c>
      <c r="G61" s="2">
        <v>35590000</v>
      </c>
      <c r="I61" s="2">
        <v>0</v>
      </c>
    </row>
    <row r="62" spans="1:9" ht="30" customHeight="1" x14ac:dyDescent="0.35">
      <c r="A62" s="1" t="s">
        <v>123</v>
      </c>
      <c r="B62" s="1" t="s">
        <v>124</v>
      </c>
      <c r="C62" s="1" t="s">
        <v>12</v>
      </c>
      <c r="E62" s="2">
        <f>VLOOKUP(B62,'[1]3311'!$B$6:$E$156,4,0)</f>
        <v>0</v>
      </c>
      <c r="F62" s="2">
        <v>7590000</v>
      </c>
      <c r="G62" s="2">
        <v>7590000</v>
      </c>
      <c r="I62" s="2">
        <v>0</v>
      </c>
    </row>
    <row r="63" spans="1:9" ht="45" customHeight="1" x14ac:dyDescent="0.35">
      <c r="A63" s="1" t="s">
        <v>125</v>
      </c>
      <c r="B63" s="1" t="s">
        <v>126</v>
      </c>
      <c r="C63" s="1" t="s">
        <v>12</v>
      </c>
      <c r="E63" s="2">
        <f>VLOOKUP(B63,'[1]3311'!$B$6:$E$156,4,0)</f>
        <v>0</v>
      </c>
      <c r="F63" s="2">
        <v>1440000</v>
      </c>
      <c r="G63" s="2">
        <v>1440000</v>
      </c>
      <c r="I63" s="2">
        <v>0</v>
      </c>
    </row>
    <row r="64" spans="1:9" ht="45" customHeight="1" x14ac:dyDescent="0.35">
      <c r="A64" s="1" t="s">
        <v>127</v>
      </c>
      <c r="B64" s="1" t="s">
        <v>128</v>
      </c>
      <c r="C64" s="1" t="s">
        <v>12</v>
      </c>
      <c r="D64" s="2">
        <v>0</v>
      </c>
      <c r="E64" s="2">
        <f>VLOOKUP(B64,'[1]3311'!$B$6:$E$156,4,0)</f>
        <v>0</v>
      </c>
      <c r="F64" s="2">
        <v>3231392</v>
      </c>
      <c r="G64" s="2">
        <v>3231392</v>
      </c>
      <c r="H64" s="2">
        <v>0</v>
      </c>
      <c r="I64" s="2">
        <v>0</v>
      </c>
    </row>
    <row r="65" spans="1:9" ht="30" customHeight="1" x14ac:dyDescent="0.35">
      <c r="A65" s="1" t="s">
        <v>129</v>
      </c>
      <c r="B65" s="1" t="s">
        <v>130</v>
      </c>
      <c r="C65" s="1" t="s">
        <v>12</v>
      </c>
      <c r="E65" s="2">
        <f>VLOOKUP(B65,'[1]3311'!$B$6:$E$156,4,0)</f>
        <v>0</v>
      </c>
      <c r="F65" s="2">
        <v>3078000</v>
      </c>
      <c r="G65" s="2">
        <v>3078000</v>
      </c>
      <c r="I65" s="2">
        <v>0</v>
      </c>
    </row>
    <row r="66" spans="1:9" ht="30" customHeight="1" x14ac:dyDescent="0.35">
      <c r="A66" s="1" t="s">
        <v>131</v>
      </c>
      <c r="B66" s="1" t="s">
        <v>132</v>
      </c>
      <c r="C66" s="1" t="s">
        <v>12</v>
      </c>
      <c r="E66" s="2">
        <f>VLOOKUP(B66,'[1]3311'!$B$6:$E$156,4,0)</f>
        <v>0</v>
      </c>
      <c r="F66" s="2">
        <v>6480000</v>
      </c>
      <c r="G66" s="2">
        <v>6480000</v>
      </c>
      <c r="I66" s="2">
        <v>0</v>
      </c>
    </row>
    <row r="67" spans="1:9" ht="30" customHeight="1" x14ac:dyDescent="0.35">
      <c r="A67" s="1" t="s">
        <v>133</v>
      </c>
      <c r="B67" s="1" t="s">
        <v>134</v>
      </c>
      <c r="C67" s="1" t="s">
        <v>12</v>
      </c>
      <c r="D67" s="2">
        <v>0</v>
      </c>
      <c r="E67" s="2">
        <f>VLOOKUP(B67,'[1]3311'!$B$6:$E$156,4,0)</f>
        <v>0</v>
      </c>
      <c r="F67" s="2">
        <v>26619868742</v>
      </c>
      <c r="G67" s="2">
        <v>27109595672</v>
      </c>
      <c r="H67" s="2">
        <v>0</v>
      </c>
      <c r="I67" s="2">
        <v>489726930</v>
      </c>
    </row>
    <row r="68" spans="1:9" ht="30" customHeight="1" x14ac:dyDescent="0.35">
      <c r="A68" s="1" t="s">
        <v>135</v>
      </c>
      <c r="B68" s="1" t="s">
        <v>136</v>
      </c>
      <c r="C68" s="1" t="s">
        <v>12</v>
      </c>
      <c r="E68" s="2">
        <f>VLOOKUP(B68,'[1]3311'!$B$6:$E$156,4,0)</f>
        <v>0</v>
      </c>
      <c r="F68" s="2">
        <v>8355550315</v>
      </c>
      <c r="G68" s="2">
        <v>10479477937</v>
      </c>
      <c r="I68" s="2">
        <v>2123927622</v>
      </c>
    </row>
    <row r="69" spans="1:9" ht="60" customHeight="1" x14ac:dyDescent="0.35">
      <c r="A69" s="1" t="s">
        <v>137</v>
      </c>
      <c r="B69" s="1" t="s">
        <v>138</v>
      </c>
      <c r="C69" s="1" t="s">
        <v>12</v>
      </c>
      <c r="D69" s="2">
        <v>0</v>
      </c>
      <c r="E69" s="2">
        <f>VLOOKUP(B69,'[1]3311'!$B$6:$E$156,4,0)</f>
        <v>0</v>
      </c>
      <c r="F69" s="2">
        <v>3030000</v>
      </c>
      <c r="G69" s="2">
        <v>3030000</v>
      </c>
      <c r="H69" s="2">
        <v>0</v>
      </c>
      <c r="I69" s="2">
        <v>0</v>
      </c>
    </row>
    <row r="70" spans="1:9" ht="30" customHeight="1" x14ac:dyDescent="0.35">
      <c r="A70" s="1" t="s">
        <v>139</v>
      </c>
      <c r="B70" s="1" t="s">
        <v>140</v>
      </c>
      <c r="C70" s="1" t="s">
        <v>12</v>
      </c>
      <c r="E70" s="2">
        <f>VLOOKUP(B70,'[1]3311'!$B$6:$E$156,4,0)</f>
        <v>0</v>
      </c>
      <c r="F70" s="2">
        <v>41233000</v>
      </c>
      <c r="G70" s="2">
        <v>41233000</v>
      </c>
      <c r="I70" s="2">
        <v>0</v>
      </c>
    </row>
    <row r="71" spans="1:9" ht="30" customHeight="1" x14ac:dyDescent="0.35">
      <c r="A71" s="1" t="s">
        <v>141</v>
      </c>
      <c r="B71" s="1" t="s">
        <v>142</v>
      </c>
      <c r="C71" s="1" t="s">
        <v>12</v>
      </c>
      <c r="D71" s="2">
        <v>0</v>
      </c>
      <c r="E71" s="2">
        <f>VLOOKUP(B71,'[1]3311'!$B$6:$E$156,4,0)</f>
        <v>0</v>
      </c>
      <c r="F71" s="2">
        <v>151052000</v>
      </c>
      <c r="G71" s="2">
        <v>151052000</v>
      </c>
      <c r="H71" s="2">
        <v>0</v>
      </c>
      <c r="I71" s="2">
        <v>0</v>
      </c>
    </row>
    <row r="72" spans="1:9" ht="45" customHeight="1" x14ac:dyDescent="0.35">
      <c r="A72" s="1" t="s">
        <v>143</v>
      </c>
      <c r="B72" s="1" t="s">
        <v>144</v>
      </c>
      <c r="C72" s="1" t="s">
        <v>12</v>
      </c>
      <c r="E72" s="2">
        <f>VLOOKUP(B72,'[1]3311'!$B$6:$E$156,4,0)</f>
        <v>0</v>
      </c>
      <c r="F72" s="2">
        <v>1825200</v>
      </c>
      <c r="G72" s="2">
        <v>1825200</v>
      </c>
      <c r="I72" s="2">
        <v>0</v>
      </c>
    </row>
    <row r="73" spans="1:9" ht="30" customHeight="1" x14ac:dyDescent="0.35">
      <c r="A73" s="1" t="s">
        <v>145</v>
      </c>
      <c r="B73" s="14" t="s">
        <v>146</v>
      </c>
      <c r="C73" s="1" t="s">
        <v>12</v>
      </c>
      <c r="D73" s="2">
        <v>16182557477</v>
      </c>
      <c r="E73" s="2">
        <f>VLOOKUP(B73,'[1]3311'!$B$6:$E$156,4,0)</f>
        <v>22390830122</v>
      </c>
      <c r="F73" s="2">
        <v>95571980353</v>
      </c>
      <c r="G73" s="2">
        <v>83606765943</v>
      </c>
      <c r="H73" s="2">
        <v>7510053133</v>
      </c>
      <c r="I73" s="2">
        <v>1753111368</v>
      </c>
    </row>
    <row r="74" spans="1:9" ht="45" customHeight="1" x14ac:dyDescent="0.35">
      <c r="A74" s="1" t="s">
        <v>147</v>
      </c>
      <c r="B74" s="1" t="s">
        <v>148</v>
      </c>
      <c r="C74" s="1" t="s">
        <v>12</v>
      </c>
      <c r="D74" s="2">
        <v>0</v>
      </c>
      <c r="E74" s="2">
        <f>VLOOKUP(B74,'[1]3311'!$B$6:$E$156,4,0)</f>
        <v>0</v>
      </c>
      <c r="F74" s="2">
        <v>9088070196</v>
      </c>
      <c r="G74" s="2">
        <v>9088070196</v>
      </c>
      <c r="H74" s="2">
        <v>0</v>
      </c>
      <c r="I74" s="2">
        <v>0</v>
      </c>
    </row>
    <row r="75" spans="1:9" ht="30" customHeight="1" x14ac:dyDescent="0.35">
      <c r="A75" s="1" t="s">
        <v>149</v>
      </c>
      <c r="B75" s="1" t="s">
        <v>150</v>
      </c>
      <c r="C75" s="1" t="s">
        <v>12</v>
      </c>
      <c r="D75" s="2">
        <v>0</v>
      </c>
      <c r="E75" s="2">
        <f>VLOOKUP(B75,'[1]3311'!$B$6:$E$156,4,0)</f>
        <v>0</v>
      </c>
      <c r="F75" s="2">
        <v>59895000</v>
      </c>
      <c r="G75" s="2">
        <v>59895000</v>
      </c>
      <c r="H75" s="2">
        <v>0</v>
      </c>
      <c r="I75" s="2">
        <v>0</v>
      </c>
    </row>
    <row r="76" spans="1:9" ht="30" customHeight="1" x14ac:dyDescent="0.35">
      <c r="A76" s="1" t="s">
        <v>151</v>
      </c>
      <c r="B76" s="1" t="s">
        <v>152</v>
      </c>
      <c r="C76" s="1" t="s">
        <v>12</v>
      </c>
      <c r="E76" s="2">
        <f>VLOOKUP(B76,'[1]3311'!$B$6:$E$156,4,0)</f>
        <v>0</v>
      </c>
      <c r="F76" s="2">
        <v>11583000</v>
      </c>
      <c r="G76" s="2">
        <v>11583000</v>
      </c>
      <c r="I76" s="2">
        <v>0</v>
      </c>
    </row>
    <row r="77" spans="1:9" ht="30" customHeight="1" x14ac:dyDescent="0.35">
      <c r="A77" s="1" t="s">
        <v>153</v>
      </c>
      <c r="B77" s="1" t="s">
        <v>154</v>
      </c>
      <c r="C77" s="1" t="s">
        <v>12</v>
      </c>
      <c r="D77" s="2">
        <v>0</v>
      </c>
      <c r="E77" s="2">
        <f>VLOOKUP(B77,'[1]3311'!$B$6:$E$156,4,0)</f>
        <v>0</v>
      </c>
      <c r="F77" s="2">
        <v>46980000</v>
      </c>
      <c r="G77" s="2">
        <v>46980000</v>
      </c>
      <c r="H77" s="2">
        <v>0</v>
      </c>
      <c r="I77" s="2">
        <v>0</v>
      </c>
    </row>
    <row r="78" spans="1:9" ht="45" customHeight="1" x14ac:dyDescent="0.35">
      <c r="A78" s="1" t="s">
        <v>155</v>
      </c>
      <c r="B78" s="1" t="s">
        <v>156</v>
      </c>
      <c r="C78" s="1" t="s">
        <v>12</v>
      </c>
      <c r="E78" s="2">
        <f>VLOOKUP(B78,'[1]3311'!$B$6:$E$156,4,0)</f>
        <v>0</v>
      </c>
      <c r="F78" s="2">
        <v>50820000</v>
      </c>
      <c r="G78" s="2">
        <v>50820000</v>
      </c>
      <c r="I78" s="2">
        <v>0</v>
      </c>
    </row>
    <row r="79" spans="1:9" x14ac:dyDescent="0.35">
      <c r="A79" s="1" t="s">
        <v>157</v>
      </c>
      <c r="B79" s="1" t="s">
        <v>158</v>
      </c>
      <c r="C79" s="1" t="s">
        <v>12</v>
      </c>
      <c r="D79" s="2">
        <v>0</v>
      </c>
      <c r="E79" s="2">
        <f>VLOOKUP(B79,'[1]3311'!$B$6:$E$156,4,0)</f>
        <v>0</v>
      </c>
      <c r="F79" s="2">
        <v>1865600000</v>
      </c>
      <c r="G79" s="2">
        <v>1865600000</v>
      </c>
      <c r="H79" s="2">
        <v>0</v>
      </c>
      <c r="I79" s="2">
        <v>0</v>
      </c>
    </row>
    <row r="80" spans="1:9" ht="45" customHeight="1" x14ac:dyDescent="0.35">
      <c r="A80" s="1" t="s">
        <v>159</v>
      </c>
      <c r="B80" s="1" t="s">
        <v>160</v>
      </c>
      <c r="C80" s="1" t="s">
        <v>12</v>
      </c>
      <c r="D80" s="2">
        <v>0</v>
      </c>
      <c r="E80" s="2">
        <f>VLOOKUP(B80,'[1]3311'!$B$6:$E$156,4,0)</f>
        <v>0</v>
      </c>
      <c r="F80" s="2">
        <v>8849250</v>
      </c>
      <c r="G80" s="2">
        <v>8849250</v>
      </c>
      <c r="H80" s="2">
        <v>0</v>
      </c>
      <c r="I80" s="2">
        <v>0</v>
      </c>
    </row>
    <row r="81" spans="1:9" ht="45" customHeight="1" x14ac:dyDescent="0.35">
      <c r="A81" s="1" t="s">
        <v>161</v>
      </c>
      <c r="B81" s="1" t="s">
        <v>162</v>
      </c>
      <c r="C81" s="1" t="s">
        <v>12</v>
      </c>
      <c r="E81" s="2">
        <f>VLOOKUP(B81,'[1]3311'!$B$6:$E$156,4,0)</f>
        <v>0</v>
      </c>
      <c r="F81" s="2">
        <v>50172000</v>
      </c>
      <c r="G81" s="2">
        <v>50172000</v>
      </c>
      <c r="I81" s="2">
        <v>0</v>
      </c>
    </row>
    <row r="82" spans="1:9" x14ac:dyDescent="0.35">
      <c r="A82" s="1" t="s">
        <v>163</v>
      </c>
      <c r="B82" s="1" t="s">
        <v>164</v>
      </c>
      <c r="C82" s="1" t="s">
        <v>12</v>
      </c>
      <c r="D82" s="2">
        <v>0</v>
      </c>
      <c r="E82" s="2">
        <f>VLOOKUP(B82,'[1]3311'!$B$6:$E$156,4,0)</f>
        <v>0</v>
      </c>
      <c r="F82" s="2">
        <v>158218900</v>
      </c>
      <c r="G82" s="2">
        <v>158218900</v>
      </c>
      <c r="H82" s="2">
        <v>0</v>
      </c>
      <c r="I82" s="2">
        <v>0</v>
      </c>
    </row>
    <row r="83" spans="1:9" ht="45" customHeight="1" x14ac:dyDescent="0.35">
      <c r="A83" s="1" t="s">
        <v>165</v>
      </c>
      <c r="B83" s="1" t="s">
        <v>166</v>
      </c>
      <c r="C83" s="1" t="s">
        <v>12</v>
      </c>
      <c r="D83" s="2">
        <v>0</v>
      </c>
      <c r="E83" s="2">
        <f>VLOOKUP(B83,'[1]3311'!$B$6:$E$156,4,0)</f>
        <v>0</v>
      </c>
      <c r="F83" s="2">
        <v>487228609</v>
      </c>
      <c r="G83" s="2">
        <v>487228609</v>
      </c>
      <c r="H83" s="2">
        <v>0</v>
      </c>
      <c r="I83" s="2">
        <v>0</v>
      </c>
    </row>
    <row r="84" spans="1:9" ht="30" customHeight="1" x14ac:dyDescent="0.35">
      <c r="A84" s="1" t="s">
        <v>167</v>
      </c>
      <c r="B84" s="1" t="s">
        <v>168</v>
      </c>
      <c r="C84" s="1" t="s">
        <v>12</v>
      </c>
      <c r="E84" s="2">
        <f>VLOOKUP(B84,'[1]3311'!$B$6:$E$156,4,0)</f>
        <v>0</v>
      </c>
      <c r="F84" s="2">
        <v>54029800</v>
      </c>
      <c r="G84" s="2">
        <v>54029800</v>
      </c>
      <c r="I84" s="2">
        <v>0</v>
      </c>
    </row>
    <row r="85" spans="1:9" ht="30" customHeight="1" x14ac:dyDescent="0.35">
      <c r="A85" s="1" t="s">
        <v>169</v>
      </c>
      <c r="B85" s="1" t="s">
        <v>170</v>
      </c>
      <c r="C85" s="1" t="s">
        <v>12</v>
      </c>
      <c r="D85" s="2">
        <v>0</v>
      </c>
      <c r="E85" s="2">
        <f>VLOOKUP(B85,'[1]3311'!$B$6:$E$156,4,0)</f>
        <v>0</v>
      </c>
      <c r="F85" s="2">
        <v>3149280</v>
      </c>
      <c r="G85" s="2">
        <v>3149280</v>
      </c>
      <c r="H85" s="2">
        <v>0</v>
      </c>
      <c r="I85" s="2">
        <v>0</v>
      </c>
    </row>
    <row r="86" spans="1:9" x14ac:dyDescent="0.35">
      <c r="A86" s="1" t="s">
        <v>171</v>
      </c>
      <c r="B86" s="1" t="s">
        <v>172</v>
      </c>
      <c r="C86" s="1" t="s">
        <v>12</v>
      </c>
      <c r="D86" s="2">
        <v>0</v>
      </c>
      <c r="E86" s="2">
        <f>VLOOKUP(B86,'[1]3311'!$B$6:$E$156,4,0)</f>
        <v>0</v>
      </c>
      <c r="F86" s="2">
        <v>626905037</v>
      </c>
      <c r="G86" s="2">
        <v>626905037</v>
      </c>
      <c r="H86" s="2">
        <v>0</v>
      </c>
      <c r="I86" s="2">
        <v>0</v>
      </c>
    </row>
    <row r="87" spans="1:9" ht="45" customHeight="1" x14ac:dyDescent="0.35">
      <c r="A87" s="1" t="s">
        <v>173</v>
      </c>
      <c r="B87" s="1" t="s">
        <v>174</v>
      </c>
      <c r="C87" s="1" t="s">
        <v>12</v>
      </c>
      <c r="E87" s="2">
        <f>VLOOKUP(B87,'[1]3311'!$B$6:$E$156,4,0)</f>
        <v>0</v>
      </c>
      <c r="F87" s="2">
        <v>40199940</v>
      </c>
      <c r="G87" s="2">
        <v>40199940</v>
      </c>
      <c r="I87" s="2">
        <v>0</v>
      </c>
    </row>
    <row r="88" spans="1:9" x14ac:dyDescent="0.35">
      <c r="A88" s="1" t="s">
        <v>175</v>
      </c>
      <c r="B88" s="1" t="s">
        <v>176</v>
      </c>
      <c r="C88" s="1" t="s">
        <v>12</v>
      </c>
      <c r="D88" s="2">
        <v>0</v>
      </c>
      <c r="E88" s="2" t="e">
        <f>VLOOKUP(B88,'[1]3311'!$B$6:$E$156,4,0)</f>
        <v>#N/A</v>
      </c>
      <c r="F88" s="2">
        <v>22420156</v>
      </c>
      <c r="G88" s="2">
        <v>22420156</v>
      </c>
      <c r="H88" s="2">
        <v>0</v>
      </c>
      <c r="I88" s="2">
        <v>0</v>
      </c>
    </row>
    <row r="89" spans="1:9" x14ac:dyDescent="0.35">
      <c r="A89" s="1" t="s">
        <v>177</v>
      </c>
      <c r="B89" s="1" t="s">
        <v>178</v>
      </c>
      <c r="C89" s="1" t="s">
        <v>12</v>
      </c>
      <c r="E89" s="2">
        <f>VLOOKUP(B89,'[1]3311'!$B$6:$E$156,4,0)</f>
        <v>0</v>
      </c>
      <c r="F89" s="2">
        <v>2372800</v>
      </c>
      <c r="G89" s="2">
        <v>2372800</v>
      </c>
      <c r="I89" s="2">
        <v>0</v>
      </c>
    </row>
    <row r="90" spans="1:9" x14ac:dyDescent="0.35">
      <c r="A90" s="1" t="s">
        <v>179</v>
      </c>
      <c r="B90" s="1" t="s">
        <v>180</v>
      </c>
      <c r="C90" s="1" t="s">
        <v>12</v>
      </c>
      <c r="E90" s="2">
        <f>VLOOKUP(B90,'[1]3311'!$B$6:$E$156,4,0)</f>
        <v>0</v>
      </c>
      <c r="F90" s="2">
        <v>1150013</v>
      </c>
      <c r="G90" s="2">
        <v>1150013</v>
      </c>
      <c r="I90" s="2">
        <v>0</v>
      </c>
    </row>
    <row r="91" spans="1:9" x14ac:dyDescent="0.35">
      <c r="A91" s="1" t="s">
        <v>181</v>
      </c>
      <c r="B91" s="1" t="s">
        <v>182</v>
      </c>
      <c r="C91" s="1" t="s">
        <v>12</v>
      </c>
      <c r="E91" s="2">
        <f>VLOOKUP(B91,'[1]3311'!$B$6:$E$156,4,0)</f>
        <v>0</v>
      </c>
      <c r="F91" s="2">
        <v>4738000</v>
      </c>
      <c r="G91" s="2">
        <v>4738000</v>
      </c>
      <c r="I91" s="2">
        <v>0</v>
      </c>
    </row>
    <row r="92" spans="1:9" x14ac:dyDescent="0.35">
      <c r="A92" s="1" t="s">
        <v>183</v>
      </c>
      <c r="B92" s="1" t="s">
        <v>118</v>
      </c>
      <c r="C92" s="1" t="s">
        <v>12</v>
      </c>
      <c r="D92" s="2">
        <v>0</v>
      </c>
      <c r="E92" s="2">
        <f>VLOOKUP(B92,'[1]3311'!$B$6:$E$156,4,0)</f>
        <v>0</v>
      </c>
      <c r="F92" s="2">
        <v>2800000</v>
      </c>
      <c r="G92" s="2">
        <v>2800000</v>
      </c>
      <c r="H92" s="2">
        <v>0</v>
      </c>
      <c r="I92" s="2">
        <v>0</v>
      </c>
    </row>
    <row r="93" spans="1:9" ht="30" customHeight="1" x14ac:dyDescent="0.35">
      <c r="A93" s="1" t="s">
        <v>184</v>
      </c>
      <c r="B93" s="1" t="s">
        <v>185</v>
      </c>
      <c r="C93" s="1" t="s">
        <v>12</v>
      </c>
      <c r="E93" s="2">
        <f>VLOOKUP(B93,'[1]3311'!$B$6:$E$156,4,0)</f>
        <v>0</v>
      </c>
      <c r="F93" s="2">
        <v>6426000</v>
      </c>
      <c r="G93" s="2">
        <v>6426000</v>
      </c>
      <c r="I93" s="2">
        <v>0</v>
      </c>
    </row>
    <row r="94" spans="1:9" ht="30" customHeight="1" x14ac:dyDescent="0.35">
      <c r="A94" s="1" t="s">
        <v>186</v>
      </c>
      <c r="B94" s="1" t="s">
        <v>187</v>
      </c>
      <c r="C94" s="1" t="s">
        <v>12</v>
      </c>
      <c r="D94" s="2">
        <v>0</v>
      </c>
      <c r="E94" s="2">
        <f>VLOOKUP(B94,'[1]3311'!$B$6:$E$156,4,0)</f>
        <v>0</v>
      </c>
      <c r="F94" s="2">
        <v>3461976080</v>
      </c>
      <c r="G94" s="2">
        <v>3461976080</v>
      </c>
      <c r="H94" s="2">
        <v>0</v>
      </c>
      <c r="I94" s="2">
        <v>0</v>
      </c>
    </row>
    <row r="95" spans="1:9" ht="30" customHeight="1" x14ac:dyDescent="0.35">
      <c r="A95" s="1" t="s">
        <v>188</v>
      </c>
      <c r="B95" s="1" t="s">
        <v>189</v>
      </c>
      <c r="C95" s="1" t="s">
        <v>12</v>
      </c>
      <c r="E95" s="2">
        <f>VLOOKUP(B95,'[1]3311'!$B$6:$E$156,4,0)</f>
        <v>0</v>
      </c>
      <c r="F95" s="2">
        <v>24334560</v>
      </c>
      <c r="G95" s="2">
        <v>24334560</v>
      </c>
      <c r="I95" s="2">
        <v>0</v>
      </c>
    </row>
    <row r="96" spans="1:9" ht="30" customHeight="1" x14ac:dyDescent="0.35">
      <c r="A96" s="1" t="s">
        <v>190</v>
      </c>
      <c r="B96" s="1" t="s">
        <v>190</v>
      </c>
      <c r="C96" s="1" t="s">
        <v>12</v>
      </c>
      <c r="E96" s="2">
        <f>VLOOKUP(B96,'[1]3311'!$B$6:$E$156,4,0)</f>
        <v>0</v>
      </c>
      <c r="F96" s="2">
        <v>648000</v>
      </c>
      <c r="G96" s="2">
        <v>648000</v>
      </c>
      <c r="I96" s="2">
        <v>0</v>
      </c>
    </row>
    <row r="97" spans="1:9" ht="45" customHeight="1" x14ac:dyDescent="0.35">
      <c r="A97" s="1" t="s">
        <v>191</v>
      </c>
      <c r="B97" s="1" t="s">
        <v>192</v>
      </c>
      <c r="C97" s="1" t="s">
        <v>12</v>
      </c>
      <c r="E97" s="2">
        <f>VLOOKUP(B97,'[1]3311'!$B$6:$E$156,4,0)</f>
        <v>0</v>
      </c>
      <c r="F97" s="2">
        <v>3170674</v>
      </c>
      <c r="G97" s="2">
        <v>3170674</v>
      </c>
      <c r="I97" s="2">
        <v>0</v>
      </c>
    </row>
    <row r="98" spans="1:9" ht="45" customHeight="1" x14ac:dyDescent="0.35">
      <c r="A98" s="1" t="s">
        <v>193</v>
      </c>
      <c r="B98" s="1" t="s">
        <v>194</v>
      </c>
      <c r="C98" s="1" t="s">
        <v>12</v>
      </c>
      <c r="E98" s="2">
        <f>VLOOKUP(B98,'[1]3311'!$B$6:$E$156,4,0)</f>
        <v>0</v>
      </c>
      <c r="F98" s="2">
        <v>6189999</v>
      </c>
      <c r="G98" s="2">
        <v>6189999</v>
      </c>
      <c r="I98" s="2">
        <v>0</v>
      </c>
    </row>
    <row r="99" spans="1:9" ht="30" customHeight="1" x14ac:dyDescent="0.35">
      <c r="A99" s="1" t="s">
        <v>195</v>
      </c>
      <c r="B99" s="1" t="s">
        <v>196</v>
      </c>
      <c r="C99" s="1" t="s">
        <v>12</v>
      </c>
      <c r="D99" s="2">
        <v>0</v>
      </c>
      <c r="E99" s="2">
        <f>VLOOKUP(B99,'[1]3311'!$B$6:$E$156,4,0)</f>
        <v>0</v>
      </c>
      <c r="F99" s="2">
        <v>81921000</v>
      </c>
      <c r="G99" s="2">
        <v>81921000</v>
      </c>
      <c r="H99" s="2">
        <v>0</v>
      </c>
      <c r="I99" s="2">
        <v>0</v>
      </c>
    </row>
    <row r="100" spans="1:9" ht="30" customHeight="1" x14ac:dyDescent="0.35">
      <c r="A100" s="1" t="s">
        <v>197</v>
      </c>
      <c r="B100" s="1" t="s">
        <v>198</v>
      </c>
      <c r="C100" s="1" t="s">
        <v>12</v>
      </c>
      <c r="D100" s="2">
        <v>0</v>
      </c>
      <c r="E100" s="2">
        <f>VLOOKUP(B100,'[1]3311'!$B$6:$E$156,4,0)</f>
        <v>0</v>
      </c>
      <c r="F100" s="2">
        <v>432808000</v>
      </c>
      <c r="G100" s="2">
        <v>432808000</v>
      </c>
      <c r="H100" s="2">
        <v>0</v>
      </c>
      <c r="I100" s="2">
        <v>0</v>
      </c>
    </row>
    <row r="101" spans="1:9" ht="30" customHeight="1" x14ac:dyDescent="0.35">
      <c r="A101" s="1" t="s">
        <v>199</v>
      </c>
      <c r="B101" s="1" t="s">
        <v>200</v>
      </c>
      <c r="C101" s="1" t="s">
        <v>12</v>
      </c>
      <c r="D101" s="2">
        <v>0</v>
      </c>
      <c r="E101" s="2">
        <f>VLOOKUP(B101,'[1]3311'!$B$6:$E$156,4,0)</f>
        <v>0</v>
      </c>
      <c r="F101" s="2">
        <v>34400000</v>
      </c>
      <c r="G101" s="2">
        <v>34400000</v>
      </c>
      <c r="H101" s="2">
        <v>0</v>
      </c>
      <c r="I101" s="2">
        <v>0</v>
      </c>
    </row>
    <row r="102" spans="1:9" x14ac:dyDescent="0.35">
      <c r="A102" s="1" t="s">
        <v>201</v>
      </c>
      <c r="B102" s="1" t="s">
        <v>202</v>
      </c>
      <c r="C102" s="1" t="s">
        <v>12</v>
      </c>
      <c r="D102" s="2">
        <v>0</v>
      </c>
      <c r="E102" s="2">
        <f>VLOOKUP(B102,'[1]3311'!$B$6:$E$156,4,0)</f>
        <v>0</v>
      </c>
      <c r="F102" s="2">
        <v>23705699902</v>
      </c>
      <c r="G102" s="2">
        <v>23705699902</v>
      </c>
      <c r="H102" s="2">
        <v>0</v>
      </c>
      <c r="I102" s="2">
        <v>0</v>
      </c>
    </row>
    <row r="103" spans="1:9" ht="45" customHeight="1" x14ac:dyDescent="0.35">
      <c r="A103" s="1" t="s">
        <v>203</v>
      </c>
      <c r="B103" s="1" t="s">
        <v>204</v>
      </c>
      <c r="C103" s="1" t="s">
        <v>12</v>
      </c>
      <c r="E103" s="2">
        <f>VLOOKUP(B103,'[1]3311'!$B$6:$E$156,4,0)</f>
        <v>0</v>
      </c>
      <c r="F103" s="2">
        <v>5406480</v>
      </c>
      <c r="G103" s="2">
        <v>5406480</v>
      </c>
      <c r="I103" s="2">
        <v>0</v>
      </c>
    </row>
    <row r="104" spans="1:9" ht="45" customHeight="1" x14ac:dyDescent="0.35">
      <c r="A104" s="1" t="s">
        <v>205</v>
      </c>
      <c r="B104" s="1" t="s">
        <v>206</v>
      </c>
      <c r="C104" s="1" t="s">
        <v>12</v>
      </c>
      <c r="E104" s="2">
        <f>VLOOKUP(B104,'[1]3311'!$B$6:$E$156,4,0)</f>
        <v>0</v>
      </c>
      <c r="F104" s="2">
        <v>17679904</v>
      </c>
      <c r="G104" s="2">
        <v>17679904</v>
      </c>
      <c r="I104" s="2">
        <v>0</v>
      </c>
    </row>
    <row r="105" spans="1:9" ht="30" customHeight="1" x14ac:dyDescent="0.35">
      <c r="A105" s="1" t="s">
        <v>207</v>
      </c>
      <c r="B105" s="1" t="s">
        <v>208</v>
      </c>
      <c r="C105" s="1" t="s">
        <v>12</v>
      </c>
      <c r="D105" s="2">
        <v>0</v>
      </c>
      <c r="E105" s="2" t="e">
        <f>VLOOKUP(B105,'[1]3311'!$B$6:$E$156,4,0)</f>
        <v>#N/A</v>
      </c>
      <c r="F105" s="2">
        <v>13618994663</v>
      </c>
      <c r="G105" s="2">
        <v>5718096451</v>
      </c>
      <c r="H105" s="2">
        <v>13450000000</v>
      </c>
      <c r="I105" s="2">
        <v>5549101788</v>
      </c>
    </row>
    <row r="106" spans="1:9" ht="60" customHeight="1" x14ac:dyDescent="0.35">
      <c r="A106" s="1" t="s">
        <v>209</v>
      </c>
      <c r="B106" s="1" t="s">
        <v>210</v>
      </c>
      <c r="C106" s="1" t="s">
        <v>12</v>
      </c>
      <c r="D106" s="2">
        <v>0</v>
      </c>
      <c r="E106" s="2">
        <f>VLOOKUP(B106,'[1]3311'!$B$6:$E$156,4,0)</f>
        <v>0</v>
      </c>
      <c r="F106" s="2">
        <v>1668600</v>
      </c>
      <c r="G106" s="2">
        <v>1668600</v>
      </c>
      <c r="H106" s="2">
        <v>0</v>
      </c>
      <c r="I106" s="2">
        <v>0</v>
      </c>
    </row>
    <row r="107" spans="1:9" x14ac:dyDescent="0.35">
      <c r="A107" s="1" t="s">
        <v>211</v>
      </c>
      <c r="B107" s="1" t="s">
        <v>212</v>
      </c>
      <c r="C107" s="1" t="s">
        <v>12</v>
      </c>
      <c r="D107" s="2">
        <v>0</v>
      </c>
      <c r="E107" s="2">
        <f>VLOOKUP(B107,'[1]3311'!$B$6:$E$156,4,0)</f>
        <v>0</v>
      </c>
      <c r="F107" s="2">
        <v>1811160</v>
      </c>
      <c r="G107" s="2">
        <v>1811160</v>
      </c>
      <c r="H107" s="2">
        <v>0</v>
      </c>
      <c r="I107" s="2">
        <v>0</v>
      </c>
    </row>
    <row r="108" spans="1:9" ht="30" customHeight="1" x14ac:dyDescent="0.35">
      <c r="A108" s="1" t="s">
        <v>213</v>
      </c>
      <c r="B108" s="1" t="s">
        <v>214</v>
      </c>
      <c r="C108" s="1" t="s">
        <v>12</v>
      </c>
      <c r="D108" s="2">
        <v>0</v>
      </c>
      <c r="E108" s="2">
        <f>VLOOKUP(B108,'[1]3311'!$B$6:$E$156,4,0)</f>
        <v>0</v>
      </c>
      <c r="F108" s="2">
        <v>26705232</v>
      </c>
      <c r="G108" s="2">
        <v>26705232</v>
      </c>
      <c r="H108" s="2">
        <v>0</v>
      </c>
      <c r="I108" s="2">
        <v>0</v>
      </c>
    </row>
    <row r="109" spans="1:9" x14ac:dyDescent="0.35">
      <c r="A109" s="1" t="s">
        <v>215</v>
      </c>
      <c r="B109" s="1" t="s">
        <v>216</v>
      </c>
      <c r="C109" s="1" t="s">
        <v>12</v>
      </c>
      <c r="D109" s="2">
        <v>0</v>
      </c>
      <c r="E109" s="2">
        <f>VLOOKUP(B109,'[1]3311'!$B$6:$E$156,4,0)</f>
        <v>0</v>
      </c>
      <c r="F109" s="2">
        <v>89239200</v>
      </c>
      <c r="G109" s="2">
        <v>89239800</v>
      </c>
      <c r="H109" s="2">
        <v>0</v>
      </c>
      <c r="I109" s="2">
        <v>600</v>
      </c>
    </row>
    <row r="110" spans="1:9" ht="45" customHeight="1" x14ac:dyDescent="0.35">
      <c r="A110" s="1" t="s">
        <v>217</v>
      </c>
      <c r="B110" s="1" t="s">
        <v>218</v>
      </c>
      <c r="C110" s="1" t="s">
        <v>12</v>
      </c>
      <c r="D110" s="2">
        <v>0</v>
      </c>
      <c r="E110" s="2">
        <f>VLOOKUP(B110,'[1]3311'!$B$6:$E$156,4,0)</f>
        <v>0</v>
      </c>
      <c r="F110" s="2">
        <v>266984640</v>
      </c>
      <c r="G110" s="2">
        <v>266984640</v>
      </c>
      <c r="H110" s="2">
        <v>0</v>
      </c>
      <c r="I110" s="2">
        <v>0</v>
      </c>
    </row>
    <row r="111" spans="1:9" ht="45" customHeight="1" x14ac:dyDescent="0.35">
      <c r="A111" s="1" t="s">
        <v>219</v>
      </c>
      <c r="B111" s="1" t="s">
        <v>220</v>
      </c>
      <c r="C111" s="1" t="s">
        <v>12</v>
      </c>
      <c r="D111" s="2">
        <v>11238366</v>
      </c>
      <c r="E111" s="2">
        <f>VLOOKUP(B111,'[1]3311'!$B$6:$E$156,4,0)</f>
        <v>0</v>
      </c>
      <c r="F111" s="2">
        <v>7125800</v>
      </c>
      <c r="G111" s="2">
        <v>7136800</v>
      </c>
      <c r="H111" s="2">
        <v>0</v>
      </c>
      <c r="I111" s="2">
        <v>0</v>
      </c>
    </row>
    <row r="112" spans="1:9" ht="30" customHeight="1" x14ac:dyDescent="0.35">
      <c r="A112" s="1" t="s">
        <v>221</v>
      </c>
      <c r="B112" s="1" t="s">
        <v>222</v>
      </c>
      <c r="C112" s="1" t="s">
        <v>12</v>
      </c>
      <c r="D112" s="2">
        <v>0</v>
      </c>
      <c r="E112" s="2">
        <f>VLOOKUP(B112,'[1]3311'!$B$6:$E$156,4,0)</f>
        <v>0</v>
      </c>
      <c r="F112" s="2">
        <v>12750000</v>
      </c>
      <c r="G112" s="2">
        <v>12750000</v>
      </c>
      <c r="H112" s="2">
        <v>0</v>
      </c>
      <c r="I112" s="2">
        <v>0</v>
      </c>
    </row>
    <row r="113" spans="1:9" ht="30" customHeight="1" x14ac:dyDescent="0.35">
      <c r="A113" s="1" t="s">
        <v>223</v>
      </c>
      <c r="B113" s="1" t="s">
        <v>224</v>
      </c>
      <c r="C113" s="1" t="s">
        <v>12</v>
      </c>
      <c r="D113" s="2">
        <v>46447685</v>
      </c>
      <c r="E113" s="2">
        <f>VLOOKUP(B113,'[1]3311'!$B$6:$E$156,4,0)</f>
        <v>0</v>
      </c>
      <c r="F113" s="2">
        <v>1812219098</v>
      </c>
      <c r="G113" s="2">
        <v>1858666783</v>
      </c>
      <c r="H113" s="2">
        <v>0</v>
      </c>
      <c r="I113" s="2">
        <v>0</v>
      </c>
    </row>
    <row r="114" spans="1:9" ht="30" customHeight="1" x14ac:dyDescent="0.35">
      <c r="A114" s="1" t="s">
        <v>225</v>
      </c>
      <c r="B114" s="1" t="s">
        <v>226</v>
      </c>
      <c r="C114" s="1" t="s">
        <v>12</v>
      </c>
      <c r="D114" s="2">
        <v>0</v>
      </c>
      <c r="E114" s="2">
        <f>VLOOKUP(B114,'[1]3311'!$B$6:$E$156,4,0)</f>
        <v>0</v>
      </c>
      <c r="F114" s="2">
        <v>14574814893</v>
      </c>
      <c r="G114" s="2">
        <v>14580245838</v>
      </c>
      <c r="H114" s="2">
        <v>0</v>
      </c>
      <c r="I114" s="2">
        <v>5430945</v>
      </c>
    </row>
    <row r="115" spans="1:9" x14ac:dyDescent="0.35">
      <c r="A115" s="1" t="s">
        <v>227</v>
      </c>
      <c r="B115" s="1" t="s">
        <v>227</v>
      </c>
      <c r="C115" s="1" t="s">
        <v>12</v>
      </c>
      <c r="E115" s="2">
        <f>VLOOKUP(B115,'[1]3311'!$B$6:$E$156,4,0)</f>
        <v>0</v>
      </c>
      <c r="F115" s="2">
        <v>204000000</v>
      </c>
      <c r="G115" s="2">
        <v>240000000</v>
      </c>
      <c r="I115" s="2">
        <v>36000000</v>
      </c>
    </row>
    <row r="116" spans="1:9" ht="30" customHeight="1" x14ac:dyDescent="0.35">
      <c r="A116" s="1" t="s">
        <v>228</v>
      </c>
      <c r="B116" s="1" t="s">
        <v>229</v>
      </c>
      <c r="C116" s="1" t="s">
        <v>12</v>
      </c>
      <c r="D116" s="2">
        <v>0</v>
      </c>
      <c r="E116" s="2">
        <f>VLOOKUP(B116,'[1]3311'!$B$6:$E$156,4,0)</f>
        <v>0</v>
      </c>
      <c r="F116" s="2">
        <v>18755000</v>
      </c>
      <c r="G116" s="2">
        <v>17710000</v>
      </c>
      <c r="H116" s="2">
        <v>1045000</v>
      </c>
      <c r="I116" s="2">
        <v>0</v>
      </c>
    </row>
    <row r="117" spans="1:9" ht="45" customHeight="1" x14ac:dyDescent="0.35">
      <c r="A117" s="1" t="s">
        <v>230</v>
      </c>
      <c r="B117" s="1" t="s">
        <v>231</v>
      </c>
      <c r="C117" s="1" t="s">
        <v>12</v>
      </c>
      <c r="D117" s="2">
        <v>0</v>
      </c>
      <c r="E117" s="2">
        <f>VLOOKUP(B117,'[1]3311'!$B$6:$E$156,4,0)</f>
        <v>0</v>
      </c>
      <c r="F117" s="2">
        <v>8816673252</v>
      </c>
      <c r="G117" s="2">
        <v>9602925992</v>
      </c>
      <c r="H117" s="2">
        <v>176297741</v>
      </c>
      <c r="I117" s="2">
        <v>962550481</v>
      </c>
    </row>
    <row r="118" spans="1:9" ht="45" customHeight="1" x14ac:dyDescent="0.35">
      <c r="A118" s="1" t="s">
        <v>232</v>
      </c>
      <c r="B118" s="1" t="s">
        <v>233</v>
      </c>
      <c r="C118" s="1" t="s">
        <v>12</v>
      </c>
      <c r="E118" s="2">
        <f>VLOOKUP(B118,'[1]3311'!$B$6:$E$156,4,0)</f>
        <v>0</v>
      </c>
      <c r="F118" s="2">
        <v>20733000</v>
      </c>
      <c r="G118" s="2">
        <v>20733000</v>
      </c>
      <c r="I118" s="2">
        <v>0</v>
      </c>
    </row>
    <row r="119" spans="1:9" ht="30" customHeight="1" x14ac:dyDescent="0.35">
      <c r="A119" s="1" t="s">
        <v>234</v>
      </c>
      <c r="B119" s="1" t="s">
        <v>235</v>
      </c>
      <c r="C119" s="1" t="s">
        <v>12</v>
      </c>
      <c r="D119" s="2">
        <v>6634122</v>
      </c>
      <c r="E119" s="2">
        <f>VLOOKUP(B119,'[1]3311'!$B$6:$E$156,4,0)</f>
        <v>0</v>
      </c>
      <c r="F119" s="2">
        <v>1504882969</v>
      </c>
      <c r="G119" s="2">
        <v>1511517091</v>
      </c>
      <c r="H119" s="2">
        <v>0</v>
      </c>
      <c r="I119" s="2">
        <v>0</v>
      </c>
    </row>
    <row r="120" spans="1:9" ht="30" customHeight="1" x14ac:dyDescent="0.35">
      <c r="A120" s="1" t="s">
        <v>236</v>
      </c>
      <c r="B120" s="1" t="s">
        <v>237</v>
      </c>
      <c r="C120" s="1" t="s">
        <v>12</v>
      </c>
      <c r="D120" s="2">
        <v>0</v>
      </c>
      <c r="E120" s="2">
        <f>VLOOKUP(B120,'[1]3311'!$B$6:$E$156,4,0)</f>
        <v>0</v>
      </c>
      <c r="F120" s="2">
        <v>4808160</v>
      </c>
      <c r="G120" s="2">
        <v>4808160</v>
      </c>
      <c r="H120" s="2">
        <v>0</v>
      </c>
      <c r="I120" s="2">
        <v>0</v>
      </c>
    </row>
    <row r="121" spans="1:9" ht="30" customHeight="1" x14ac:dyDescent="0.35">
      <c r="A121" s="1" t="s">
        <v>238</v>
      </c>
      <c r="B121" s="1" t="s">
        <v>239</v>
      </c>
      <c r="C121" s="1" t="s">
        <v>12</v>
      </c>
      <c r="E121" s="2">
        <f>VLOOKUP(B121,'[1]3311'!$B$6:$E$156,4,0)</f>
        <v>0</v>
      </c>
      <c r="F121" s="2">
        <v>445713572</v>
      </c>
      <c r="G121" s="2">
        <v>445713572</v>
      </c>
      <c r="I121" s="2">
        <v>0</v>
      </c>
    </row>
    <row r="122" spans="1:9" ht="45" customHeight="1" x14ac:dyDescent="0.35">
      <c r="A122" s="1" t="s">
        <v>240</v>
      </c>
      <c r="B122" s="1" t="s">
        <v>241</v>
      </c>
      <c r="C122" s="1" t="s">
        <v>12</v>
      </c>
      <c r="D122" s="2">
        <v>0</v>
      </c>
      <c r="E122" s="2">
        <f>VLOOKUP(B122,'[1]3311'!$B$6:$E$156,4,0)</f>
        <v>0</v>
      </c>
      <c r="F122" s="2">
        <v>79150000</v>
      </c>
      <c r="G122" s="2">
        <v>79150000</v>
      </c>
      <c r="H122" s="2">
        <v>0</v>
      </c>
      <c r="I122" s="2">
        <v>0</v>
      </c>
    </row>
    <row r="123" spans="1:9" ht="30" customHeight="1" x14ac:dyDescent="0.35">
      <c r="A123" s="1" t="s">
        <v>242</v>
      </c>
      <c r="B123" s="1" t="s">
        <v>243</v>
      </c>
      <c r="C123" s="1" t="s">
        <v>12</v>
      </c>
      <c r="D123" s="2">
        <v>132423000</v>
      </c>
      <c r="E123" s="2">
        <f>VLOOKUP(B123,'[1]3311'!$B$6:$E$156,4,0)</f>
        <v>132423000</v>
      </c>
      <c r="F123" s="2">
        <v>17426302793</v>
      </c>
      <c r="G123" s="2">
        <v>17426302793</v>
      </c>
      <c r="H123" s="2">
        <v>0</v>
      </c>
      <c r="I123" s="2">
        <v>0</v>
      </c>
    </row>
    <row r="124" spans="1:9" ht="30" customHeight="1" x14ac:dyDescent="0.35">
      <c r="A124" s="1" t="s">
        <v>244</v>
      </c>
      <c r="B124" s="1" t="s">
        <v>245</v>
      </c>
      <c r="C124" s="1" t="s">
        <v>12</v>
      </c>
      <c r="D124" s="2">
        <v>0</v>
      </c>
      <c r="E124" s="2">
        <f>VLOOKUP(B124,'[1]3311'!$B$6:$E$156,4,0)</f>
        <v>0</v>
      </c>
      <c r="F124" s="2">
        <v>1237444940</v>
      </c>
      <c r="G124" s="2">
        <v>1237444940</v>
      </c>
      <c r="H124" s="2">
        <v>0</v>
      </c>
      <c r="I124" s="2">
        <v>0</v>
      </c>
    </row>
    <row r="125" spans="1:9" ht="45" customHeight="1" x14ac:dyDescent="0.35">
      <c r="A125" s="1" t="s">
        <v>246</v>
      </c>
      <c r="B125" s="1" t="s">
        <v>247</v>
      </c>
      <c r="C125" s="1" t="s">
        <v>12</v>
      </c>
      <c r="D125" s="2">
        <v>0</v>
      </c>
      <c r="E125" s="2">
        <f>VLOOKUP(B125,'[1]3311'!$B$6:$E$156,4,0)</f>
        <v>0</v>
      </c>
      <c r="F125" s="2">
        <v>42975036</v>
      </c>
      <c r="G125" s="2">
        <v>42975036</v>
      </c>
      <c r="H125" s="2">
        <v>0</v>
      </c>
      <c r="I125" s="2">
        <v>0</v>
      </c>
    </row>
    <row r="126" spans="1:9" ht="45" customHeight="1" x14ac:dyDescent="0.35">
      <c r="A126" s="1" t="s">
        <v>248</v>
      </c>
      <c r="B126" s="14" t="s">
        <v>249</v>
      </c>
      <c r="C126" s="1" t="s">
        <v>12</v>
      </c>
      <c r="D126" s="2">
        <v>1670967068</v>
      </c>
      <c r="E126" s="2">
        <f>VLOOKUP(B126,'[1]3311'!$B$6:$E$156,4,0)</f>
        <v>0</v>
      </c>
      <c r="F126" s="2">
        <v>145990180315</v>
      </c>
      <c r="G126" s="2">
        <v>146946995838</v>
      </c>
      <c r="H126" s="2">
        <v>7069710899</v>
      </c>
      <c r="I126" s="2">
        <v>6355559354</v>
      </c>
    </row>
    <row r="127" spans="1:9" ht="30" customHeight="1" x14ac:dyDescent="0.35">
      <c r="A127" s="1" t="s">
        <v>250</v>
      </c>
      <c r="B127" s="1" t="s">
        <v>251</v>
      </c>
      <c r="C127" s="1" t="s">
        <v>12</v>
      </c>
      <c r="D127" s="2">
        <v>524159697</v>
      </c>
      <c r="E127" s="2">
        <f>VLOOKUP(B127,'[1]3311'!$B$6:$E$156,4,0)</f>
        <v>524159697</v>
      </c>
      <c r="F127" s="2">
        <v>6808276374</v>
      </c>
      <c r="G127" s="2">
        <v>6172631795</v>
      </c>
      <c r="H127" s="2">
        <v>1117935373</v>
      </c>
      <c r="I127" s="2">
        <v>482290794</v>
      </c>
    </row>
    <row r="128" spans="1:9" ht="45" customHeight="1" x14ac:dyDescent="0.35">
      <c r="A128" s="1" t="s">
        <v>252</v>
      </c>
      <c r="B128" s="1" t="s">
        <v>253</v>
      </c>
      <c r="C128" s="1" t="s">
        <v>12</v>
      </c>
      <c r="D128" s="2">
        <v>0</v>
      </c>
      <c r="E128" s="2">
        <f>VLOOKUP(B128,'[1]3311'!$B$6:$E$156,4,0)</f>
        <v>0</v>
      </c>
      <c r="F128" s="2">
        <v>237902500</v>
      </c>
      <c r="G128" s="2">
        <v>237902500</v>
      </c>
      <c r="H128" s="2">
        <v>0</v>
      </c>
      <c r="I128" s="2">
        <v>0</v>
      </c>
    </row>
    <row r="129" spans="1:9" ht="45" customHeight="1" x14ac:dyDescent="0.35">
      <c r="A129" s="1" t="s">
        <v>254</v>
      </c>
      <c r="B129" s="1" t="s">
        <v>255</v>
      </c>
      <c r="C129" s="1" t="s">
        <v>12</v>
      </c>
      <c r="D129" s="2">
        <v>0</v>
      </c>
      <c r="E129" s="2">
        <f>VLOOKUP(B129,'[1]3311'!$B$6:$E$156,4,0)</f>
        <v>0</v>
      </c>
      <c r="F129" s="2">
        <v>135024000</v>
      </c>
      <c r="G129" s="2">
        <v>135024000</v>
      </c>
      <c r="H129" s="2">
        <v>0</v>
      </c>
      <c r="I129" s="2">
        <v>0</v>
      </c>
    </row>
    <row r="130" spans="1:9" ht="45" customHeight="1" x14ac:dyDescent="0.35">
      <c r="A130" s="1" t="s">
        <v>256</v>
      </c>
      <c r="B130" s="1" t="s">
        <v>257</v>
      </c>
      <c r="C130" s="1" t="s">
        <v>12</v>
      </c>
      <c r="E130" s="2">
        <f>VLOOKUP(B130,'[1]3311'!$B$6:$E$156,4,0)</f>
        <v>0</v>
      </c>
      <c r="F130" s="2">
        <v>60480000</v>
      </c>
      <c r="G130" s="2">
        <v>60480000</v>
      </c>
      <c r="I130" s="2">
        <v>0</v>
      </c>
    </row>
    <row r="131" spans="1:9" ht="30" customHeight="1" x14ac:dyDescent="0.35">
      <c r="A131" s="1" t="s">
        <v>258</v>
      </c>
      <c r="B131" s="1" t="s">
        <v>259</v>
      </c>
      <c r="C131" s="1" t="s">
        <v>12</v>
      </c>
      <c r="E131" s="2">
        <f>VLOOKUP(B131,'[1]3311'!$B$6:$E$156,4,0)</f>
        <v>0</v>
      </c>
      <c r="F131" s="2">
        <v>2602800</v>
      </c>
      <c r="G131" s="2">
        <v>2602800</v>
      </c>
      <c r="I131" s="2">
        <v>0</v>
      </c>
    </row>
    <row r="132" spans="1:9" ht="45" customHeight="1" x14ac:dyDescent="0.35">
      <c r="A132" s="1" t="s">
        <v>260</v>
      </c>
      <c r="B132" s="1" t="s">
        <v>261</v>
      </c>
      <c r="C132" s="1" t="s">
        <v>12</v>
      </c>
      <c r="E132" s="2">
        <f>VLOOKUP(B132,'[1]3311'!$B$6:$E$156,4,0)</f>
        <v>0</v>
      </c>
      <c r="F132" s="2">
        <v>35953200</v>
      </c>
      <c r="G132" s="2">
        <v>35953200</v>
      </c>
      <c r="I132" s="2">
        <v>0</v>
      </c>
    </row>
    <row r="133" spans="1:9" ht="45" customHeight="1" x14ac:dyDescent="0.35">
      <c r="A133" s="1" t="s">
        <v>262</v>
      </c>
      <c r="B133" s="1" t="s">
        <v>263</v>
      </c>
      <c r="C133" s="1" t="s">
        <v>12</v>
      </c>
      <c r="D133" s="2">
        <v>0</v>
      </c>
      <c r="E133" s="2">
        <f>VLOOKUP(B133,'[1]3311'!$B$6:$E$156,4,0)</f>
        <v>0</v>
      </c>
      <c r="F133" s="2">
        <v>130319280</v>
      </c>
      <c r="G133" s="2">
        <v>130319280</v>
      </c>
      <c r="H133" s="2">
        <v>0</v>
      </c>
      <c r="I133" s="2">
        <v>0</v>
      </c>
    </row>
    <row r="134" spans="1:9" ht="30" customHeight="1" x14ac:dyDescent="0.35">
      <c r="A134" s="1" t="s">
        <v>264</v>
      </c>
      <c r="B134" s="1" t="s">
        <v>265</v>
      </c>
      <c r="C134" s="1" t="s">
        <v>12</v>
      </c>
      <c r="D134" s="2">
        <v>0</v>
      </c>
      <c r="E134" s="2">
        <f>VLOOKUP(B134,'[1]3311'!$B$6:$E$156,4,0)</f>
        <v>0</v>
      </c>
      <c r="F134" s="2">
        <v>35208000</v>
      </c>
      <c r="G134" s="2">
        <v>35208000</v>
      </c>
      <c r="H134" s="2">
        <v>0</v>
      </c>
      <c r="I134" s="2">
        <v>0</v>
      </c>
    </row>
    <row r="135" spans="1:9" ht="45" customHeight="1" x14ac:dyDescent="0.35">
      <c r="A135" s="1" t="s">
        <v>266</v>
      </c>
      <c r="B135" s="1" t="s">
        <v>267</v>
      </c>
      <c r="C135" s="1" t="s">
        <v>12</v>
      </c>
      <c r="D135" s="2">
        <v>0</v>
      </c>
      <c r="F135" s="2">
        <v>18000000</v>
      </c>
      <c r="G135" s="2">
        <v>0</v>
      </c>
      <c r="H135" s="2">
        <v>18000000</v>
      </c>
    </row>
    <row r="136" spans="1:9" ht="45" customHeight="1" x14ac:dyDescent="0.35">
      <c r="A136" s="1" t="s">
        <v>268</v>
      </c>
      <c r="B136" s="1" t="s">
        <v>269</v>
      </c>
      <c r="C136" s="1" t="s">
        <v>12</v>
      </c>
      <c r="D136" s="2">
        <v>0</v>
      </c>
      <c r="E136" s="2">
        <f>VLOOKUP(B136,'[1]3311'!$B$6:$E$156,4,0)</f>
        <v>0</v>
      </c>
      <c r="F136" s="2">
        <v>357958353</v>
      </c>
      <c r="G136" s="2">
        <v>357958353</v>
      </c>
      <c r="H136" s="2">
        <v>0</v>
      </c>
      <c r="I136" s="2">
        <v>0</v>
      </c>
    </row>
    <row r="137" spans="1:9" ht="45" customHeight="1" x14ac:dyDescent="0.35">
      <c r="A137" s="1" t="s">
        <v>270</v>
      </c>
      <c r="B137" s="1" t="s">
        <v>271</v>
      </c>
      <c r="C137" s="1" t="s">
        <v>12</v>
      </c>
      <c r="D137" s="2">
        <v>0</v>
      </c>
      <c r="E137" s="2">
        <f>VLOOKUP(B137,'[1]3311'!$B$6:$E$156,4,0)</f>
        <v>0</v>
      </c>
      <c r="F137" s="2">
        <v>2700000</v>
      </c>
      <c r="G137" s="2">
        <v>2700000</v>
      </c>
      <c r="H137" s="2">
        <v>0</v>
      </c>
      <c r="I137" s="2">
        <v>0</v>
      </c>
    </row>
    <row r="138" spans="1:9" ht="45" customHeight="1" x14ac:dyDescent="0.35">
      <c r="A138" s="1" t="s">
        <v>272</v>
      </c>
      <c r="B138" s="1" t="s">
        <v>273</v>
      </c>
      <c r="C138" s="1" t="s">
        <v>12</v>
      </c>
      <c r="D138" s="2">
        <v>0</v>
      </c>
      <c r="E138" s="2">
        <f>VLOOKUP(B138,'[1]3311'!$B$6:$E$156,4,0)</f>
        <v>0</v>
      </c>
      <c r="F138" s="2">
        <v>3630000</v>
      </c>
      <c r="G138" s="2">
        <v>3630000</v>
      </c>
      <c r="H138" s="2">
        <v>0</v>
      </c>
      <c r="I138" s="2">
        <v>0</v>
      </c>
    </row>
    <row r="139" spans="1:9" ht="30" customHeight="1" x14ac:dyDescent="0.35">
      <c r="A139" s="1" t="s">
        <v>274</v>
      </c>
      <c r="B139" s="1" t="s">
        <v>275</v>
      </c>
      <c r="C139" s="1" t="s">
        <v>12</v>
      </c>
      <c r="E139" s="2">
        <f>VLOOKUP(B139,'[1]3311'!$B$6:$E$156,4,0)</f>
        <v>0</v>
      </c>
      <c r="F139" s="2">
        <v>23609124</v>
      </c>
      <c r="G139" s="2">
        <v>23609124</v>
      </c>
      <c r="I139" s="2">
        <v>0</v>
      </c>
    </row>
    <row r="140" spans="1:9" ht="30" customHeight="1" x14ac:dyDescent="0.35">
      <c r="A140" s="1" t="s">
        <v>276</v>
      </c>
      <c r="B140" s="1" t="s">
        <v>277</v>
      </c>
      <c r="C140" s="1" t="s">
        <v>12</v>
      </c>
      <c r="D140" s="2">
        <v>0</v>
      </c>
      <c r="E140" s="2">
        <f>VLOOKUP(B140,'[1]3311'!$B$6:$E$156,4,0)</f>
        <v>0</v>
      </c>
      <c r="F140" s="2">
        <v>10398474240</v>
      </c>
      <c r="G140" s="2">
        <v>10398474240</v>
      </c>
      <c r="H140" s="2">
        <v>0</v>
      </c>
      <c r="I140" s="2">
        <v>0</v>
      </c>
    </row>
    <row r="141" spans="1:9" ht="30" customHeight="1" x14ac:dyDescent="0.35">
      <c r="A141" s="1" t="s">
        <v>278</v>
      </c>
      <c r="B141" s="1" t="s">
        <v>279</v>
      </c>
      <c r="C141" s="1" t="s">
        <v>12</v>
      </c>
      <c r="D141" s="2">
        <v>0</v>
      </c>
      <c r="E141" s="2">
        <f>VLOOKUP(B141,'[1]3311'!$B$6:$E$156,4,0)</f>
        <v>0</v>
      </c>
      <c r="F141" s="2">
        <v>11364418</v>
      </c>
      <c r="G141" s="2">
        <v>11364418</v>
      </c>
      <c r="H141" s="2">
        <v>0</v>
      </c>
      <c r="I141" s="2">
        <v>0</v>
      </c>
    </row>
    <row r="142" spans="1:9" ht="30" customHeight="1" x14ac:dyDescent="0.35">
      <c r="A142" s="1" t="s">
        <v>280</v>
      </c>
      <c r="B142" s="1" t="s">
        <v>281</v>
      </c>
      <c r="C142" s="1" t="s">
        <v>12</v>
      </c>
      <c r="D142" s="2">
        <v>0</v>
      </c>
      <c r="E142" s="2">
        <f>VLOOKUP(B142,'[1]3311'!$B$6:$E$156,4,0)</f>
        <v>0</v>
      </c>
      <c r="F142" s="2">
        <v>2167667400</v>
      </c>
      <c r="G142" s="2">
        <v>2167667400</v>
      </c>
      <c r="H142" s="2">
        <v>0</v>
      </c>
      <c r="I142" s="2">
        <v>0</v>
      </c>
    </row>
    <row r="143" spans="1:9" ht="30" customHeight="1" x14ac:dyDescent="0.35">
      <c r="A143" s="1" t="s">
        <v>282</v>
      </c>
      <c r="B143" s="1" t="s">
        <v>283</v>
      </c>
      <c r="C143" s="1" t="s">
        <v>12</v>
      </c>
      <c r="E143" s="2">
        <f>VLOOKUP(B143,'[1]3311'!$B$6:$E$156,4,0)</f>
        <v>0</v>
      </c>
      <c r="F143" s="2">
        <v>27030000</v>
      </c>
      <c r="G143" s="2">
        <v>27030000</v>
      </c>
      <c r="I143" s="2">
        <v>0</v>
      </c>
    </row>
    <row r="144" spans="1:9" ht="30" customHeight="1" x14ac:dyDescent="0.35">
      <c r="A144" s="1" t="s">
        <v>284</v>
      </c>
      <c r="B144" s="1" t="s">
        <v>285</v>
      </c>
      <c r="C144" s="1" t="s">
        <v>12</v>
      </c>
      <c r="E144" s="2">
        <f>VLOOKUP(B144,'[1]3311'!$B$6:$E$156,4,0)</f>
        <v>0</v>
      </c>
      <c r="F144" s="2">
        <v>18719000</v>
      </c>
      <c r="G144" s="2">
        <v>18719000</v>
      </c>
      <c r="I144" s="2">
        <v>0</v>
      </c>
    </row>
    <row r="145" spans="1:9" ht="45" customHeight="1" x14ac:dyDescent="0.35">
      <c r="A145" s="1" t="s">
        <v>286</v>
      </c>
      <c r="B145" s="1" t="s">
        <v>287</v>
      </c>
      <c r="C145" s="1" t="s">
        <v>12</v>
      </c>
      <c r="D145" s="2">
        <v>0</v>
      </c>
      <c r="E145" s="2">
        <f>VLOOKUP(B145,'[1]3311'!$B$6:$E$156,4,0)</f>
        <v>0</v>
      </c>
      <c r="F145" s="2">
        <v>96948480</v>
      </c>
      <c r="G145" s="2">
        <v>96948480</v>
      </c>
      <c r="H145" s="2">
        <v>0</v>
      </c>
      <c r="I145" s="2">
        <v>0</v>
      </c>
    </row>
    <row r="146" spans="1:9" ht="30" customHeight="1" x14ac:dyDescent="0.35">
      <c r="A146" s="1" t="s">
        <v>288</v>
      </c>
      <c r="B146" s="1" t="s">
        <v>289</v>
      </c>
      <c r="C146" s="1" t="s">
        <v>12</v>
      </c>
      <c r="E146" s="2">
        <f>VLOOKUP(B146,'[1]3311'!$B$6:$E$156,4,0)</f>
        <v>0</v>
      </c>
      <c r="F146" s="2">
        <v>2805000</v>
      </c>
      <c r="G146" s="2">
        <v>2805000</v>
      </c>
      <c r="I146" s="2">
        <v>0</v>
      </c>
    </row>
    <row r="147" spans="1:9" ht="30" customHeight="1" x14ac:dyDescent="0.35">
      <c r="A147" s="1" t="s">
        <v>290</v>
      </c>
      <c r="B147" s="1" t="s">
        <v>291</v>
      </c>
      <c r="C147" s="1" t="s">
        <v>12</v>
      </c>
      <c r="D147" s="2">
        <v>0</v>
      </c>
      <c r="E147" s="2">
        <f>VLOOKUP(B147,'[1]3311'!$B$6:$E$156,4,0)</f>
        <v>0</v>
      </c>
      <c r="F147" s="2">
        <v>116865000</v>
      </c>
      <c r="G147" s="2">
        <v>68040000</v>
      </c>
      <c r="H147" s="2">
        <v>48825000</v>
      </c>
      <c r="I147" s="2">
        <v>0</v>
      </c>
    </row>
    <row r="148" spans="1:9" ht="30" customHeight="1" x14ac:dyDescent="0.35">
      <c r="A148" s="1" t="s">
        <v>292</v>
      </c>
      <c r="B148" s="1" t="s">
        <v>293</v>
      </c>
      <c r="C148" s="1" t="s">
        <v>12</v>
      </c>
      <c r="E148" s="2">
        <f>VLOOKUP(B148,'[1]3311'!$B$6:$E$156,4,0)</f>
        <v>131948863</v>
      </c>
      <c r="F148" s="2">
        <v>556527419</v>
      </c>
      <c r="G148" s="2">
        <v>424578556</v>
      </c>
      <c r="I148" s="2">
        <v>0</v>
      </c>
    </row>
    <row r="149" spans="1:9" ht="30" customHeight="1" x14ac:dyDescent="0.35">
      <c r="A149" s="1" t="s">
        <v>294</v>
      </c>
      <c r="B149" s="1" t="s">
        <v>295</v>
      </c>
      <c r="C149" s="1" t="s">
        <v>12</v>
      </c>
      <c r="E149" s="2">
        <f>VLOOKUP(B149,'[1]3311'!$B$6:$E$156,4,0)</f>
        <v>0</v>
      </c>
      <c r="F149" s="2">
        <v>5668669</v>
      </c>
      <c r="G149" s="2">
        <v>5668669</v>
      </c>
      <c r="I149" s="2">
        <v>0</v>
      </c>
    </row>
    <row r="150" spans="1:9" ht="45" customHeight="1" x14ac:dyDescent="0.35">
      <c r="A150" s="1" t="s">
        <v>296</v>
      </c>
      <c r="B150" s="1" t="s">
        <v>297</v>
      </c>
      <c r="C150" s="1" t="s">
        <v>12</v>
      </c>
      <c r="E150" s="2">
        <f>VLOOKUP(B150,'[1]3311'!$B$6:$E$156,4,0)</f>
        <v>0</v>
      </c>
      <c r="F150" s="2">
        <v>102298950</v>
      </c>
      <c r="G150" s="2">
        <v>102298950</v>
      </c>
      <c r="I150" s="2">
        <v>0</v>
      </c>
    </row>
    <row r="151" spans="1:9" ht="45" customHeight="1" x14ac:dyDescent="0.35">
      <c r="A151" s="1" t="s">
        <v>298</v>
      </c>
      <c r="B151" s="1" t="s">
        <v>299</v>
      </c>
      <c r="C151" s="1" t="s">
        <v>12</v>
      </c>
      <c r="D151" s="2">
        <v>0</v>
      </c>
      <c r="E151" s="2">
        <f>VLOOKUP(B151,'[1]3311'!$B$6:$E$156,4,0)</f>
        <v>0</v>
      </c>
      <c r="F151" s="2">
        <v>83132500</v>
      </c>
      <c r="G151" s="2">
        <v>83132500</v>
      </c>
      <c r="H151" s="2">
        <v>0</v>
      </c>
      <c r="I151" s="2">
        <v>0</v>
      </c>
    </row>
    <row r="152" spans="1:9" ht="90" customHeight="1" x14ac:dyDescent="0.35">
      <c r="A152" s="1" t="s">
        <v>300</v>
      </c>
      <c r="B152" s="1" t="s">
        <v>301</v>
      </c>
      <c r="C152" s="1" t="s">
        <v>12</v>
      </c>
      <c r="D152" s="2">
        <v>4600000</v>
      </c>
      <c r="F152" s="2">
        <v>0</v>
      </c>
      <c r="G152" s="2">
        <v>4600000</v>
      </c>
      <c r="H152" s="2">
        <v>0</v>
      </c>
    </row>
    <row r="153" spans="1:9" ht="30" customHeight="1" x14ac:dyDescent="0.35">
      <c r="A153" s="1" t="s">
        <v>302</v>
      </c>
      <c r="B153" s="1" t="s">
        <v>303</v>
      </c>
      <c r="C153" s="1" t="s">
        <v>12</v>
      </c>
      <c r="D153" s="2">
        <v>0</v>
      </c>
      <c r="E153" s="2">
        <f>VLOOKUP(B153,'[1]3311'!$B$6:$E$156,4,0)</f>
        <v>0</v>
      </c>
      <c r="F153" s="2">
        <v>3109306699</v>
      </c>
      <c r="G153" s="2">
        <v>2975674763</v>
      </c>
      <c r="H153" s="2">
        <v>133632000</v>
      </c>
      <c r="I153" s="2">
        <v>64</v>
      </c>
    </row>
    <row r="154" spans="1:9" ht="30" customHeight="1" x14ac:dyDescent="0.35">
      <c r="A154" s="1" t="s">
        <v>304</v>
      </c>
      <c r="B154" s="1" t="s">
        <v>305</v>
      </c>
      <c r="C154" s="1" t="s">
        <v>12</v>
      </c>
      <c r="E154" s="2">
        <f>VLOOKUP(B154,'[1]3311'!$B$6:$E$156,4,0)</f>
        <v>0</v>
      </c>
      <c r="F154" s="2">
        <v>6600000</v>
      </c>
      <c r="G154" s="2">
        <v>6600000</v>
      </c>
      <c r="I154" s="2">
        <v>0</v>
      </c>
    </row>
    <row r="155" spans="1:9" ht="30" customHeight="1" x14ac:dyDescent="0.35">
      <c r="A155" s="1" t="s">
        <v>306</v>
      </c>
      <c r="B155" s="1" t="s">
        <v>307</v>
      </c>
      <c r="C155" s="1" t="s">
        <v>12</v>
      </c>
      <c r="D155" s="2">
        <v>0</v>
      </c>
      <c r="E155" s="2">
        <f>VLOOKUP(B155,'[1]3311'!$B$6:$E$156,4,0)</f>
        <v>0</v>
      </c>
      <c r="F155" s="2">
        <v>148589942</v>
      </c>
      <c r="G155" s="2">
        <v>148589942</v>
      </c>
      <c r="H155" s="2">
        <v>148589942</v>
      </c>
      <c r="I155" s="2">
        <v>148589942</v>
      </c>
    </row>
    <row r="156" spans="1:9" ht="45" customHeight="1" x14ac:dyDescent="0.35">
      <c r="A156" s="1" t="s">
        <v>308</v>
      </c>
      <c r="B156" s="1" t="s">
        <v>309</v>
      </c>
      <c r="C156" s="1" t="s">
        <v>12</v>
      </c>
      <c r="D156" s="2">
        <v>0</v>
      </c>
      <c r="E156" s="2">
        <f>VLOOKUP(B156,'[1]3311'!$B$6:$E$156,4,0)</f>
        <v>0</v>
      </c>
      <c r="F156" s="2">
        <v>118556312</v>
      </c>
      <c r="G156" s="2">
        <v>118556312</v>
      </c>
      <c r="H156" s="2">
        <v>0</v>
      </c>
      <c r="I156" s="2">
        <v>0</v>
      </c>
    </row>
    <row r="157" spans="1:9" ht="45" customHeight="1" x14ac:dyDescent="0.35">
      <c r="A157" s="1" t="s">
        <v>310</v>
      </c>
      <c r="B157" s="1" t="s">
        <v>311</v>
      </c>
      <c r="C157" s="1" t="s">
        <v>12</v>
      </c>
      <c r="D157" s="2">
        <v>263261948</v>
      </c>
      <c r="E157" s="2">
        <f>VLOOKUP(B157,'[1]3311'!$B$6:$E$156,4,0)</f>
        <v>0</v>
      </c>
      <c r="F157" s="2">
        <v>1159055505</v>
      </c>
      <c r="G157" s="2">
        <v>1422317453</v>
      </c>
      <c r="H157" s="2">
        <v>0</v>
      </c>
      <c r="I157" s="2">
        <v>0</v>
      </c>
    </row>
    <row r="158" spans="1:9" ht="30" customHeight="1" x14ac:dyDescent="0.35">
      <c r="A158" s="1" t="s">
        <v>312</v>
      </c>
      <c r="B158" s="1" t="s">
        <v>313</v>
      </c>
      <c r="C158" s="1" t="s">
        <v>12</v>
      </c>
      <c r="D158" s="2">
        <v>105624000</v>
      </c>
      <c r="E158" s="2">
        <f>VLOOKUP(B158,'[1]3311'!$B$6:$E$156,4,0)</f>
        <v>0</v>
      </c>
      <c r="F158" s="2">
        <v>176040000</v>
      </c>
      <c r="G158" s="2">
        <v>281664000</v>
      </c>
      <c r="H158" s="2">
        <v>0</v>
      </c>
      <c r="I158" s="2">
        <v>0</v>
      </c>
    </row>
    <row r="159" spans="1:9" ht="45" customHeight="1" x14ac:dyDescent="0.35">
      <c r="A159" s="1" t="s">
        <v>314</v>
      </c>
      <c r="B159" s="1" t="s">
        <v>315</v>
      </c>
      <c r="C159" s="1" t="s">
        <v>12</v>
      </c>
      <c r="E159" s="2">
        <f>VLOOKUP(B159,'[1]3311'!$B$6:$E$156,4,0)</f>
        <v>0</v>
      </c>
      <c r="F159" s="2">
        <v>3483000</v>
      </c>
      <c r="G159" s="2">
        <v>3483000</v>
      </c>
      <c r="I159" s="2">
        <v>0</v>
      </c>
    </row>
    <row r="160" spans="1:9" ht="30" customHeight="1" x14ac:dyDescent="0.35">
      <c r="A160" s="1" t="s">
        <v>316</v>
      </c>
      <c r="B160" s="1" t="s">
        <v>317</v>
      </c>
      <c r="C160" s="1" t="s">
        <v>12</v>
      </c>
      <c r="D160" s="2">
        <v>0</v>
      </c>
      <c r="E160" s="2">
        <f>VLOOKUP(B160,'[1]3311'!$B$6:$E$156,4,0)</f>
        <v>0</v>
      </c>
      <c r="F160" s="2">
        <v>101738260</v>
      </c>
      <c r="G160" s="2">
        <v>101738260</v>
      </c>
      <c r="H160" s="2">
        <v>0</v>
      </c>
      <c r="I160" s="2">
        <v>0</v>
      </c>
    </row>
    <row r="161" spans="1:9" x14ac:dyDescent="0.35">
      <c r="A161" s="6" t="s">
        <v>318</v>
      </c>
      <c r="B161" s="6"/>
      <c r="C161" s="6"/>
      <c r="D161" s="7">
        <f>SUM(D6:D160)</f>
        <v>19024451267</v>
      </c>
      <c r="E161" s="7" t="e">
        <f>SUM(E6:E160)</f>
        <v>#N/A</v>
      </c>
      <c r="F161" s="7">
        <v>427532488367</v>
      </c>
      <c r="G161" s="7">
        <v>412641758334</v>
      </c>
      <c r="H161" s="7">
        <f>SUM(H6:H160)</f>
        <v>29725842988</v>
      </c>
      <c r="I161" s="7">
        <f>SUM(I6:I160)</f>
        <v>19017162045</v>
      </c>
    </row>
  </sheetData>
  <autoFilter ref="A5:I161" xr:uid="{00000000-0009-0000-0000-000000000000}"/>
  <mergeCells count="2">
    <mergeCell ref="A1:I1"/>
    <mergeCell ref="A2:I2"/>
  </mergeCells>
  <pageMargins left="0.39370078740157483" right="0.39370078740157483" top="0.39370078740157483" bottom="0.39370078740157483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CÔNG NỢ PHẢI TRẢ NHÀ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Thoa, Le Thi (HO.ACCOUNTING)</dc:creator>
  <cp:lastModifiedBy>Michael Nguyen</cp:lastModifiedBy>
  <dcterms:created xsi:type="dcterms:W3CDTF">2026-03-26T07:26:19Z</dcterms:created>
  <dcterms:modified xsi:type="dcterms:W3CDTF">2026-08-30T12:07:09Z</dcterms:modified>
</cp:coreProperties>
</file>