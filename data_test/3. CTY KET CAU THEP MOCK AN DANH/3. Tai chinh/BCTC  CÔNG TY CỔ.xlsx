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drawings/drawing1.xml" ContentType="application/vnd.openxmlformats-officedocument.drawing+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drawings/drawing2.xml" ContentType="application/vnd.openxmlformats-officedocument.drawing+xml"/>
  <Override PartName="/xl/comments/comment7.xml" ContentType="application/vnd.openxmlformats-officedocument.spreadsheetml.comments+xml"/>
  <Override PartName="/xl/worksheets/sheet1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lockStructure="1" workbookAlgorithmName="SHA-512" workbookHashValue="v6c9HJ84o99IfLvaq3CdLE9b84X08aLV+f86HgEdZ3pNa+Jt89ku3Pd8shzqv5QYpU1SnoqEn4GaeCIOL3kTOA==" workbookSaltValue="bcIGKrpl/Vo6XUCNng16BQ==" workbookSpinCount="100000"/>
  <bookViews>
    <workbookView visibility="visible" minimized="0" showHorizontalScroll="1" showVerticalScroll="1" showSheetTabs="1" xWindow="-120" yWindow="-120" windowWidth="20730" windowHeight="11040" tabRatio="600" firstSheet="8" activeTab="10" autoFilterDateGrouping="1"/>
  </bookViews>
  <sheets>
    <sheet xmlns:r="http://schemas.openxmlformats.org/officeDocument/2006/relationships" name="Financial_Report1" sheetId="1" state="visible" r:id="rId1"/>
    <sheet xmlns:r="http://schemas.openxmlformats.org/officeDocument/2006/relationships" name="Droplist" sheetId="2" state="hidden" r:id="rId2"/>
    <sheet xmlns:r="http://schemas.openxmlformats.org/officeDocument/2006/relationships" name="0. Huong dan" sheetId="3" state="hidden" r:id="rId3"/>
    <sheet xmlns:r="http://schemas.openxmlformats.org/officeDocument/2006/relationships" name="01. Thong tin chung" sheetId="4" state="visible" r:id="rId4"/>
    <sheet xmlns:r="http://schemas.openxmlformats.org/officeDocument/2006/relationships" name="02. Nhap lieu tai chinh_RG" sheetId="5" state="hidden" r:id="rId5"/>
    <sheet xmlns:r="http://schemas.openxmlformats.org/officeDocument/2006/relationships" name="03. Dulieutaichinhlamsach_RG" sheetId="6" state="hidden" r:id="rId6"/>
    <sheet xmlns:r="http://schemas.openxmlformats.org/officeDocument/2006/relationships" name="06. Phan tich tai chinh_RG" sheetId="7" state="hidden" r:id="rId7"/>
    <sheet xmlns:r="http://schemas.openxmlformats.org/officeDocument/2006/relationships" name="02. Nhap lieu tai chinh_DD" sheetId="8" state="visible" r:id="rId8"/>
    <sheet xmlns:r="http://schemas.openxmlformats.org/officeDocument/2006/relationships" name="03. Dulieutaichinhlamsach_DD" sheetId="9" state="visible" r:id="rId9"/>
    <sheet xmlns:r="http://schemas.openxmlformats.org/officeDocument/2006/relationships" name="06. Phan tich tai chinh_DD" sheetId="10" state="visible" r:id="rId10"/>
    <sheet xmlns:r="http://schemas.openxmlformats.org/officeDocument/2006/relationships" name="Financial_Report" sheetId="11" state="visible" r:id="rId11"/>
  </sheets>
  <externalReferences>
    <externalReference xmlns:r="http://schemas.openxmlformats.org/officeDocument/2006/relationships" r:id="rId12"/>
  </externalReferences>
  <definedNames>
    <definedName name="balanceSh_RG">'02. Nhap lieu tai chinh_RG'!$D$11:$H$57</definedName>
    <definedName name="CountBlankBCTC_RG">'03. Dulieutaichinhlamsach_RG'!$K$2</definedName>
    <definedName name="CountNegProvision_RG">'02. Nhap lieu tai chinh_RG'!$P$2</definedName>
    <definedName name="genInfo_RG">'02. Nhap lieu tai chinh_RG'!$D$7:$H$9</definedName>
    <definedName name="incomeStmt_RG">'02. Nhap lieu tai chinh_RG'!$D$59:$H$80</definedName>
    <definedName name="_xlnm._FilterDatabase" localSheetId="0" hidden="1">'Financial_Report1'!$A$1:$I$335</definedName>
    <definedName name="CountBlankTTC" localSheetId="3">'01. Thong tin chung'!$B$10</definedName>
    <definedName name="custInfo" localSheetId="3">'01. Thong tin chung'!$B$3:$B$9</definedName>
    <definedName name="_xlnm.Print_Area" localSheetId="4">'02. Nhap lieu tai chinh_RG'!$B$1:$M$80</definedName>
    <definedName name="balanceSh" localSheetId="7">'02. Nhap lieu tai chinh_DD'!$D$11:$H$128</definedName>
    <definedName name="CountNegProvision" localSheetId="7">'02. Nhap lieu tai chinh_DD'!$P$2</definedName>
    <definedName name="genInfo" localSheetId="7">'02. Nhap lieu tai chinh_DD'!$D$7:$H$9</definedName>
    <definedName name="incomeStmt" localSheetId="7">'02. Nhap lieu tai chinh_DD'!$D$130:$H$155</definedName>
    <definedName name="_xlnm.Print_Area" localSheetId="7">'02. Nhap lieu tai chinh_DD'!$B$1:$M$155</definedName>
    <definedName name="CountBlankBCTC" localSheetId="8">'03. Dulieutaichinhlamsach_DD'!$K$2</definedName>
  </definedNames>
  <calcPr calcId="191029" fullCalcOnLoad="1"/>
</workbook>
</file>

<file path=xl/styles.xml><?xml version="1.0" encoding="utf-8"?>
<styleSheet xmlns="http://schemas.openxmlformats.org/spreadsheetml/2006/main">
  <numFmts count="8">
    <numFmt numFmtId="164" formatCode="#,##0.00;[Red]\-#,##0.00"/>
    <numFmt numFmtId="165" formatCode="#,##0;[Red]\-#,##0"/>
    <numFmt numFmtId="166" formatCode="_(* #,##0_);_(* \(#,##0\);_(* &quot;-&quot;??_);_(@_)"/>
    <numFmt numFmtId="167" formatCode="_-* #,##0_-;\-* #,##0_-;_-* &quot;-&quot;_-;_-@_-"/>
    <numFmt numFmtId="168" formatCode="0_);[Red]\(0\)"/>
    <numFmt numFmtId="169" formatCode="0.0%"/>
    <numFmt numFmtId="170" formatCode="#,##0_ ;[Red]\-#,##0\ "/>
    <numFmt numFmtId="171" formatCode="_(* #,##0.0_);_(* \(#,##0.0\);_(* &quot;-&quot;??_);_(@_)"/>
  </numFmts>
  <fonts count="76">
    <font>
      <name val="Calibri"/>
      <charset val="163"/>
      <family val="2"/>
      <color theme="1"/>
      <sz val="11"/>
      <scheme val="minor"/>
    </font>
    <font>
      <name val="Calibri"/>
      <family val="2"/>
      <color theme="1"/>
      <sz val="11"/>
      <scheme val="minor"/>
    </font>
    <font>
      <name val="Arial"/>
      <family val="2"/>
      <sz val="10"/>
    </font>
    <font>
      <name val=".VnTime"/>
      <family val="2"/>
      <b val="1"/>
      <sz val="11"/>
    </font>
    <font>
      <name val="Times New Roman"/>
      <family val="1"/>
      <sz val="11"/>
    </font>
    <font>
      <name val="Calibri"/>
      <charset val="163"/>
      <family val="2"/>
      <color theme="1"/>
      <sz val="11"/>
      <scheme val="minor"/>
    </font>
    <font>
      <name val="Times New Roman"/>
      <family val="1"/>
      <b val="1"/>
      <color indexed="10"/>
      <sz val="11"/>
    </font>
    <font>
      <name val="Times New Roman"/>
      <family val="1"/>
      <b val="1"/>
      <sz val="11"/>
    </font>
    <font>
      <name val="Courier"/>
      <family val="3"/>
      <color indexed="8"/>
      <sz val="10"/>
    </font>
    <font>
      <name val="Times New Roman"/>
      <family val="1"/>
      <b val="1"/>
      <color indexed="12"/>
      <sz val="11"/>
    </font>
    <font>
      <name val="Times New Roman"/>
      <family val="1"/>
      <color indexed="12"/>
      <sz val="11"/>
    </font>
    <font>
      <name val="Times New Roman"/>
      <family val="1"/>
      <color theme="2" tint="-0.09997863704336681"/>
      <sz val="11"/>
    </font>
    <font>
      <name val="Times New Roman"/>
      <family val="1"/>
      <b val="1"/>
      <color rgb="FFFF0000"/>
      <sz val="11"/>
    </font>
    <font>
      <name val="Times New Roman"/>
      <family val="1"/>
      <b val="1"/>
      <color indexed="8"/>
      <sz val="11"/>
    </font>
    <font>
      <name val="Times New Roman"/>
      <family val="1"/>
      <b val="1"/>
      <color indexed="8"/>
      <sz val="13"/>
    </font>
    <font>
      <name val="Times New Roman"/>
      <family val="1"/>
      <color indexed="8"/>
      <sz val="13"/>
    </font>
    <font>
      <name val="Times New Roman"/>
      <family val="1"/>
      <b val="1"/>
      <i val="1"/>
      <color rgb="FFFF0000"/>
      <sz val="11"/>
    </font>
    <font>
      <name val="Times New Roman"/>
      <family val="1"/>
      <b val="1"/>
      <sz val="13"/>
    </font>
    <font>
      <name val="Times New Roman"/>
      <family val="1"/>
      <color theme="2" tint="-0.09997863704336681"/>
      <sz val="10"/>
    </font>
    <font>
      <name val="Times New Roman"/>
      <family val="1"/>
      <color rgb="FFFF0000"/>
      <sz val="11"/>
    </font>
    <font>
      <name val="Tahoma"/>
      <family val="2"/>
      <b val="1"/>
      <color indexed="81"/>
      <sz val="9"/>
    </font>
    <font>
      <name val="Tahoma"/>
      <family val="2"/>
      <color indexed="81"/>
      <sz val="9"/>
    </font>
    <font>
      <name val="Tahoma"/>
      <family val="2"/>
      <b val="1"/>
      <color indexed="81"/>
      <sz val="8"/>
    </font>
    <font>
      <name val="Times New Roman"/>
      <family val="1"/>
      <color indexed="8"/>
      <sz val="11"/>
    </font>
    <font>
      <name val="Times New Roman"/>
      <family val="1"/>
      <i val="1"/>
      <sz val="11"/>
    </font>
    <font>
      <name val="Times New Roman"/>
      <family val="1"/>
      <color indexed="10"/>
      <sz val="11"/>
    </font>
    <font>
      <name val="Times New Roman"/>
      <family val="1"/>
      <i val="1"/>
      <color indexed="12"/>
      <sz val="11"/>
    </font>
    <font>
      <name val="Times New Roman"/>
      <family val="1"/>
      <i val="1"/>
      <color indexed="10"/>
      <sz val="11"/>
    </font>
    <font>
      <name val="Times New Roman"/>
      <family val="1"/>
      <b val="1"/>
      <sz val="11"/>
      <u val="single"/>
    </font>
    <font>
      <name val="Times New Roman"/>
      <family val="1"/>
      <b val="1"/>
      <sz val="12"/>
    </font>
    <font>
      <name val="Times New Roman"/>
      <family val="1"/>
      <b val="1"/>
      <color rgb="FFFF0000"/>
      <sz val="12"/>
    </font>
    <font>
      <name val="Times New Roman"/>
      <family val="1"/>
      <sz val="10"/>
    </font>
    <font>
      <name val="Times New Roman"/>
      <family val="1"/>
      <sz val="12"/>
    </font>
    <font>
      <name val="Times New Roman"/>
      <family val="1"/>
      <b val="1"/>
      <color indexed="10"/>
      <sz val="10"/>
    </font>
    <font>
      <name val="Times New Roman"/>
      <family val="1"/>
      <b val="1"/>
      <sz val="10"/>
    </font>
    <font>
      <name val="Times New Roman"/>
      <family val="1"/>
      <b val="1"/>
      <color indexed="8"/>
      <sz val="10"/>
    </font>
    <font>
      <name val="Times New Roman"/>
      <family val="1"/>
      <b val="1"/>
      <color indexed="12"/>
      <sz val="10"/>
    </font>
    <font>
      <name val="Arial"/>
      <family val="2"/>
      <b val="1"/>
      <sz val="10"/>
    </font>
    <font>
      <name val="Times New Roman"/>
      <family val="1"/>
      <color indexed="8"/>
      <sz val="10"/>
    </font>
    <font>
      <name val="Times New Roman"/>
      <family val="1"/>
      <i val="1"/>
      <sz val="10"/>
    </font>
    <font>
      <name val="Times New Roman"/>
      <family val="1"/>
      <b val="1"/>
      <color theme="0"/>
      <sz val="11"/>
    </font>
    <font>
      <name val="Times New Roman"/>
      <family val="1"/>
      <color theme="0"/>
      <sz val="11"/>
    </font>
    <font>
      <name val=".VnTime"/>
      <family val="2"/>
      <b val="1"/>
      <sz val="10"/>
    </font>
    <font>
      <name val=".VnTime"/>
      <family val="2"/>
      <sz val="10"/>
    </font>
    <font>
      <name val=".VnTime"/>
      <family val="2"/>
      <b val="1"/>
      <sz val="10"/>
      <u val="single"/>
    </font>
    <font>
      <name val="Times New Roman"/>
      <family val="1"/>
      <color indexed="10"/>
      <sz val="10"/>
    </font>
    <font>
      <name val="Times New Roman"/>
      <family val="1"/>
      <b val="1"/>
      <i val="1"/>
      <sz val="10"/>
    </font>
    <font>
      <name val="Arial"/>
      <family val="2"/>
      <b val="1"/>
      <color indexed="10"/>
      <sz val="10"/>
    </font>
    <font>
      <name val="Arial"/>
      <family val="2"/>
      <color indexed="10"/>
      <sz val="10"/>
    </font>
    <font>
      <name val="Times New Roman"/>
      <family val="1"/>
      <color indexed="12"/>
      <sz val="10"/>
    </font>
    <font>
      <name val="Arial"/>
      <family val="2"/>
      <b val="1"/>
      <color indexed="8"/>
      <sz val="10"/>
    </font>
    <font>
      <name val="Tahoma"/>
      <family val="2"/>
      <color indexed="81"/>
      <sz val="8"/>
    </font>
    <font>
      <name val="Calibri"/>
      <family val="2"/>
      <color indexed="8"/>
      <sz val="11"/>
      <scheme val="minor"/>
    </font>
    <font>
      <name val="Calibri"/>
      <charset val="163"/>
      <family val="2"/>
      <color rgb="FFFF0000"/>
      <sz val="11"/>
      <scheme val="minor"/>
    </font>
    <font>
      <name val="Times New Roman"/>
      <family val="1"/>
      <color theme="4"/>
      <sz val="11"/>
    </font>
    <font>
      <name val="Calibri"/>
      <charset val="163"/>
      <family val="2"/>
      <color theme="4"/>
      <sz val="11"/>
      <scheme val="minor"/>
    </font>
    <font>
      <name val="Times New Roman"/>
      <family val="1"/>
      <i val="1"/>
      <color theme="4"/>
      <sz val="11"/>
    </font>
    <font>
      <name val="Calibri"/>
      <charset val="163"/>
      <family val="2"/>
      <sz val="11"/>
      <scheme val="minor"/>
    </font>
    <font>
      <name val="Calibri"/>
      <family val="2"/>
      <color rgb="FF000000"/>
      <sz val="11"/>
    </font>
    <font>
      <name val="Times New Roman"/>
      <family val="1"/>
      <color rgb="FFFF0000"/>
      <sz val="10"/>
    </font>
    <font>
      <name val="Times New Roman"/>
      <family val="1"/>
      <b val="1"/>
      <color theme="1"/>
      <sz val="11"/>
    </font>
    <font>
      <name val="Times New Roman"/>
      <family val="1"/>
      <color theme="1"/>
      <sz val="11"/>
    </font>
    <font>
      <name val="Times New Roman"/>
      <family val="1"/>
      <color theme="5"/>
      <sz val="11"/>
    </font>
    <font>
      <name val="Times New Roman"/>
      <family val="1"/>
      <b val="1"/>
      <color rgb="FF00B0F0"/>
      <sz val="11"/>
    </font>
    <font>
      <name val="Times New Roman"/>
      <family val="1"/>
      <b val="1"/>
      <color rgb="FFFF0000"/>
      <sz val="10"/>
    </font>
    <font>
      <name val="Times New Roman"/>
      <family val="1"/>
      <color indexed="53"/>
      <sz val="11"/>
    </font>
    <font>
      <name val="Times New Roman"/>
      <family val="1"/>
      <b val="1"/>
      <color indexed="9"/>
      <sz val="11"/>
    </font>
    <font>
      <name val="MS Sans Serif"/>
      <family val="2"/>
      <sz val="10"/>
    </font>
    <font>
      <name val=".VnTime"/>
      <family val="2"/>
      <color rgb="FFFF0000"/>
      <sz val="10"/>
    </font>
    <font>
      <name val=".VnTime"/>
      <family val="2"/>
      <b val="1"/>
      <color rgb="FFFF0000"/>
      <sz val="10"/>
      <u val="single"/>
    </font>
    <font>
      <name val="Arial"/>
      <family val="2"/>
      <color rgb="FFFF0000"/>
      <sz val="10"/>
    </font>
    <font>
      <name val="Times New Roman"/>
      <family val="1"/>
      <color theme="1"/>
      <sz val="10"/>
    </font>
    <font>
      <name val="Times New Roman"/>
      <family val="1"/>
      <color theme="5"/>
      <sz val="10"/>
    </font>
    <font>
      <name val="Arial"/>
      <family val="2"/>
      <color theme="5"/>
      <sz val="10"/>
    </font>
    <font>
      <name val="Calibri"/>
      <charset val="163"/>
      <family val="2"/>
      <color theme="5"/>
      <sz val="11"/>
      <scheme val="minor"/>
    </font>
    <font>
      <name val="Times New Roman"/>
      <family val="1"/>
      <color theme="1"/>
      <sz val="12"/>
    </font>
  </fonts>
  <fills count="35">
    <fill>
      <patternFill/>
    </fill>
    <fill>
      <patternFill patternType="gray125"/>
    </fill>
    <fill>
      <patternFill patternType="solid">
        <fgColor indexed="17"/>
        <bgColor indexed="64"/>
      </patternFill>
    </fill>
    <fill>
      <patternFill patternType="solid">
        <fgColor rgb="FFFFFF00"/>
        <bgColor indexed="64"/>
      </patternFill>
    </fill>
    <fill>
      <patternFill patternType="solid">
        <fgColor indexed="9"/>
      </patternFill>
    </fill>
    <fill>
      <patternFill patternType="solid">
        <fgColor indexed="41"/>
        <bgColor indexed="64"/>
      </patternFill>
    </fill>
    <fill>
      <patternFill patternType="solid">
        <fgColor rgb="FF00B050"/>
        <bgColor indexed="64"/>
      </patternFill>
    </fill>
    <fill>
      <patternFill patternType="solid">
        <fgColor theme="0" tint="-0.1499984740745262"/>
        <bgColor indexed="64"/>
      </patternFill>
    </fill>
    <fill>
      <patternFill patternType="solid">
        <fgColor indexed="57"/>
        <bgColor indexed="64"/>
      </patternFill>
    </fill>
    <fill>
      <patternFill patternType="solid">
        <fgColor indexed="42"/>
        <bgColor indexed="64"/>
      </patternFill>
    </fill>
    <fill>
      <patternFill patternType="solid">
        <fgColor indexed="51"/>
        <bgColor indexed="64"/>
      </patternFill>
    </fill>
    <fill>
      <patternFill patternType="solid">
        <fgColor indexed="43"/>
        <bgColor indexed="64"/>
      </patternFill>
    </fill>
    <fill>
      <patternFill patternType="solid">
        <fgColor indexed="22"/>
        <bgColor indexed="64"/>
      </patternFill>
    </fill>
    <fill>
      <patternFill patternType="solid">
        <fgColor indexed="9"/>
        <bgColor indexed="64"/>
      </patternFill>
    </fill>
    <fill>
      <patternFill patternType="solid">
        <fgColor rgb="FFC00000"/>
        <bgColor indexed="64"/>
      </patternFill>
    </fill>
    <fill>
      <patternFill patternType="solid">
        <fgColor theme="9" tint="0.3999755851924192"/>
        <bgColor indexed="64"/>
      </patternFill>
    </fill>
    <fill>
      <patternFill patternType="solid">
        <fgColor theme="6" tint="0.7999816888943144"/>
        <bgColor indexed="64"/>
      </patternFill>
    </fill>
    <fill>
      <patternFill patternType="solid">
        <fgColor indexed="13"/>
        <bgColor indexed="64"/>
      </patternFill>
    </fill>
    <fill>
      <patternFill patternType="solid">
        <fgColor indexed="44"/>
        <bgColor indexed="64"/>
      </patternFill>
    </fill>
    <fill>
      <patternFill patternType="solid">
        <fgColor theme="2"/>
        <bgColor indexed="64"/>
      </patternFill>
    </fill>
    <fill>
      <patternFill patternType="solid">
        <fgColor theme="0" tint="-0.0499893185216834"/>
        <bgColor indexed="64"/>
      </patternFill>
    </fill>
    <fill>
      <patternFill patternType="solid">
        <fgColor theme="0" tint="-0.3499862666707358"/>
        <bgColor indexed="64"/>
      </patternFill>
    </fill>
    <fill>
      <patternFill patternType="solid">
        <fgColor theme="4" tint="0.7999816888943144"/>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rgb="FFFF0000"/>
        <bgColor indexed="64"/>
      </patternFill>
    </fill>
    <fill>
      <patternFill patternType="solid">
        <fgColor theme="7" tint="0.5999938962981048"/>
        <bgColor indexed="64"/>
      </patternFill>
    </fill>
    <fill>
      <patternFill patternType="solid">
        <fgColor indexed="63"/>
        <bgColor indexed="64"/>
      </patternFill>
    </fill>
    <fill>
      <patternFill patternType="solid">
        <fgColor indexed="48"/>
        <bgColor indexed="64"/>
      </patternFill>
    </fill>
    <fill>
      <patternFill patternType="solid">
        <fgColor rgb="FFFF00FF"/>
        <bgColor indexed="64"/>
      </patternFill>
    </fill>
    <fill>
      <patternFill patternType="solid">
        <fgColor theme="0"/>
        <bgColor indexed="64"/>
      </patternFill>
    </fill>
    <fill>
      <patternFill patternType="solid">
        <fgColor theme="4" tint="0.3999755851924192"/>
        <bgColor indexed="64"/>
      </patternFill>
    </fill>
    <fill>
      <patternFill patternType="solid">
        <fgColor theme="6" tint="0.5999938962981048"/>
        <bgColor indexed="64"/>
      </patternFill>
    </fill>
    <fill>
      <patternFill patternType="solid">
        <fgColor rgb="FF92D050"/>
        <bgColor indexed="64"/>
      </patternFill>
    </fill>
    <fill>
      <patternFill patternType="solid">
        <fgColor rgb="FFFFFFFF"/>
        <bgColor indexed="64"/>
      </patternFill>
    </fill>
  </fills>
  <borders count="1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style="double">
        <color indexed="64"/>
      </top>
      <bottom style="thin">
        <color indexed="64"/>
      </bottom>
      <diagonal/>
    </border>
    <border>
      <left style="thin">
        <color indexed="64"/>
      </left>
      <right/>
      <top style="double">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right/>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double">
        <color indexed="64"/>
      </right>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style="thin">
        <color indexed="64"/>
      </left>
      <right style="double">
        <color indexed="64"/>
      </right>
      <top style="thin">
        <color indexed="64"/>
      </top>
      <bottom style="hair">
        <color indexed="64"/>
      </bottom>
      <diagonal/>
    </border>
    <border>
      <left style="hair">
        <color indexed="64"/>
      </left>
      <right style="hair">
        <color indexed="64"/>
      </right>
      <top style="double">
        <color indexed="64"/>
      </top>
      <bottom/>
      <diagonal/>
    </border>
    <border>
      <left style="hair">
        <color indexed="64"/>
      </left>
      <right/>
      <top/>
      <bottom/>
      <diagonal/>
    </border>
    <border>
      <left style="double">
        <color indexed="64"/>
      </left>
      <right style="thin">
        <color indexed="64"/>
      </right>
      <top style="double">
        <color indexed="64"/>
      </top>
      <bottom style="thin">
        <color indexed="64"/>
      </bottom>
      <diagonal/>
    </border>
    <border>
      <left style="double">
        <color indexed="64"/>
      </left>
      <right style="hair">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double">
        <color indexed="64"/>
      </left>
      <right style="hair">
        <color indexed="64"/>
      </right>
      <top style="hair">
        <color indexed="64"/>
      </top>
      <bottom style="double">
        <color indexed="64"/>
      </bottom>
      <diagonal/>
    </border>
    <border>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hair">
        <color indexed="64"/>
      </top>
      <bottom/>
      <diagonal/>
    </border>
    <border>
      <left style="double">
        <color indexed="64"/>
      </left>
      <right style="thin">
        <color indexed="64"/>
      </right>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right/>
      <top style="double">
        <color indexed="64"/>
      </top>
      <bottom style="thin">
        <color indexed="64"/>
      </bottom>
      <diagonal/>
    </border>
    <border>
      <left style="double">
        <color indexed="64"/>
      </left>
      <right style="thin">
        <color indexed="64"/>
      </right>
      <top/>
      <bottom/>
      <diagonal/>
    </border>
    <border>
      <left style="thin">
        <color theme="0" tint="-0.499984740745262"/>
      </left>
      <right style="thin">
        <color indexed="64"/>
      </right>
      <top style="thin">
        <color theme="0" tint="-0.499984740745262"/>
      </top>
      <bottom/>
      <diagonal/>
    </border>
    <border>
      <left style="thin">
        <color indexed="64"/>
      </left>
      <right style="thin">
        <color indexed="64"/>
      </right>
      <top style="thin">
        <color theme="0" tint="-0.499984740745262"/>
      </top>
      <bottom/>
      <diagonal/>
    </border>
    <border>
      <left style="medium">
        <color rgb="FF00B050"/>
      </left>
      <right style="thin">
        <color theme="0" tint="-0.499984740745262"/>
      </right>
      <top style="medium">
        <color rgb="FF00B050"/>
      </top>
      <bottom style="thin">
        <color theme="0" tint="-0.499984740745262"/>
      </bottom>
      <diagonal/>
    </border>
    <border>
      <left style="medium">
        <color rgb="FF00B050"/>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9"/>
      </left>
      <right style="thin">
        <color theme="0" tint="-0.499984740745262"/>
      </right>
      <top style="thin">
        <color theme="0" tint="-0.499984740745262"/>
      </top>
      <bottom style="thin">
        <color theme="0" tint="-0.499984740745262"/>
      </bottom>
      <diagonal/>
    </border>
    <border>
      <left style="thin">
        <color theme="0" tint="-0.499984740745262"/>
      </left>
      <right style="medium">
        <color theme="9"/>
      </right>
      <top style="thin">
        <color theme="0" tint="-0.499984740745262"/>
      </top>
      <bottom style="thin">
        <color theme="0" tint="-0.499984740745262"/>
      </bottom>
      <diagonal/>
    </border>
    <border>
      <left style="medium">
        <color theme="9"/>
      </left>
      <right style="thin">
        <color theme="0" tint="-0.499984740745262"/>
      </right>
      <top style="thin">
        <color theme="0" tint="-0.499984740745262"/>
      </top>
      <bottom style="medium">
        <color theme="9"/>
      </bottom>
      <diagonal/>
    </border>
    <border>
      <left style="thin">
        <color theme="0" tint="-0.499984740745262"/>
      </left>
      <right style="thin">
        <color theme="0" tint="-0.499984740745262"/>
      </right>
      <top style="thin">
        <color theme="0" tint="-0.499984740745262"/>
      </top>
      <bottom style="medium">
        <color theme="9"/>
      </bottom>
      <diagonal/>
    </border>
    <border>
      <left style="thin">
        <color theme="0" tint="-0.499984740745262"/>
      </left>
      <right style="medium">
        <color theme="9"/>
      </right>
      <top style="thin">
        <color theme="0" tint="-0.499984740745262"/>
      </top>
      <bottom style="medium">
        <color theme="9"/>
      </bottom>
      <diagonal/>
    </border>
    <border>
      <left style="double">
        <color indexed="64"/>
      </left>
      <right style="thin">
        <color indexed="64"/>
      </right>
      <top style="thin">
        <color indexed="64"/>
      </top>
      <bottom style="hair">
        <color indexed="64"/>
      </bottom>
      <diagonal/>
    </border>
    <border>
      <left style="dotted">
        <color indexed="64"/>
      </left>
      <right/>
      <top/>
      <bottom/>
      <diagonal/>
    </border>
    <border>
      <left/>
      <right style="dotted">
        <color indexed="64"/>
      </right>
      <top/>
      <bottom/>
      <diagonal/>
    </border>
    <border>
      <left style="double">
        <color indexed="64"/>
      </left>
      <right style="thin">
        <color indexed="64"/>
      </right>
      <top/>
      <bottom style="double">
        <color indexed="64"/>
      </bottom>
      <diagonal/>
    </border>
    <border>
      <left style="double">
        <color indexed="64"/>
      </left>
      <right/>
      <top/>
      <bottom/>
      <diagonal/>
    </border>
    <border>
      <left style="double">
        <color indexed="64"/>
      </left>
      <right/>
      <top/>
      <bottom style="double">
        <color indexed="64"/>
      </bottom>
      <diagonal/>
    </border>
    <border>
      <left style="hair">
        <color indexed="64"/>
      </left>
      <right style="hair">
        <color indexed="64"/>
      </right>
      <top style="hair">
        <color indexed="64"/>
      </top>
      <bottom style="double">
        <color indexed="64"/>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style="medium">
        <color indexed="64"/>
      </right>
      <top style="double">
        <color indexed="64"/>
      </top>
      <bottom/>
      <diagonal/>
    </border>
    <border>
      <left/>
      <right style="double">
        <color indexed="64"/>
      </right>
      <top style="double">
        <color indexed="64"/>
      </top>
      <bottom/>
      <diagonal/>
    </border>
    <border>
      <left style="double">
        <color indexed="64"/>
      </left>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hair">
        <color indexed="64"/>
      </left>
      <right style="double">
        <color indexed="64"/>
      </right>
      <top style="hair">
        <color indexed="64"/>
      </top>
      <bottom style="double">
        <color indexed="64"/>
      </bottom>
      <diagonal/>
    </border>
    <border>
      <left style="medium">
        <color theme="9"/>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medium">
        <color theme="9"/>
      </right>
      <top/>
      <bottom style="thin">
        <color theme="0" tint="-0.499984740745262"/>
      </bottom>
      <diagonal/>
    </border>
    <border>
      <left style="medium">
        <color theme="9"/>
      </left>
      <right style="thin">
        <color theme="0" tint="-0.499984740745262"/>
      </right>
      <top style="medium">
        <color theme="9"/>
      </top>
      <bottom/>
      <diagonal/>
    </border>
    <border>
      <left style="thin">
        <color theme="0" tint="-0.499984740745262"/>
      </left>
      <right style="thin">
        <color theme="0" tint="-0.499984740745262"/>
      </right>
      <top style="medium">
        <color theme="9"/>
      </top>
      <bottom/>
      <diagonal/>
    </border>
    <border>
      <left style="thin">
        <color theme="0" tint="-0.499984740745262"/>
      </left>
      <right style="medium">
        <color theme="9"/>
      </right>
      <top style="medium">
        <color theme="9"/>
      </top>
      <bottom/>
      <diagonal/>
    </border>
    <border>
      <left style="medium">
        <color rgb="FF00B050"/>
      </left>
      <right/>
      <top style="medium">
        <color rgb="FF00B050"/>
      </top>
      <bottom style="thin">
        <color theme="0" tint="-0.499984740745262"/>
      </bottom>
      <diagonal/>
    </border>
    <border>
      <left/>
      <right style="thin">
        <color theme="0" tint="-0.499984740745262"/>
      </right>
      <top style="medium">
        <color rgb="FF00B050"/>
      </top>
      <bottom style="thin">
        <color theme="0" tint="-0.499984740745262"/>
      </bottom>
      <diagonal/>
    </border>
    <border>
      <left/>
      <right style="thin">
        <color theme="0" tint="-0.499984740745262"/>
      </right>
      <top/>
      <bottom style="thin">
        <color theme="0" tint="-0.499984740745262"/>
      </bottom>
      <diagonal/>
    </border>
    <border>
      <left/>
      <right/>
      <top style="hair">
        <color indexed="64"/>
      </top>
      <bottom style="hair">
        <color indexed="64"/>
      </bottom>
      <diagonal/>
    </border>
    <border>
      <left style="double">
        <color indexed="64"/>
      </left>
      <right/>
      <top/>
      <bottom style="hair">
        <color indexed="64"/>
      </bottom>
      <diagonal/>
    </border>
    <border>
      <left style="thin">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double">
        <color indexed="64"/>
      </right>
      <top style="thin">
        <color indexed="64"/>
      </top>
      <bottom style="hair">
        <color indexed="64"/>
      </bottom>
      <diagonal/>
    </border>
    <border>
      <left style="double">
        <color indexed="64"/>
      </left>
      <right/>
      <top style="hair">
        <color indexed="64"/>
      </top>
      <bottom/>
      <diagonal/>
    </border>
    <border>
      <left style="double">
        <color indexed="64"/>
      </left>
      <right/>
      <top style="hair">
        <color indexed="64"/>
      </top>
      <bottom style="double">
        <color indexed="64"/>
      </bottom>
      <diagonal/>
    </border>
    <border>
      <left style="thin">
        <color indexed="64"/>
      </left>
      <right style="double">
        <color indexed="64"/>
      </right>
      <top style="hair">
        <color indexed="64"/>
      </top>
      <bottom/>
      <diagonal/>
    </border>
    <border>
      <left style="double">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double">
        <color indexed="64"/>
      </right>
      <top style="hair">
        <color indexed="64"/>
      </top>
      <bottom style="thin">
        <color indexed="64"/>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top style="hair">
        <color indexed="64"/>
      </top>
      <bottom style="double">
        <color indexed="64"/>
      </bottom>
      <diagonal/>
    </border>
    <border>
      <left/>
      <right/>
      <top style="double">
        <color indexed="64"/>
      </top>
      <bottom style="hair">
        <color indexed="64"/>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hair">
        <color indexed="64"/>
      </top>
      <bottom/>
      <diagonal/>
    </border>
    <border>
      <left style="double">
        <color indexed="64"/>
      </left>
      <right style="double">
        <color indexed="64"/>
      </right>
      <top style="hair">
        <color indexed="64"/>
      </top>
      <bottom style="double">
        <color indexed="64"/>
      </bottom>
      <diagonal/>
    </border>
    <border>
      <left style="medium">
        <color rgb="FFCCCCCC"/>
      </left>
      <right style="medium">
        <color rgb="FF808080"/>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right/>
      <top style="double">
        <color indexed="64"/>
      </top>
      <bottom/>
      <diagonal/>
    </border>
    <border>
      <left/>
      <right style="thin">
        <color indexed="64"/>
      </right>
      <top style="double">
        <color indexed="64"/>
      </top>
      <bottom/>
      <diagonal/>
    </border>
    <border>
      <left/>
      <right/>
      <top style="thin">
        <color theme="0" tint="-0.499984740745262"/>
      </top>
      <bottom/>
      <diagonal/>
    </border>
    <border>
      <left/>
      <right style="thin">
        <color indexed="64"/>
      </right>
      <top style="thin">
        <color theme="0" tint="-0.499984740745262"/>
      </top>
      <bottom/>
      <diagonal/>
    </border>
    <border>
      <left style="thin">
        <color theme="0" tint="-0.499984740745262"/>
      </left>
      <right style="medium">
        <color theme="9"/>
      </right>
      <top style="medium">
        <color theme="9"/>
      </top>
      <bottom style="thin">
        <color theme="0" tint="-0.499984740745262"/>
      </bottom>
      <diagonal/>
    </border>
    <border>
      <left style="thin">
        <color theme="0" tint="-0.499984740745262"/>
      </left>
      <right/>
      <top/>
      <bottom/>
      <diagonal/>
    </border>
    <border>
      <left style="thin">
        <color theme="0" tint="-0.499984740745262"/>
      </left>
      <right style="medium">
        <color theme="9"/>
      </right>
      <top/>
      <bottom/>
      <diagonal/>
    </border>
    <border>
      <left style="medium">
        <color theme="9"/>
      </left>
      <right style="thin">
        <color theme="0" tint="-0.499984740745262"/>
      </right>
      <top style="medium">
        <color theme="9"/>
      </top>
      <bottom style="thin">
        <color theme="0" tint="-0.499984740745262"/>
      </bottom>
      <diagonal/>
    </border>
    <border>
      <left style="medium">
        <color theme="9"/>
      </left>
      <right/>
      <top/>
      <bottom/>
      <diagonal/>
    </border>
    <border>
      <left style="medium">
        <color theme="9"/>
      </left>
      <right style="thin">
        <color theme="0" tint="-0.499984740745262"/>
      </right>
      <top/>
      <bottom/>
      <diagonal/>
    </border>
    <border>
      <left style="thin">
        <color theme="0" tint="-0.499984740745262"/>
      </left>
      <right style="thin">
        <color theme="0" tint="-0.499984740745262"/>
      </right>
      <top style="medium">
        <color theme="9"/>
      </top>
      <bottom style="thin">
        <color theme="0" tint="-0.499984740745262"/>
      </bottom>
      <diagonal/>
    </border>
    <border>
      <left style="thin">
        <color theme="0" tint="-0.499984740745262"/>
      </left>
      <right style="thin">
        <color theme="0" tint="-0.499984740745262"/>
      </right>
      <top/>
      <bottom/>
      <diagonal/>
    </border>
    <border>
      <left/>
      <right/>
      <top style="medium">
        <color rgb="FF00B050"/>
      </top>
      <bottom/>
      <diagonal/>
    </border>
    <border>
      <left/>
      <right style="thin">
        <color theme="0" tint="-0.499984740745262"/>
      </right>
      <top style="medium">
        <color rgb="FF00B050"/>
      </top>
      <bottom/>
      <diagonal/>
    </border>
  </borders>
  <cellStyleXfs count="9">
    <xf numFmtId="0" fontId="5" fillId="0" borderId="0"/>
    <xf numFmtId="0" fontId="2" fillId="0" borderId="0"/>
    <xf numFmtId="43" fontId="5" fillId="0" borderId="0"/>
    <xf numFmtId="9" fontId="5" fillId="0" borderId="0"/>
    <xf numFmtId="5" fontId="8" fillId="4" borderId="0"/>
    <xf numFmtId="0" fontId="52" fillId="0" borderId="0"/>
    <xf numFmtId="0" fontId="31" fillId="0" borderId="0"/>
    <xf numFmtId="0" fontId="67" fillId="0" borderId="0"/>
    <xf numFmtId="0" fontId="1" fillId="0" borderId="0"/>
  </cellStyleXfs>
  <cellXfs count="932">
    <xf numFmtId="0" fontId="0" fillId="0" borderId="0" pivotButton="0" quotePrefix="0" xfId="0"/>
    <xf numFmtId="0" fontId="4" fillId="0" borderId="0" pivotButton="0" quotePrefix="0" xfId="1"/>
    <xf numFmtId="0" fontId="7" fillId="3" borderId="0" pivotButton="0" quotePrefix="0" xfId="1"/>
    <xf numFmtId="49" fontId="9" fillId="5" borderId="0" applyProtection="1" pivotButton="0" quotePrefix="0" xfId="4">
      <protection locked="0" hidden="0"/>
    </xf>
    <xf numFmtId="0" fontId="10" fillId="5" borderId="0" applyAlignment="1" applyProtection="1" pivotButton="0" quotePrefix="0" xfId="1">
      <alignment horizontal="left"/>
      <protection locked="0" hidden="0"/>
    </xf>
    <xf numFmtId="0" fontId="10" fillId="5" borderId="0" applyAlignment="1" applyProtection="1" pivotButton="0" quotePrefix="0" xfId="1">
      <alignment horizontal="left"/>
      <protection locked="0" hidden="0"/>
    </xf>
    <xf numFmtId="14" fontId="10" fillId="5" borderId="0" applyAlignment="1" applyProtection="1" pivotButton="0" quotePrefix="0" xfId="1">
      <alignment horizontal="left"/>
      <protection locked="0" hidden="0"/>
    </xf>
    <xf numFmtId="0" fontId="7" fillId="0" borderId="0" applyAlignment="1" applyProtection="1" pivotButton="0" quotePrefix="0" xfId="0">
      <alignment wrapText="1"/>
      <protection locked="0" hidden="0"/>
    </xf>
    <xf numFmtId="0" fontId="6" fillId="0" borderId="0" applyProtection="1" pivotButton="0" quotePrefix="0" xfId="0">
      <protection locked="0" hidden="0"/>
    </xf>
    <xf numFmtId="0" fontId="13" fillId="0" borderId="0" applyAlignment="1" applyProtection="1" pivotButton="0" quotePrefix="0" xfId="0">
      <alignment horizontal="right"/>
      <protection locked="0" hidden="0"/>
    </xf>
    <xf numFmtId="0" fontId="4" fillId="0" borderId="0" applyProtection="1" pivotButton="0" quotePrefix="0" xfId="0">
      <protection locked="0" hidden="0"/>
    </xf>
    <xf numFmtId="0" fontId="14" fillId="6" borderId="0" applyAlignment="1" applyProtection="1" pivotButton="0" quotePrefix="0" xfId="0">
      <alignment wrapText="1"/>
      <protection locked="0" hidden="0"/>
    </xf>
    <xf numFmtId="0" fontId="14" fillId="6" borderId="0" applyProtection="1" pivotButton="0" quotePrefix="0" xfId="0">
      <protection locked="0" hidden="0"/>
    </xf>
    <xf numFmtId="164" fontId="15" fillId="6" borderId="0" applyProtection="1" pivotButton="0" quotePrefix="0" xfId="0">
      <protection locked="0" hidden="0"/>
    </xf>
    <xf numFmtId="0" fontId="15" fillId="6" borderId="0" applyProtection="1" pivotButton="0" quotePrefix="0" xfId="0">
      <protection locked="0" hidden="0"/>
    </xf>
    <xf numFmtId="0" fontId="15" fillId="6" borderId="0" applyAlignment="1" applyProtection="1" pivotButton="0" quotePrefix="0" xfId="0">
      <alignment horizontal="right"/>
      <protection locked="0" hidden="0"/>
    </xf>
    <xf numFmtId="0" fontId="15" fillId="6" borderId="0" applyAlignment="1" applyProtection="1" pivotButton="0" quotePrefix="0" xfId="0">
      <alignment horizontal="center"/>
      <protection locked="0" hidden="0"/>
    </xf>
    <xf numFmtId="0" fontId="4" fillId="0" borderId="0" applyAlignment="1" applyProtection="1" pivotButton="0" quotePrefix="0" xfId="0">
      <alignment wrapText="1"/>
      <protection locked="0" hidden="0"/>
    </xf>
    <xf numFmtId="0" fontId="4" fillId="0" borderId="0" applyProtection="1" pivotButton="0" quotePrefix="0" xfId="0">
      <protection locked="0" hidden="0"/>
    </xf>
    <xf numFmtId="164" fontId="16" fillId="0" borderId="0" applyProtection="1" pivotButton="0" quotePrefix="0" xfId="0">
      <protection locked="0" hidden="0"/>
    </xf>
    <xf numFmtId="0" fontId="17" fillId="7" borderId="7" applyAlignment="1" applyProtection="1" pivotButton="0" quotePrefix="0" xfId="0">
      <alignment horizontal="center" vertical="center"/>
      <protection locked="0" hidden="0"/>
    </xf>
    <xf numFmtId="0" fontId="7" fillId="0" borderId="11" applyAlignment="1" applyProtection="1" pivotButton="0" quotePrefix="0" xfId="0">
      <alignment horizontal="center" vertical="center"/>
      <protection locked="0" hidden="0"/>
    </xf>
    <xf numFmtId="49" fontId="7" fillId="0" borderId="11" applyAlignment="1" applyProtection="1" pivotButton="0" quotePrefix="0" xfId="2">
      <alignment horizontal="center" vertical="center"/>
      <protection locked="0" hidden="0"/>
    </xf>
    <xf numFmtId="49" fontId="7" fillId="0" borderId="11" applyAlignment="1" applyProtection="1" pivotButton="0" quotePrefix="0" xfId="0">
      <alignment horizontal="center" vertical="center"/>
      <protection locked="0" hidden="0"/>
    </xf>
    <xf numFmtId="14" fontId="7" fillId="0" borderId="11" applyAlignment="1" applyProtection="1" pivotButton="0" quotePrefix="0" xfId="0">
      <alignment horizontal="center" vertical="center"/>
      <protection locked="0" hidden="0"/>
    </xf>
    <xf numFmtId="0" fontId="18" fillId="0" borderId="13" applyProtection="1" pivotButton="0" quotePrefix="0" xfId="0">
      <protection locked="0" hidden="0"/>
    </xf>
    <xf numFmtId="0" fontId="6" fillId="0" borderId="12" applyAlignment="1" applyProtection="1" pivotButton="0" quotePrefix="0" xfId="0">
      <alignment horizontal="center" vertical="center"/>
      <protection locked="0" hidden="0"/>
    </xf>
    <xf numFmtId="165" fontId="6" fillId="0" borderId="11" applyAlignment="1" applyProtection="1" pivotButton="0" quotePrefix="0" xfId="2">
      <alignment vertical="center"/>
      <protection locked="0" hidden="0"/>
    </xf>
    <xf numFmtId="165" fontId="9" fillId="0" borderId="16" applyAlignment="1" applyProtection="1" pivotButton="0" quotePrefix="0" xfId="2">
      <alignment vertical="center"/>
      <protection locked="0" hidden="0"/>
    </xf>
    <xf numFmtId="165" fontId="9" fillId="0" borderId="14" applyAlignment="1" applyProtection="1" pivotButton="0" quotePrefix="0" xfId="2">
      <alignment vertical="center"/>
      <protection locked="0" hidden="0"/>
    </xf>
    <xf numFmtId="165" fontId="10" fillId="0" borderId="17" applyAlignment="1" applyProtection="1" pivotButton="0" quotePrefix="0" xfId="2">
      <alignment horizontal="right" vertical="center"/>
      <protection locked="0" hidden="0"/>
    </xf>
    <xf numFmtId="38" fontId="10" fillId="0" borderId="14" applyAlignment="1" applyProtection="1" pivotButton="0" quotePrefix="0" xfId="2">
      <alignment vertical="center"/>
      <protection locked="0" hidden="0"/>
    </xf>
    <xf numFmtId="165" fontId="10" fillId="0" borderId="14" applyAlignment="1" applyProtection="1" pivotButton="0" quotePrefix="0" xfId="2">
      <alignment vertical="center"/>
      <protection locked="0" hidden="0"/>
    </xf>
    <xf numFmtId="0" fontId="4" fillId="0" borderId="15" applyProtection="1" pivotButton="0" quotePrefix="0" xfId="0">
      <protection locked="0" hidden="0"/>
    </xf>
    <xf numFmtId="165" fontId="10" fillId="0" borderId="14" applyProtection="1" pivotButton="0" quotePrefix="0" xfId="2">
      <protection locked="0" hidden="0"/>
    </xf>
    <xf numFmtId="0" fontId="7" fillId="0" borderId="15" applyProtection="1" pivotButton="0" quotePrefix="0" xfId="0">
      <protection locked="0" hidden="0"/>
    </xf>
    <xf numFmtId="0" fontId="4" fillId="0" borderId="0" pivotButton="0" quotePrefix="0" xfId="0"/>
    <xf numFmtId="0" fontId="7" fillId="0" borderId="0" pivotButton="0" quotePrefix="0" xfId="0"/>
    <xf numFmtId="0" fontId="6" fillId="0" borderId="0" pivotButton="0" quotePrefix="0" xfId="0"/>
    <xf numFmtId="0" fontId="4" fillId="0" borderId="0" pivotButton="0" quotePrefix="0" xfId="0"/>
    <xf numFmtId="0" fontId="13" fillId="0" borderId="0" applyAlignment="1" pivotButton="0" quotePrefix="0" xfId="0">
      <alignment horizontal="right"/>
    </xf>
    <xf numFmtId="0" fontId="13" fillId="8" borderId="0" pivotButton="0" quotePrefix="0" xfId="0"/>
    <xf numFmtId="0" fontId="23" fillId="8" borderId="0" applyAlignment="1" pivotButton="0" quotePrefix="0" xfId="0">
      <alignment horizontal="right"/>
    </xf>
    <xf numFmtId="0" fontId="4" fillId="9" borderId="0" pivotButton="0" quotePrefix="0" xfId="0"/>
    <xf numFmtId="0" fontId="7" fillId="9" borderId="20" applyAlignment="1" pivotButton="0" quotePrefix="0" xfId="0">
      <alignment horizontal="center" vertical="center"/>
    </xf>
    <xf numFmtId="0" fontId="4" fillId="0" borderId="0" pivotButton="0" quotePrefix="0" xfId="0"/>
    <xf numFmtId="0" fontId="7" fillId="9" borderId="23" applyAlignment="1" pivotButton="0" quotePrefix="0" xfId="0">
      <alignment horizontal="center" vertical="center"/>
    </xf>
    <xf numFmtId="0" fontId="6" fillId="9" borderId="23" applyAlignment="1" pivotButton="0" quotePrefix="0" xfId="0">
      <alignment horizontal="center" vertical="center"/>
    </xf>
    <xf numFmtId="0" fontId="25" fillId="0" borderId="0" pivotButton="0" quotePrefix="0" xfId="0"/>
    <xf numFmtId="0" fontId="7" fillId="9" borderId="25" applyAlignment="1" pivotButton="0" quotePrefix="0" xfId="0">
      <alignment vertical="center"/>
    </xf>
    <xf numFmtId="0" fontId="7" fillId="9" borderId="28" applyAlignment="1" pivotButton="0" quotePrefix="0" xfId="0">
      <alignment vertical="center"/>
    </xf>
    <xf numFmtId="0" fontId="7" fillId="0" borderId="0" pivotButton="0" quotePrefix="0" xfId="0"/>
    <xf numFmtId="0" fontId="4" fillId="9" borderId="28" applyAlignment="1" pivotButton="0" quotePrefix="0" xfId="0">
      <alignment vertical="center"/>
    </xf>
    <xf numFmtId="0" fontId="6" fillId="9" borderId="25" applyAlignment="1" pivotButton="0" quotePrefix="0" xfId="0">
      <alignment horizontal="center" vertical="center"/>
    </xf>
    <xf numFmtId="0" fontId="13" fillId="8" borderId="0" applyAlignment="1" pivotButton="0" quotePrefix="0" xfId="0">
      <alignment horizontal="left"/>
    </xf>
    <xf numFmtId="0" fontId="7" fillId="9" borderId="20" applyAlignment="1" pivotButton="0" quotePrefix="0" xfId="0">
      <alignment horizontal="center" vertical="center"/>
    </xf>
    <xf numFmtId="38" fontId="9" fillId="9" borderId="35" applyAlignment="1" pivotButton="0" quotePrefix="0" xfId="2">
      <alignment horizontal="right" vertical="center"/>
    </xf>
    <xf numFmtId="0" fontId="26" fillId="0" borderId="0" pivotButton="0" quotePrefix="0" xfId="0"/>
    <xf numFmtId="0" fontId="4" fillId="9" borderId="27" pivotButton="0" quotePrefix="0" xfId="0"/>
    <xf numFmtId="0" fontId="4" fillId="9" borderId="28" pivotButton="0" quotePrefix="0" xfId="0"/>
    <xf numFmtId="38" fontId="10" fillId="9" borderId="29" applyAlignment="1" pivotButton="0" quotePrefix="0" xfId="2">
      <alignment horizontal="right"/>
    </xf>
    <xf numFmtId="0" fontId="7" fillId="9" borderId="28" pivotButton="0" quotePrefix="0" xfId="0"/>
    <xf numFmtId="38" fontId="9" fillId="9" borderId="29" applyAlignment="1" pivotButton="0" quotePrefix="0" xfId="2">
      <alignment horizontal="right"/>
    </xf>
    <xf numFmtId="0" fontId="4" fillId="9" borderId="33" pivotButton="0" quotePrefix="0" xfId="0"/>
    <xf numFmtId="38" fontId="10" fillId="9" borderId="34" applyAlignment="1" pivotButton="0" quotePrefix="0" xfId="2">
      <alignment horizontal="right"/>
    </xf>
    <xf numFmtId="0" fontId="7" fillId="9" borderId="33" pivotButton="0" quotePrefix="0" xfId="0"/>
    <xf numFmtId="38" fontId="9" fillId="9" borderId="34" applyAlignment="1" pivotButton="0" quotePrefix="0" xfId="2">
      <alignment horizontal="right"/>
    </xf>
    <xf numFmtId="0" fontId="7" fillId="0" borderId="36" pivotButton="0" quotePrefix="0" xfId="0"/>
    <xf numFmtId="166" fontId="7" fillId="0" borderId="37" applyAlignment="1" pivotButton="0" quotePrefix="0" xfId="2">
      <alignment horizontal="right"/>
    </xf>
    <xf numFmtId="0" fontId="7" fillId="10" borderId="0" applyAlignment="1" pivotButton="0" quotePrefix="0" xfId="0">
      <alignment horizontal="left"/>
    </xf>
    <xf numFmtId="167" fontId="7" fillId="10" borderId="0" applyAlignment="1" pivotButton="0" quotePrefix="0" xfId="0">
      <alignment horizontal="right" vertical="center"/>
    </xf>
    <xf numFmtId="0" fontId="7" fillId="10" borderId="0" applyAlignment="1" pivotButton="0" quotePrefix="0" xfId="0">
      <alignment horizontal="right" vertical="center"/>
    </xf>
    <xf numFmtId="0" fontId="7" fillId="0" borderId="0" applyAlignment="1" pivotButton="0" quotePrefix="0" xfId="0">
      <alignment horizontal="center"/>
    </xf>
    <xf numFmtId="0" fontId="7" fillId="0" borderId="0" applyAlignment="1" pivotButton="0" quotePrefix="0" xfId="0">
      <alignment horizontal="center"/>
    </xf>
    <xf numFmtId="0" fontId="4" fillId="11" borderId="0" pivotButton="0" quotePrefix="0" xfId="0"/>
    <xf numFmtId="0" fontId="7" fillId="11" borderId="38" applyAlignment="1" pivotButton="0" quotePrefix="0" xfId="0">
      <alignment horizontal="center" vertical="center"/>
    </xf>
    <xf numFmtId="0" fontId="7" fillId="11" borderId="6" applyAlignment="1" pivotButton="0" quotePrefix="0" xfId="0">
      <alignment horizontal="center" vertical="center"/>
    </xf>
    <xf numFmtId="0" fontId="13" fillId="11" borderId="39" applyAlignment="1" pivotButton="0" quotePrefix="0" xfId="0">
      <alignment horizontal="left" vertical="center" wrapText="1"/>
    </xf>
    <xf numFmtId="0" fontId="7" fillId="11" borderId="10" applyAlignment="1" pivotButton="0" quotePrefix="0" xfId="0">
      <alignment wrapText="1"/>
    </xf>
    <xf numFmtId="0" fontId="23" fillId="11" borderId="39" applyAlignment="1" pivotButton="0" quotePrefix="0" xfId="0">
      <alignment horizontal="left" vertical="center" wrapText="1"/>
    </xf>
    <xf numFmtId="0" fontId="4" fillId="11" borderId="27" applyAlignment="1" pivotButton="0" quotePrefix="0" xfId="0">
      <alignment wrapText="1"/>
    </xf>
    <xf numFmtId="0" fontId="27" fillId="0" borderId="0" applyAlignment="1" pivotButton="0" quotePrefix="0" xfId="0">
      <alignment vertical="center" wrapText="1"/>
    </xf>
    <xf numFmtId="0" fontId="7" fillId="11" borderId="27" applyAlignment="1" pivotButton="0" quotePrefix="0" xfId="0">
      <alignment wrapText="1"/>
    </xf>
    <xf numFmtId="0" fontId="2" fillId="0" borderId="0" pivotButton="0" quotePrefix="0" xfId="0"/>
    <xf numFmtId="0" fontId="29" fillId="0" borderId="0" applyAlignment="1" pivotButton="0" quotePrefix="0" xfId="0">
      <alignment horizontal="right"/>
    </xf>
    <xf numFmtId="0" fontId="30" fillId="0" borderId="0" applyAlignment="1" pivotButton="0" quotePrefix="0" xfId="0">
      <alignment horizontal="right"/>
    </xf>
    <xf numFmtId="0" fontId="31" fillId="0" borderId="0" pivotButton="0" quotePrefix="0" xfId="0"/>
    <xf numFmtId="0" fontId="33" fillId="0" borderId="38" applyAlignment="1" pivotButton="0" quotePrefix="0" xfId="0">
      <alignment vertical="center"/>
    </xf>
    <xf numFmtId="0" fontId="34" fillId="0" borderId="22" applyAlignment="1" pivotButton="0" quotePrefix="0" xfId="0">
      <alignment horizontal="center" vertical="center" wrapText="1"/>
    </xf>
    <xf numFmtId="0" fontId="34" fillId="0" borderId="42" applyAlignment="1" pivotButton="0" quotePrefix="0" xfId="0">
      <alignment horizontal="center" vertical="center" wrapText="1"/>
    </xf>
    <xf numFmtId="0" fontId="34" fillId="0" borderId="43" applyAlignment="1" pivotButton="0" quotePrefix="0" xfId="0">
      <alignment horizontal="right" vertical="center"/>
    </xf>
    <xf numFmtId="49" fontId="34" fillId="12" borderId="11" applyAlignment="1" pivotButton="0" quotePrefix="0" xfId="0">
      <alignment horizontal="left" vertical="center"/>
    </xf>
    <xf numFmtId="49" fontId="34" fillId="0" borderId="18" applyAlignment="1" pivotButton="0" quotePrefix="0" xfId="0">
      <alignment horizontal="left" vertical="center" indent="1"/>
    </xf>
    <xf numFmtId="49" fontId="34" fillId="12" borderId="38" applyAlignment="1" pivotButton="0" quotePrefix="0" xfId="0">
      <alignment vertical="center"/>
    </xf>
    <xf numFmtId="49" fontId="31" fillId="0" borderId="18" applyAlignment="1" pivotButton="0" quotePrefix="0" xfId="0">
      <alignment horizontal="left" vertical="center" indent="1"/>
    </xf>
    <xf numFmtId="49" fontId="39" fillId="0" borderId="18" applyAlignment="1" pivotButton="0" quotePrefix="0" xfId="0">
      <alignment horizontal="left" vertical="center" indent="1"/>
    </xf>
    <xf numFmtId="49" fontId="31" fillId="0" borderId="48" applyAlignment="1" pivotButton="0" quotePrefix="0" xfId="0">
      <alignment horizontal="left" vertical="center" indent="1"/>
    </xf>
    <xf numFmtId="49" fontId="33" fillId="13" borderId="9" applyAlignment="1" pivotButton="0" quotePrefix="0" xfId="0">
      <alignment vertical="center"/>
    </xf>
    <xf numFmtId="0" fontId="34" fillId="0" borderId="0" applyAlignment="1" pivotButton="0" quotePrefix="0" xfId="0">
      <alignment horizontal="right" vertical="center"/>
    </xf>
    <xf numFmtId="0" fontId="2" fillId="0" borderId="0" applyAlignment="1" pivotButton="0" quotePrefix="0" xfId="0">
      <alignment vertical="center"/>
    </xf>
    <xf numFmtId="49" fontId="33" fillId="13" borderId="0" pivotButton="0" quotePrefix="0" xfId="0"/>
    <xf numFmtId="0" fontId="34" fillId="0" borderId="0" applyAlignment="1" pivotButton="0" quotePrefix="0" xfId="0">
      <alignment horizontal="right" indent="1"/>
    </xf>
    <xf numFmtId="43" fontId="41" fillId="6" borderId="54" applyAlignment="1" pivotButton="0" quotePrefix="0" xfId="2">
      <alignment vertical="center"/>
    </xf>
    <xf numFmtId="0" fontId="4" fillId="16" borderId="55" applyAlignment="1" pivotButton="0" quotePrefix="0" xfId="0">
      <alignment vertical="center"/>
    </xf>
    <xf numFmtId="0" fontId="4" fillId="16" borderId="57" applyAlignment="1" pivotButton="0" quotePrefix="0" xfId="0">
      <alignment horizontal="left" vertical="top" wrapText="1" indent="1"/>
    </xf>
    <xf numFmtId="41" fontId="4" fillId="16" borderId="56" applyAlignment="1" pivotButton="0" quotePrefix="0" xfId="0">
      <alignment vertical="center"/>
    </xf>
    <xf numFmtId="41" fontId="4" fillId="16" borderId="58" applyAlignment="1" pivotButton="0" quotePrefix="0" xfId="0">
      <alignment vertical="center"/>
    </xf>
    <xf numFmtId="0" fontId="23" fillId="16" borderId="57" applyAlignment="1" pivotButton="0" quotePrefix="0" xfId="0">
      <alignment horizontal="left" vertical="top" wrapText="1" indent="1"/>
    </xf>
    <xf numFmtId="41" fontId="23" fillId="16" borderId="56" applyAlignment="1" pivotButton="0" quotePrefix="0" xfId="0">
      <alignment vertical="center"/>
    </xf>
    <xf numFmtId="41" fontId="23" fillId="16" borderId="58" applyAlignment="1" pivotButton="0" quotePrefix="0" xfId="0">
      <alignment vertical="center"/>
    </xf>
    <xf numFmtId="0" fontId="4" fillId="16" borderId="55" applyAlignment="1" pivotButton="0" quotePrefix="0" xfId="0">
      <alignment vertical="center" wrapText="1"/>
    </xf>
    <xf numFmtId="4" fontId="23" fillId="16" borderId="56" applyAlignment="1" pivotButton="0" quotePrefix="0" xfId="2">
      <alignment vertical="center"/>
    </xf>
    <xf numFmtId="4" fontId="23" fillId="16" borderId="58" applyAlignment="1" pivotButton="0" quotePrefix="0" xfId="2">
      <alignment vertical="center"/>
    </xf>
    <xf numFmtId="0" fontId="31" fillId="0" borderId="0" applyAlignment="1" pivotButton="0" quotePrefix="0" xfId="0">
      <alignment vertical="center"/>
    </xf>
    <xf numFmtId="166" fontId="23" fillId="16" borderId="56" applyAlignment="1" pivotButton="0" quotePrefix="0" xfId="2">
      <alignment vertical="center"/>
    </xf>
    <xf numFmtId="166" fontId="23" fillId="16" borderId="58" applyAlignment="1" pivotButton="0" quotePrefix="0" xfId="2">
      <alignment vertical="center"/>
    </xf>
    <xf numFmtId="0" fontId="23" fillId="16" borderId="57" applyAlignment="1" pivotButton="0" quotePrefix="0" xfId="0">
      <alignment horizontal="left" vertical="top" wrapText="1"/>
    </xf>
    <xf numFmtId="43" fontId="23" fillId="16" borderId="56" applyAlignment="1" pivotButton="0" quotePrefix="0" xfId="2">
      <alignment vertical="center"/>
    </xf>
    <xf numFmtId="43" fontId="23" fillId="16" borderId="58" applyAlignment="1" pivotButton="0" quotePrefix="0" xfId="2">
      <alignment vertical="center"/>
    </xf>
    <xf numFmtId="0" fontId="23" fillId="16" borderId="56" applyAlignment="1" pivotButton="0" quotePrefix="0" xfId="2">
      <alignment vertical="center"/>
    </xf>
    <xf numFmtId="0" fontId="4" fillId="16" borderId="59" applyAlignment="1" pivotButton="0" quotePrefix="0" xfId="0">
      <alignment horizontal="left" vertical="top" wrapText="1"/>
    </xf>
    <xf numFmtId="39" fontId="4" fillId="16" borderId="60" applyAlignment="1" pivotButton="0" quotePrefix="0" xfId="2">
      <alignment vertical="center" wrapText="1"/>
    </xf>
    <xf numFmtId="39" fontId="4" fillId="16" borderId="61" applyAlignment="1" pivotButton="0" quotePrefix="0" xfId="2">
      <alignment vertical="center" wrapText="1"/>
    </xf>
    <xf numFmtId="0" fontId="31" fillId="0" borderId="0" applyAlignment="1" pivotButton="0" quotePrefix="0" xfId="0">
      <alignment wrapText="1"/>
    </xf>
    <xf numFmtId="49" fontId="33" fillId="13" borderId="9" pivotButton="0" quotePrefix="0" xfId="0"/>
    <xf numFmtId="0" fontId="34" fillId="0" borderId="0" applyAlignment="1" pivotButton="0" quotePrefix="0" xfId="0">
      <alignment horizontal="left"/>
    </xf>
    <xf numFmtId="164" fontId="34" fillId="0" borderId="0" applyAlignment="1" pivotButton="0" quotePrefix="0" xfId="0">
      <alignment horizontal="left"/>
    </xf>
    <xf numFmtId="167" fontId="37" fillId="0" borderId="0" applyAlignment="1" pivotButton="0" quotePrefix="0" xfId="0">
      <alignment horizontal="right" vertical="center"/>
    </xf>
    <xf numFmtId="0" fontId="37" fillId="0" borderId="0" applyAlignment="1" pivotButton="0" quotePrefix="0" xfId="0">
      <alignment horizontal="right" vertical="center"/>
    </xf>
    <xf numFmtId="0" fontId="2" fillId="0" borderId="0" pivotButton="0" quotePrefix="0" xfId="0"/>
    <xf numFmtId="164" fontId="2" fillId="0" borderId="0" pivotButton="0" quotePrefix="0" xfId="0"/>
    <xf numFmtId="0" fontId="34" fillId="0" borderId="38" applyAlignment="1" pivotButton="0" quotePrefix="0" xfId="0">
      <alignment horizontal="center" vertical="center" wrapText="1"/>
    </xf>
    <xf numFmtId="0" fontId="34" fillId="0" borderId="20" applyAlignment="1" pivotButton="0" quotePrefix="0" xfId="0">
      <alignment horizontal="center" vertical="center" wrapText="1"/>
    </xf>
    <xf numFmtId="49" fontId="34" fillId="0" borderId="20" applyAlignment="1" pivotButton="0" quotePrefix="0" xfId="0">
      <alignment horizontal="center" vertical="center" wrapText="1"/>
    </xf>
    <xf numFmtId="14" fontId="34" fillId="0" borderId="20" applyAlignment="1" pivotButton="0" quotePrefix="0" xfId="0">
      <alignment horizontal="center" vertical="center" wrapText="1"/>
    </xf>
    <xf numFmtId="0" fontId="34" fillId="0" borderId="22" applyAlignment="1" pivotButton="0" quotePrefix="0" xfId="0">
      <alignment horizontal="center" vertical="center" wrapText="1"/>
    </xf>
    <xf numFmtId="0" fontId="34" fillId="0" borderId="40" applyAlignment="1" pivotButton="0" quotePrefix="0" xfId="0">
      <alignment horizontal="center" wrapText="1"/>
    </xf>
    <xf numFmtId="49" fontId="43" fillId="0" borderId="40" applyAlignment="1" pivotButton="0" quotePrefix="0" xfId="0">
      <alignment horizontal="center" vertical="center"/>
    </xf>
    <xf numFmtId="166" fontId="44" fillId="0" borderId="40" applyAlignment="1" pivotButton="0" quotePrefix="0" xfId="2">
      <alignment vertical="center"/>
    </xf>
    <xf numFmtId="166" fontId="44" fillId="0" borderId="40" applyAlignment="1" pivotButton="0" quotePrefix="0" xfId="2">
      <alignment horizontal="center" vertical="center"/>
    </xf>
    <xf numFmtId="0" fontId="2" fillId="0" borderId="40" pivotButton="0" quotePrefix="0" xfId="0"/>
    <xf numFmtId="0" fontId="31" fillId="0" borderId="28" applyAlignment="1" pivotButton="0" quotePrefix="0" xfId="0">
      <alignment horizontal="center" wrapText="1"/>
    </xf>
    <xf numFmtId="4" fontId="31" fillId="0" borderId="28" applyAlignment="1" pivotButton="0" quotePrefix="0" xfId="2">
      <alignment horizontal="center"/>
    </xf>
    <xf numFmtId="0" fontId="34" fillId="0" borderId="28" applyAlignment="1" pivotButton="0" quotePrefix="0" xfId="0">
      <alignment horizontal="center" wrapText="1"/>
    </xf>
    <xf numFmtId="10" fontId="31" fillId="0" borderId="28" applyAlignment="1" pivotButton="0" quotePrefix="0" xfId="3">
      <alignment horizontal="center"/>
    </xf>
    <xf numFmtId="49" fontId="31" fillId="0" borderId="0" pivotButton="0" quotePrefix="0" xfId="0"/>
    <xf numFmtId="0" fontId="31" fillId="0" borderId="0" applyAlignment="1" pivotButton="0" quotePrefix="0" xfId="0">
      <alignment horizontal="right" indent="1"/>
    </xf>
    <xf numFmtId="0" fontId="34" fillId="0" borderId="38" applyAlignment="1" pivotButton="0" quotePrefix="0" xfId="0">
      <alignment horizontal="left" vertical="top" wrapText="1" indent="1"/>
    </xf>
    <xf numFmtId="0" fontId="34" fillId="13" borderId="20" applyAlignment="1" pivotButton="0" quotePrefix="0" xfId="2">
      <alignment horizontal="center"/>
    </xf>
    <xf numFmtId="14" fontId="34" fillId="13" borderId="20" applyAlignment="1" pivotButton="0" quotePrefix="0" xfId="2">
      <alignment horizontal="center"/>
    </xf>
    <xf numFmtId="0" fontId="34" fillId="0" borderId="22" applyAlignment="1" pivotButton="0" quotePrefix="0" xfId="3">
      <alignment horizontal="center"/>
    </xf>
    <xf numFmtId="0" fontId="31" fillId="0" borderId="47" applyAlignment="1" pivotButton="0" quotePrefix="0" xfId="0">
      <alignment horizontal="left" vertical="top" wrapText="1" indent="1"/>
    </xf>
    <xf numFmtId="41" fontId="31" fillId="0" borderId="25" applyAlignment="1" pivotButton="0" quotePrefix="0" xfId="2">
      <alignment horizontal="right" vertical="center" indent="1"/>
    </xf>
    <xf numFmtId="41" fontId="31" fillId="0" borderId="26" applyAlignment="1" pivotButton="0" quotePrefix="0" xfId="2">
      <alignment horizontal="right" vertical="center" indent="1"/>
    </xf>
    <xf numFmtId="0" fontId="39" fillId="0" borderId="18" applyAlignment="1" pivotButton="0" quotePrefix="0" xfId="0">
      <alignment horizontal="left" vertical="top" wrapText="1" indent="1"/>
    </xf>
    <xf numFmtId="41" fontId="39" fillId="0" borderId="28" applyAlignment="1" pivotButton="0" quotePrefix="0" xfId="2">
      <alignment horizontal="right" vertical="center" indent="1"/>
    </xf>
    <xf numFmtId="41" fontId="39" fillId="0" borderId="29" applyAlignment="1" pivotButton="0" quotePrefix="0" xfId="2">
      <alignment horizontal="right" vertical="center" indent="1"/>
    </xf>
    <xf numFmtId="0" fontId="31" fillId="0" borderId="18" applyAlignment="1" pivotButton="0" quotePrefix="0" xfId="0">
      <alignment horizontal="left" vertical="top" wrapText="1" indent="1"/>
    </xf>
    <xf numFmtId="41" fontId="31" fillId="0" borderId="28" applyAlignment="1" pivotButton="0" quotePrefix="0" xfId="2">
      <alignment horizontal="right" vertical="center" indent="1"/>
    </xf>
    <xf numFmtId="41" fontId="31" fillId="0" borderId="29" applyAlignment="1" pivotButton="0" quotePrefix="0" xfId="2">
      <alignment horizontal="right" vertical="center" indent="1"/>
    </xf>
    <xf numFmtId="41" fontId="46" fillId="0" borderId="33" applyAlignment="1" pivotButton="0" quotePrefix="0" xfId="2">
      <alignment horizontal="right" vertical="center" indent="1"/>
    </xf>
    <xf numFmtId="41" fontId="46" fillId="0" borderId="34" applyAlignment="1" pivotButton="0" quotePrefix="0" xfId="2">
      <alignment horizontal="right" vertical="center" indent="1"/>
    </xf>
    <xf numFmtId="0" fontId="31" fillId="0" borderId="63" applyAlignment="1" pivotButton="0" quotePrefix="0" xfId="0">
      <alignment horizontal="left" vertical="top" wrapText="1" indent="1"/>
    </xf>
    <xf numFmtId="43" fontId="31" fillId="0" borderId="0" applyAlignment="1" pivotButton="0" quotePrefix="0" xfId="2">
      <alignment horizontal="right" indent="1"/>
    </xf>
    <xf numFmtId="43" fontId="31" fillId="0" borderId="64" applyAlignment="1" pivotButton="0" quotePrefix="0" xfId="2">
      <alignment horizontal="right" indent="1"/>
    </xf>
    <xf numFmtId="0" fontId="2" fillId="0" borderId="0" applyAlignment="1" pivotButton="0" quotePrefix="0" xfId="0">
      <alignment horizontal="center"/>
    </xf>
    <xf numFmtId="0" fontId="33" fillId="13" borderId="38" applyAlignment="1" applyProtection="1" pivotButton="0" quotePrefix="0" xfId="1">
      <alignment horizontal="center" vertical="center"/>
      <protection locked="1" hidden="1"/>
    </xf>
    <xf numFmtId="0" fontId="34" fillId="13" borderId="20" applyAlignment="1" applyProtection="1" pivotButton="0" quotePrefix="0" xfId="1">
      <alignment vertical="center"/>
      <protection locked="1" hidden="1"/>
    </xf>
    <xf numFmtId="0" fontId="34" fillId="13" borderId="20" applyAlignment="1" pivotButton="0" quotePrefix="0" xfId="1">
      <alignment horizontal="center" vertical="center"/>
    </xf>
    <xf numFmtId="14" fontId="34" fillId="13" borderId="20" applyAlignment="1" pivotButton="0" quotePrefix="0" xfId="1">
      <alignment horizontal="center" vertical="center"/>
    </xf>
    <xf numFmtId="0" fontId="34" fillId="13" borderId="22" applyAlignment="1" pivotButton="0" quotePrefix="0" xfId="1">
      <alignment horizontal="center" vertical="center"/>
    </xf>
    <xf numFmtId="0" fontId="31" fillId="13" borderId="47" applyAlignment="1" applyProtection="1" pivotButton="0" quotePrefix="0" xfId="1">
      <alignment vertical="center"/>
      <protection locked="1" hidden="1"/>
    </xf>
    <xf numFmtId="0" fontId="31" fillId="13" borderId="25" applyAlignment="1" applyProtection="1" pivotButton="0" quotePrefix="0" xfId="1">
      <alignment horizontal="center" vertical="center"/>
      <protection locked="1" hidden="1"/>
    </xf>
    <xf numFmtId="37" fontId="31" fillId="13" borderId="25" applyAlignment="1" pivotButton="0" quotePrefix="0" xfId="1">
      <alignment vertical="center"/>
    </xf>
    <xf numFmtId="37" fontId="31" fillId="13" borderId="26" applyAlignment="1" pivotButton="0" quotePrefix="0" xfId="1">
      <alignment vertical="center"/>
    </xf>
    <xf numFmtId="0" fontId="31" fillId="13" borderId="18" applyAlignment="1" applyProtection="1" pivotButton="0" quotePrefix="0" xfId="1">
      <alignment vertical="center"/>
      <protection locked="1" hidden="1"/>
    </xf>
    <xf numFmtId="0" fontId="31" fillId="13" borderId="28" applyAlignment="1" applyProtection="1" pivotButton="0" quotePrefix="0" xfId="1">
      <alignment horizontal="center" vertical="center"/>
      <protection locked="1" hidden="1"/>
    </xf>
    <xf numFmtId="37" fontId="31" fillId="13" borderId="28" applyAlignment="1" pivotButton="0" quotePrefix="0" xfId="1">
      <alignment vertical="center"/>
    </xf>
    <xf numFmtId="37" fontId="31" fillId="13" borderId="29" applyAlignment="1" pivotButton="0" quotePrefix="0" xfId="1">
      <alignment vertical="center"/>
    </xf>
    <xf numFmtId="168" fontId="31" fillId="13" borderId="18" applyAlignment="1" applyProtection="1" pivotButton="0" quotePrefix="0" xfId="1">
      <alignment horizontal="left" vertical="center"/>
      <protection locked="1" hidden="1"/>
    </xf>
    <xf numFmtId="0" fontId="34" fillId="13" borderId="18" applyAlignment="1" applyProtection="1" pivotButton="0" quotePrefix="0" xfId="1">
      <alignment horizontal="left" vertical="center"/>
      <protection locked="1" hidden="1"/>
    </xf>
    <xf numFmtId="0" fontId="34" fillId="13" borderId="28" applyAlignment="1" applyProtection="1" pivotButton="0" quotePrefix="0" xfId="1">
      <alignment horizontal="center" vertical="center"/>
      <protection locked="1" hidden="1"/>
    </xf>
    <xf numFmtId="37" fontId="34" fillId="13" borderId="28" applyAlignment="1" pivotButton="0" quotePrefix="0" xfId="1">
      <alignment vertical="center"/>
    </xf>
    <xf numFmtId="37" fontId="31" fillId="13" borderId="28" applyAlignment="1" pivotButton="0" quotePrefix="0" xfId="2">
      <alignment vertical="center"/>
    </xf>
    <xf numFmtId="37" fontId="31" fillId="13" borderId="29" applyAlignment="1" pivotButton="0" quotePrefix="0" xfId="2">
      <alignment vertical="center"/>
    </xf>
    <xf numFmtId="0" fontId="34" fillId="13" borderId="18" applyAlignment="1" applyProtection="1" pivotButton="0" quotePrefix="0" xfId="1">
      <alignment vertical="center"/>
      <protection locked="1" hidden="1"/>
    </xf>
    <xf numFmtId="0" fontId="34" fillId="13" borderId="28" applyAlignment="1" applyProtection="1" pivotButton="0" quotePrefix="0" xfId="1">
      <alignment horizontal="left" vertical="center"/>
      <protection locked="1" hidden="1"/>
    </xf>
    <xf numFmtId="0" fontId="33" fillId="13" borderId="18" applyAlignment="1" applyProtection="1" pivotButton="0" quotePrefix="0" xfId="1">
      <alignment horizontal="left" vertical="center"/>
      <protection locked="1" hidden="1"/>
    </xf>
    <xf numFmtId="0" fontId="33" fillId="13" borderId="28" applyAlignment="1" applyProtection="1" pivotButton="0" quotePrefix="0" xfId="1">
      <alignment horizontal="left" vertical="center"/>
      <protection locked="1" hidden="1"/>
    </xf>
    <xf numFmtId="37" fontId="33" fillId="13" borderId="28" applyAlignment="1" pivotButton="0" quotePrefix="0" xfId="1">
      <alignment vertical="center"/>
    </xf>
    <xf numFmtId="37" fontId="33" fillId="13" borderId="29" applyAlignment="1" pivotButton="0" quotePrefix="0" xfId="1">
      <alignment vertical="center"/>
    </xf>
    <xf numFmtId="0" fontId="31" fillId="13" borderId="18" applyAlignment="1" applyProtection="1" pivotButton="0" quotePrefix="0" xfId="1">
      <alignment horizontal="left" vertical="center"/>
      <protection locked="1" hidden="1"/>
    </xf>
    <xf numFmtId="37" fontId="34" fillId="13" borderId="29" applyAlignment="1" pivotButton="0" quotePrefix="0" xfId="1">
      <alignment vertical="center"/>
    </xf>
    <xf numFmtId="0" fontId="35" fillId="13" borderId="18" applyAlignment="1" applyProtection="1" pivotButton="0" quotePrefix="0" xfId="1">
      <alignment vertical="center"/>
      <protection locked="1" hidden="1"/>
    </xf>
    <xf numFmtId="0" fontId="35" fillId="13" borderId="28" applyAlignment="1" applyProtection="1" pivotButton="0" quotePrefix="0" xfId="1">
      <alignment horizontal="center" vertical="center"/>
      <protection locked="1" hidden="1"/>
    </xf>
    <xf numFmtId="37" fontId="35" fillId="13" borderId="28" applyAlignment="1" pivotButton="0" quotePrefix="0" xfId="1">
      <alignment vertical="center"/>
    </xf>
    <xf numFmtId="37" fontId="35" fillId="13" borderId="29" applyAlignment="1" pivotButton="0" quotePrefix="0" xfId="1">
      <alignment vertical="center"/>
    </xf>
    <xf numFmtId="41" fontId="31" fillId="13" borderId="29" applyAlignment="1" pivotButton="0" quotePrefix="0" xfId="1">
      <alignment vertical="center"/>
    </xf>
    <xf numFmtId="0" fontId="33" fillId="13" borderId="18" applyAlignment="1" applyProtection="1" pivotButton="0" quotePrefix="0" xfId="1">
      <alignment vertical="center"/>
      <protection locked="1" hidden="1"/>
    </xf>
    <xf numFmtId="0" fontId="33" fillId="13" borderId="28" applyAlignment="1" applyProtection="1" pivotButton="0" quotePrefix="0" xfId="1">
      <alignment horizontal="center" vertical="center"/>
      <protection locked="1" hidden="1"/>
    </xf>
    <xf numFmtId="37" fontId="45" fillId="13" borderId="28" applyAlignment="1" pivotButton="0" quotePrefix="0" xfId="1">
      <alignment vertical="center"/>
    </xf>
    <xf numFmtId="37" fontId="45" fillId="13" borderId="29" applyAlignment="1" pivotButton="0" quotePrefix="0" xfId="1">
      <alignment vertical="center"/>
    </xf>
    <xf numFmtId="37" fontId="49" fillId="13" borderId="28" applyAlignment="1" pivotButton="0" quotePrefix="0" xfId="1">
      <alignment vertical="center"/>
    </xf>
    <xf numFmtId="37" fontId="49" fillId="13" borderId="29" applyAlignment="1" pivotButton="0" quotePrefix="0" xfId="1">
      <alignment vertical="center"/>
    </xf>
    <xf numFmtId="0" fontId="36" fillId="13" borderId="18" applyAlignment="1" applyProtection="1" pivotButton="0" quotePrefix="0" xfId="1">
      <alignment vertical="center"/>
      <protection locked="1" hidden="1"/>
    </xf>
    <xf numFmtId="0" fontId="36" fillId="13" borderId="28" applyAlignment="1" applyProtection="1" pivotButton="0" quotePrefix="0" xfId="1">
      <alignment horizontal="center" vertical="center"/>
      <protection locked="1" hidden="1"/>
    </xf>
    <xf numFmtId="0" fontId="31" fillId="13" borderId="18" applyAlignment="1" applyProtection="1" pivotButton="0" quotePrefix="0" xfId="1">
      <alignment horizontal="justify" vertical="center"/>
      <protection locked="1" hidden="1"/>
    </xf>
    <xf numFmtId="0" fontId="33" fillId="17" borderId="48" applyAlignment="1" applyProtection="1" pivotButton="0" quotePrefix="0" xfId="1">
      <alignment horizontal="left" vertical="center"/>
      <protection locked="1" hidden="1"/>
    </xf>
    <xf numFmtId="0" fontId="33" fillId="17" borderId="33" applyAlignment="1" applyProtection="1" pivotButton="0" quotePrefix="0" xfId="1">
      <alignment horizontal="center" vertical="center"/>
      <protection locked="1" hidden="1"/>
    </xf>
    <xf numFmtId="37" fontId="33" fillId="17" borderId="33" applyAlignment="1" pivotButton="0" quotePrefix="0" xfId="1">
      <alignment vertical="center"/>
    </xf>
    <xf numFmtId="37" fontId="33" fillId="17" borderId="34" applyAlignment="1" pivotButton="0" quotePrefix="0" xfId="1">
      <alignment vertical="center"/>
    </xf>
    <xf numFmtId="0" fontId="34" fillId="13" borderId="20" applyAlignment="1" applyProtection="1" pivotButton="0" quotePrefix="0" xfId="1">
      <alignment horizontal="center" vertical="center"/>
      <protection locked="1" hidden="1"/>
    </xf>
    <xf numFmtId="1" fontId="34" fillId="13" borderId="20" applyAlignment="1" pivotButton="0" quotePrefix="0" xfId="1">
      <alignment horizontal="center" vertical="center"/>
    </xf>
    <xf numFmtId="1" fontId="34" fillId="13" borderId="22" applyAlignment="1" pivotButton="0" quotePrefix="0" xfId="1">
      <alignment horizontal="center" vertical="center"/>
    </xf>
    <xf numFmtId="37" fontId="33" fillId="13" borderId="28" applyAlignment="1" pivotButton="0" quotePrefix="0" xfId="2">
      <alignment vertical="center"/>
    </xf>
    <xf numFmtId="37" fontId="33" fillId="13" borderId="29" applyAlignment="1" pivotButton="0" quotePrefix="0" xfId="2">
      <alignment vertical="center"/>
    </xf>
    <xf numFmtId="0" fontId="38" fillId="13" borderId="18" applyAlignment="1" applyProtection="1" pivotButton="0" quotePrefix="0" xfId="1">
      <alignment vertical="center"/>
      <protection locked="1" hidden="1"/>
    </xf>
    <xf numFmtId="37" fontId="38" fillId="13" borderId="28" applyAlignment="1" pivotButton="0" quotePrefix="0" xfId="1">
      <alignment vertical="center"/>
    </xf>
    <xf numFmtId="37" fontId="38" fillId="13" borderId="29" applyAlignment="1" pivotButton="0" quotePrefix="0" xfId="1">
      <alignment vertical="center"/>
    </xf>
    <xf numFmtId="0" fontId="31" fillId="13" borderId="28" applyAlignment="1" applyProtection="1" pivotButton="0" quotePrefix="0" xfId="1">
      <alignment vertical="center"/>
      <protection locked="1" hidden="1"/>
    </xf>
    <xf numFmtId="37" fontId="31" fillId="13" borderId="28" applyAlignment="1" applyProtection="1" pivotButton="0" quotePrefix="0" xfId="1">
      <alignment vertical="center"/>
      <protection locked="1" hidden="1"/>
    </xf>
    <xf numFmtId="37" fontId="31" fillId="13" borderId="29" applyAlignment="1" applyProtection="1" pivotButton="0" quotePrefix="0" xfId="1">
      <alignment vertical="center"/>
      <protection locked="1" hidden="1"/>
    </xf>
    <xf numFmtId="0" fontId="33" fillId="13" borderId="48" applyAlignment="1" applyProtection="1" pivotButton="0" quotePrefix="0" xfId="1">
      <alignment vertical="center"/>
      <protection locked="1" hidden="1"/>
    </xf>
    <xf numFmtId="0" fontId="31" fillId="0" borderId="33" applyAlignment="1" applyProtection="1" pivotButton="0" quotePrefix="0" xfId="1">
      <alignment horizontal="center" vertical="center"/>
      <protection locked="1" hidden="1"/>
    </xf>
    <xf numFmtId="37" fontId="33" fillId="0" borderId="33" applyAlignment="1" pivotButton="0" quotePrefix="0" xfId="1">
      <alignment vertical="center"/>
    </xf>
    <xf numFmtId="37" fontId="33" fillId="0" borderId="34" applyAlignment="1" pivotButton="0" quotePrefix="0" xfId="1">
      <alignment vertical="center"/>
    </xf>
    <xf numFmtId="0" fontId="34" fillId="18" borderId="38" applyAlignment="1" pivotButton="0" quotePrefix="0" xfId="0">
      <alignment vertical="center" wrapText="1"/>
    </xf>
    <xf numFmtId="1" fontId="34" fillId="18" borderId="20" applyAlignment="1" pivotButton="0" quotePrefix="0" xfId="1">
      <alignment horizontal="center" vertical="center"/>
    </xf>
    <xf numFmtId="1" fontId="34" fillId="18" borderId="22" applyAlignment="1" pivotButton="0" quotePrefix="0" xfId="1">
      <alignment horizontal="center" vertical="center"/>
    </xf>
    <xf numFmtId="0" fontId="31" fillId="0" borderId="47" applyAlignment="1" pivotButton="0" quotePrefix="0" xfId="0">
      <alignment horizontal="left" vertical="center" wrapText="1"/>
    </xf>
    <xf numFmtId="0" fontId="31" fillId="0" borderId="25" applyAlignment="1" pivotButton="0" quotePrefix="0" xfId="0">
      <alignment horizontal="center" vertical="center" wrapText="1"/>
    </xf>
    <xf numFmtId="0" fontId="31" fillId="0" borderId="25" applyAlignment="1" pivotButton="0" quotePrefix="0" xfId="0">
      <alignment vertical="center" wrapText="1"/>
    </xf>
    <xf numFmtId="0" fontId="31" fillId="0" borderId="26" applyAlignment="1" pivotButton="0" quotePrefix="0" xfId="0">
      <alignment vertical="center" wrapText="1"/>
    </xf>
    <xf numFmtId="0" fontId="31" fillId="0" borderId="18" applyAlignment="1" pivotButton="0" quotePrefix="0" xfId="0">
      <alignment vertical="center" wrapText="1"/>
    </xf>
    <xf numFmtId="0" fontId="31" fillId="0" borderId="28" applyAlignment="1" pivotButton="0" quotePrefix="0" xfId="0">
      <alignment horizontal="center" vertical="center" wrapText="1"/>
    </xf>
    <xf numFmtId="0" fontId="31" fillId="0" borderId="28" applyAlignment="1" pivotButton="0" quotePrefix="0" xfId="0">
      <alignment vertical="center" wrapText="1"/>
    </xf>
    <xf numFmtId="43" fontId="31" fillId="0" borderId="28" applyAlignment="1" pivotButton="0" quotePrefix="0" xfId="0">
      <alignment vertical="center" wrapText="1"/>
    </xf>
    <xf numFmtId="43" fontId="31" fillId="0" borderId="29" applyAlignment="1" pivotButton="0" quotePrefix="0" xfId="0">
      <alignment vertical="center" wrapText="1"/>
    </xf>
    <xf numFmtId="0" fontId="31" fillId="0" borderId="29" applyAlignment="1" pivotButton="0" quotePrefix="0" xfId="0">
      <alignment vertical="center" wrapText="1"/>
    </xf>
    <xf numFmtId="0" fontId="31" fillId="0" borderId="48" applyAlignment="1" pivotButton="0" quotePrefix="0" xfId="0">
      <alignment vertical="center" wrapText="1"/>
    </xf>
    <xf numFmtId="0" fontId="31" fillId="0" borderId="33" applyAlignment="1" pivotButton="0" quotePrefix="0" xfId="0">
      <alignment horizontal="center" vertical="center" wrapText="1"/>
    </xf>
    <xf numFmtId="43" fontId="31" fillId="0" borderId="33" applyAlignment="1" pivotButton="0" quotePrefix="0" xfId="0">
      <alignment vertical="center" wrapText="1"/>
    </xf>
    <xf numFmtId="43" fontId="31" fillId="0" borderId="34" applyAlignment="1" pivotButton="0" quotePrefix="0" xfId="0">
      <alignment vertical="center" wrapText="1"/>
    </xf>
    <xf numFmtId="49" fontId="37" fillId="7" borderId="11" applyAlignment="1" pivotButton="0" quotePrefix="0" xfId="0">
      <alignment horizontal="center" vertical="center"/>
    </xf>
    <xf numFmtId="14" fontId="37" fillId="7" borderId="11" applyAlignment="1" pivotButton="0" quotePrefix="0" xfId="0">
      <alignment horizontal="center" vertical="center"/>
    </xf>
    <xf numFmtId="0" fontId="37" fillId="19" borderId="0" applyAlignment="1" pivotButton="0" quotePrefix="0" xfId="0">
      <alignment horizontal="center" vertical="center"/>
    </xf>
    <xf numFmtId="0" fontId="2" fillId="0" borderId="11" pivotButton="0" quotePrefix="0" xfId="0"/>
    <xf numFmtId="41" fontId="2" fillId="20" borderId="11" pivotButton="0" quotePrefix="0" xfId="0"/>
    <xf numFmtId="169" fontId="2" fillId="20" borderId="11" pivotButton="0" quotePrefix="0" xfId="0"/>
    <xf numFmtId="43" fontId="2" fillId="20" borderId="11" pivotButton="0" quotePrefix="0" xfId="2"/>
    <xf numFmtId="0" fontId="2" fillId="20" borderId="11" pivotButton="0" quotePrefix="0" xfId="0"/>
    <xf numFmtId="0" fontId="2" fillId="20" borderId="11" pivotButton="0" quotePrefix="0" xfId="0"/>
    <xf numFmtId="43" fontId="2" fillId="20" borderId="11" pivotButton="0" quotePrefix="0" xfId="0"/>
    <xf numFmtId="0" fontId="2" fillId="0" borderId="0" pivotButton="0" quotePrefix="0" xfId="0"/>
    <xf numFmtId="49" fontId="2" fillId="0" borderId="0" pivotButton="0" quotePrefix="0" xfId="0"/>
    <xf numFmtId="0" fontId="2" fillId="0" borderId="0" pivotButton="0" quotePrefix="0" xfId="0"/>
    <xf numFmtId="0" fontId="7" fillId="9" borderId="38" applyAlignment="1" pivotButton="0" quotePrefix="0" xfId="0">
      <alignment horizontal="center" vertical="center"/>
    </xf>
    <xf numFmtId="0" fontId="7" fillId="9" borderId="43" applyAlignment="1" pivotButton="0" quotePrefix="0" xfId="0">
      <alignment horizontal="left" vertical="center"/>
    </xf>
    <xf numFmtId="0" fontId="6" fillId="9" borderId="43" applyAlignment="1" pivotButton="0" quotePrefix="0" xfId="0">
      <alignment horizontal="center" vertical="center"/>
    </xf>
    <xf numFmtId="0" fontId="7" fillId="9" borderId="47" applyAlignment="1" pivotButton="0" quotePrefix="0" xfId="0">
      <alignment vertical="center"/>
    </xf>
    <xf numFmtId="0" fontId="4" fillId="9" borderId="18" applyAlignment="1" pivotButton="0" quotePrefix="0" xfId="0">
      <alignment vertical="center"/>
    </xf>
    <xf numFmtId="0" fontId="6" fillId="9" borderId="47" applyAlignment="1" pivotButton="0" quotePrefix="0" xfId="0">
      <alignment horizontal="center" vertical="center"/>
    </xf>
    <xf numFmtId="0" fontId="7" fillId="9" borderId="38" applyAlignment="1" pivotButton="0" quotePrefix="0" xfId="0">
      <alignment horizontal="center" vertical="center"/>
    </xf>
    <xf numFmtId="0" fontId="4" fillId="9" borderId="47" applyAlignment="1" pivotButton="0" quotePrefix="0" xfId="0">
      <alignment vertical="center"/>
    </xf>
    <xf numFmtId="0" fontId="4" fillId="9" borderId="18" pivotButton="0" quotePrefix="0" xfId="0"/>
    <xf numFmtId="0" fontId="4" fillId="9" borderId="48" pivotButton="0" quotePrefix="0" xfId="0"/>
    <xf numFmtId="49" fontId="4" fillId="9" borderId="18" pivotButton="0" quotePrefix="0" xfId="0"/>
    <xf numFmtId="0" fontId="4" fillId="9" borderId="65" pivotButton="0" quotePrefix="0" xfId="0"/>
    <xf numFmtId="0" fontId="2" fillId="0" borderId="5" pivotButton="0" quotePrefix="0" xfId="0"/>
    <xf numFmtId="49" fontId="9" fillId="5" borderId="0" applyProtection="1" pivotButton="0" quotePrefix="1" xfId="4">
      <protection locked="0" hidden="0"/>
    </xf>
    <xf numFmtId="0" fontId="18" fillId="0" borderId="16" applyProtection="1" pivotButton="0" quotePrefix="0" xfId="0">
      <protection locked="0" hidden="0"/>
    </xf>
    <xf numFmtId="0" fontId="17" fillId="7" borderId="38" applyAlignment="1" pivotButton="0" quotePrefix="0" xfId="0">
      <alignment horizontal="center" vertical="center" wrapText="1"/>
    </xf>
    <xf numFmtId="49" fontId="17" fillId="7" borderId="69" applyAlignment="1" applyProtection="1" pivotButton="0" quotePrefix="0" xfId="2">
      <alignment horizontal="center" vertical="center"/>
      <protection locked="0" hidden="0"/>
    </xf>
    <xf numFmtId="49" fontId="17" fillId="7" borderId="70" applyAlignment="1" applyProtection="1" pivotButton="0" quotePrefix="0" xfId="2">
      <alignment horizontal="center" vertical="center"/>
      <protection locked="0" hidden="0"/>
    </xf>
    <xf numFmtId="49" fontId="17" fillId="7" borderId="7" applyAlignment="1" applyProtection="1" pivotButton="0" quotePrefix="0" xfId="0">
      <alignment horizontal="center" vertical="center"/>
      <protection locked="0" hidden="0"/>
    </xf>
    <xf numFmtId="14" fontId="17" fillId="7" borderId="71" applyAlignment="1" applyProtection="1" pivotButton="0" quotePrefix="0" xfId="0">
      <alignment horizontal="center" vertical="center"/>
      <protection locked="0" hidden="0"/>
    </xf>
    <xf numFmtId="0" fontId="17" fillId="7" borderId="72" applyAlignment="1" applyProtection="1" pivotButton="0" quotePrefix="0" xfId="0">
      <alignment horizontal="center" vertical="center"/>
      <protection locked="0" hidden="0"/>
    </xf>
    <xf numFmtId="0" fontId="7" fillId="7" borderId="43" applyAlignment="1" pivotButton="0" quotePrefix="0" xfId="0">
      <alignment horizontal="left" vertical="center" wrapText="1"/>
    </xf>
    <xf numFmtId="0" fontId="7" fillId="0" borderId="24" applyAlignment="1" applyProtection="1" pivotButton="0" quotePrefix="0" xfId="0">
      <alignment horizontal="center" vertical="center"/>
      <protection locked="0" hidden="0"/>
    </xf>
    <xf numFmtId="4" fontId="9" fillId="0" borderId="74" applyAlignment="1" applyProtection="1" pivotButton="0" quotePrefix="0" xfId="2">
      <alignment vertical="center"/>
      <protection locked="0" hidden="0"/>
    </xf>
    <xf numFmtId="0" fontId="4" fillId="7" borderId="73" applyAlignment="1" pivotButton="0" quotePrefix="0" xfId="0">
      <alignment vertical="center" wrapText="1"/>
    </xf>
    <xf numFmtId="4" fontId="10" fillId="0" borderId="74" applyAlignment="1" applyProtection="1" pivotButton="0" quotePrefix="0" xfId="2">
      <alignment horizontal="right" vertical="center"/>
      <protection locked="0" hidden="0"/>
    </xf>
    <xf numFmtId="4" fontId="9" fillId="0" borderId="74" applyAlignment="1" applyProtection="1" pivotButton="0" quotePrefix="0" xfId="2">
      <alignment horizontal="right" vertical="center"/>
      <protection locked="0" hidden="0"/>
    </xf>
    <xf numFmtId="0" fontId="4" fillId="7" borderId="73" applyAlignment="1" pivotButton="0" quotePrefix="0" xfId="0">
      <alignment wrapText="1"/>
    </xf>
    <xf numFmtId="4" fontId="10" fillId="0" borderId="74" applyProtection="1" pivotButton="0" quotePrefix="0" xfId="2">
      <protection locked="0" hidden="0"/>
    </xf>
    <xf numFmtId="4" fontId="10" fillId="0" borderId="74" applyAlignment="1" applyProtection="1" pivotButton="0" quotePrefix="0" xfId="2">
      <alignment horizontal="right"/>
      <protection locked="0" hidden="0"/>
    </xf>
    <xf numFmtId="49" fontId="4" fillId="7" borderId="73" applyAlignment="1" pivotButton="0" quotePrefix="0" xfId="0">
      <alignment wrapText="1"/>
    </xf>
    <xf numFmtId="4" fontId="9" fillId="0" borderId="74" applyAlignment="1" applyProtection="1" pivotButton="0" quotePrefix="0" xfId="2">
      <alignment horizontal="right"/>
      <protection locked="0" hidden="0"/>
    </xf>
    <xf numFmtId="0" fontId="4" fillId="7" borderId="67" applyAlignment="1" pivotButton="0" quotePrefix="0" xfId="0">
      <alignment wrapText="1"/>
    </xf>
    <xf numFmtId="0" fontId="7" fillId="0" borderId="49" applyProtection="1" pivotButton="0" quotePrefix="0" xfId="0">
      <protection locked="0" hidden="0"/>
    </xf>
    <xf numFmtId="165" fontId="9" fillId="0" borderId="68" applyProtection="1" pivotButton="0" quotePrefix="0" xfId="2">
      <protection locked="0" hidden="0"/>
    </xf>
    <xf numFmtId="4" fontId="9" fillId="0" borderId="75" applyAlignment="1" applyProtection="1" pivotButton="0" quotePrefix="0" xfId="2">
      <alignment horizontal="right"/>
      <protection locked="0" hidden="0"/>
    </xf>
    <xf numFmtId="170" fontId="0" fillId="0" borderId="0" pivotButton="0" quotePrefix="0" xfId="0"/>
    <xf numFmtId="0" fontId="9" fillId="5" borderId="0" applyAlignment="1" applyProtection="1" pivotButton="0" quotePrefix="1" xfId="4">
      <alignment horizontal="left" vertical="center"/>
      <protection locked="0" hidden="0"/>
    </xf>
    <xf numFmtId="0" fontId="52" fillId="0" borderId="0" pivotButton="0" quotePrefix="0" xfId="5"/>
    <xf numFmtId="0" fontId="52" fillId="0" borderId="11" pivotButton="0" quotePrefix="0" xfId="5"/>
    <xf numFmtId="49" fontId="7" fillId="0" borderId="11" applyAlignment="1" pivotButton="0" quotePrefix="0" xfId="2">
      <alignment horizontal="center" vertical="center"/>
    </xf>
    <xf numFmtId="0" fontId="7" fillId="0" borderId="11" applyAlignment="1" pivotButton="0" quotePrefix="0" xfId="2">
      <alignment horizontal="center" vertical="center"/>
    </xf>
    <xf numFmtId="0" fontId="12" fillId="21" borderId="0" applyAlignment="1" applyProtection="1" pivotButton="0" quotePrefix="0" xfId="0">
      <alignment horizontal="left"/>
      <protection locked="0" hidden="0"/>
    </xf>
    <xf numFmtId="165" fontId="0" fillId="0" borderId="0" pivotButton="0" quotePrefix="0" xfId="0"/>
    <xf numFmtId="165" fontId="10" fillId="0" borderId="74" applyAlignment="1" applyProtection="1" pivotButton="0" quotePrefix="0" xfId="2">
      <alignment horizontal="right" vertical="center"/>
      <protection locked="0" hidden="0"/>
    </xf>
    <xf numFmtId="0" fontId="7" fillId="0" borderId="24" applyAlignment="1" pivotButton="0" quotePrefix="0" xfId="2">
      <alignment horizontal="center" vertical="center"/>
    </xf>
    <xf numFmtId="165" fontId="6" fillId="0" borderId="24" applyAlignment="1" applyProtection="1" pivotButton="0" quotePrefix="0" xfId="2">
      <alignment vertical="center"/>
      <protection locked="0" hidden="0"/>
    </xf>
    <xf numFmtId="49" fontId="7" fillId="0" borderId="24" applyAlignment="1" pivotButton="0" quotePrefix="0" xfId="2">
      <alignment horizontal="center" vertical="center"/>
    </xf>
    <xf numFmtId="0" fontId="19" fillId="11" borderId="27" applyAlignment="1" pivotButton="0" quotePrefix="0" xfId="0">
      <alignment wrapText="1"/>
    </xf>
    <xf numFmtId="0" fontId="19" fillId="0" borderId="0" pivotButton="0" quotePrefix="0" xfId="0"/>
    <xf numFmtId="0" fontId="53" fillId="0" borderId="0" pivotButton="0" quotePrefix="0" xfId="0"/>
    <xf numFmtId="0" fontId="54" fillId="11" borderId="27" applyAlignment="1" pivotButton="0" quotePrefix="0" xfId="0">
      <alignment wrapText="1"/>
    </xf>
    <xf numFmtId="0" fontId="54" fillId="0" borderId="0" pivotButton="0" quotePrefix="0" xfId="0"/>
    <xf numFmtId="0" fontId="55" fillId="0" borderId="0" pivotButton="0" quotePrefix="0" xfId="0"/>
    <xf numFmtId="0" fontId="56" fillId="0" borderId="0" applyAlignment="1" pivotButton="0" quotePrefix="0" xfId="0">
      <alignment vertical="center" wrapText="1"/>
    </xf>
    <xf numFmtId="0" fontId="34" fillId="0" borderId="31" applyAlignment="1" pivotButton="0" quotePrefix="0" xfId="0">
      <alignment horizontal="center" wrapText="1"/>
    </xf>
    <xf numFmtId="10" fontId="31" fillId="0" borderId="31" applyAlignment="1" pivotButton="0" quotePrefix="0" xfId="3">
      <alignment horizontal="center"/>
    </xf>
    <xf numFmtId="166" fontId="19" fillId="16" borderId="56" applyAlignment="1" applyProtection="1" pivotButton="0" quotePrefix="0" xfId="2">
      <alignment vertical="center"/>
      <protection locked="0" hidden="0"/>
    </xf>
    <xf numFmtId="0" fontId="34" fillId="0" borderId="33" applyAlignment="1" pivotButton="0" quotePrefix="0" xfId="0">
      <alignment horizontal="center" wrapText="1"/>
    </xf>
    <xf numFmtId="10" fontId="31" fillId="0" borderId="33" applyAlignment="1" pivotButton="0" quotePrefix="0" xfId="3">
      <alignment horizontal="center"/>
    </xf>
    <xf numFmtId="4" fontId="31" fillId="0" borderId="33" applyAlignment="1" pivotButton="0" quotePrefix="0" xfId="2">
      <alignment horizontal="center"/>
    </xf>
    <xf numFmtId="0" fontId="31" fillId="0" borderId="23" applyAlignment="1" pivotButton="0" quotePrefix="0" xfId="0">
      <alignment horizontal="left"/>
    </xf>
    <xf numFmtId="0" fontId="31" fillId="0" borderId="23" applyAlignment="1" pivotButton="0" quotePrefix="0" xfId="0">
      <alignment horizontal="left" wrapText="1"/>
    </xf>
    <xf numFmtId="0" fontId="31" fillId="0" borderId="44" applyAlignment="1" pivotButton="0" quotePrefix="0" xfId="0">
      <alignment horizontal="left" wrapText="1"/>
    </xf>
    <xf numFmtId="0" fontId="31" fillId="0" borderId="45" applyAlignment="1" pivotButton="0" quotePrefix="0" xfId="0">
      <alignment horizontal="left"/>
    </xf>
    <xf numFmtId="41" fontId="34" fillId="12" borderId="11" applyAlignment="1" pivotButton="0" quotePrefix="0" xfId="0">
      <alignment horizontal="left" vertical="center"/>
    </xf>
    <xf numFmtId="169" fontId="35" fillId="12" borderId="11" applyAlignment="1" pivotButton="0" quotePrefix="0" xfId="0">
      <alignment horizontal="left" vertical="center"/>
    </xf>
    <xf numFmtId="10" fontId="34" fillId="12" borderId="11" applyAlignment="1" pivotButton="0" quotePrefix="0" xfId="0">
      <alignment horizontal="left" vertical="center"/>
    </xf>
    <xf numFmtId="169" fontId="35" fillId="12" borderId="12" applyAlignment="1" pivotButton="0" quotePrefix="0" xfId="0">
      <alignment horizontal="left" vertical="center"/>
    </xf>
    <xf numFmtId="41" fontId="34" fillId="12" borderId="24" applyAlignment="1" pivotButton="0" quotePrefix="0" xfId="0">
      <alignment horizontal="left" vertical="center"/>
    </xf>
    <xf numFmtId="41" fontId="36" fillId="0" borderId="25" applyAlignment="1" pivotButton="0" quotePrefix="0" xfId="0">
      <alignment horizontal="left" vertical="center"/>
    </xf>
    <xf numFmtId="169" fontId="36" fillId="0" borderId="25" applyAlignment="1" pivotButton="0" quotePrefix="0" xfId="0">
      <alignment horizontal="left" vertical="center"/>
    </xf>
    <xf numFmtId="10" fontId="36" fillId="0" borderId="25" applyAlignment="1" pivotButton="0" quotePrefix="0" xfId="0">
      <alignment horizontal="left" vertical="center"/>
    </xf>
    <xf numFmtId="169" fontId="36" fillId="0" borderId="8" applyAlignment="1" pivotButton="0" quotePrefix="0" xfId="0">
      <alignment horizontal="left" vertical="center"/>
    </xf>
    <xf numFmtId="41" fontId="36" fillId="0" borderId="26" applyAlignment="1" pivotButton="0" quotePrefix="0" xfId="0">
      <alignment horizontal="left" vertical="center"/>
    </xf>
    <xf numFmtId="0" fontId="2" fillId="0" borderId="27" applyAlignment="1" pivotButton="0" quotePrefix="0" xfId="0">
      <alignment horizontal="left"/>
    </xf>
    <xf numFmtId="41" fontId="34" fillId="0" borderId="28" applyAlignment="1" pivotButton="0" quotePrefix="0" xfId="0">
      <alignment horizontal="left" vertical="center"/>
    </xf>
    <xf numFmtId="169" fontId="34" fillId="0" borderId="28" applyAlignment="1" pivotButton="0" quotePrefix="0" xfId="0">
      <alignment horizontal="left" vertical="center"/>
    </xf>
    <xf numFmtId="10" fontId="34" fillId="0" borderId="28" applyAlignment="1" pivotButton="0" quotePrefix="0" xfId="0">
      <alignment horizontal="left" vertical="center"/>
    </xf>
    <xf numFmtId="169" fontId="34" fillId="0" borderId="15" applyAlignment="1" pivotButton="0" quotePrefix="0" xfId="0">
      <alignment horizontal="left" vertical="center"/>
    </xf>
    <xf numFmtId="41" fontId="34" fillId="0" borderId="29" applyAlignment="1" pivotButton="0" quotePrefix="0" xfId="0">
      <alignment horizontal="left" vertical="center"/>
    </xf>
    <xf numFmtId="41" fontId="31" fillId="0" borderId="28" applyAlignment="1" pivotButton="0" quotePrefix="0" xfId="0">
      <alignment horizontal="left" vertical="center"/>
    </xf>
    <xf numFmtId="41" fontId="31" fillId="0" borderId="29" applyAlignment="1" pivotButton="0" quotePrefix="0" xfId="0">
      <alignment horizontal="left" vertical="center"/>
    </xf>
    <xf numFmtId="10" fontId="31" fillId="0" borderId="28" applyAlignment="1" pivotButton="0" quotePrefix="0" xfId="0">
      <alignment horizontal="left" vertical="center"/>
    </xf>
    <xf numFmtId="0" fontId="37" fillId="0" borderId="27" applyAlignment="1" pivotButton="0" quotePrefix="0" xfId="0">
      <alignment horizontal="left"/>
    </xf>
    <xf numFmtId="41" fontId="36" fillId="0" borderId="28" applyAlignment="1" pivotButton="0" quotePrefix="0" xfId="0">
      <alignment horizontal="left" vertical="center"/>
    </xf>
    <xf numFmtId="169" fontId="36" fillId="0" borderId="28" applyAlignment="1" pivotButton="0" quotePrefix="0" xfId="0">
      <alignment horizontal="left" vertical="center"/>
    </xf>
    <xf numFmtId="10" fontId="36" fillId="0" borderId="28" applyAlignment="1" pivotButton="0" quotePrefix="0" xfId="0">
      <alignment horizontal="left" vertical="center"/>
    </xf>
    <xf numFmtId="41" fontId="35" fillId="0" borderId="28" applyAlignment="1" pivotButton="0" quotePrefix="0" xfId="0">
      <alignment horizontal="left" vertical="center"/>
    </xf>
    <xf numFmtId="10" fontId="35" fillId="0" borderId="28" applyAlignment="1" pivotButton="0" quotePrefix="0" xfId="0">
      <alignment horizontal="left" vertical="center"/>
    </xf>
    <xf numFmtId="41" fontId="35" fillId="0" borderId="29" applyAlignment="1" pivotButton="0" quotePrefix="0" xfId="0">
      <alignment horizontal="left" vertical="center"/>
    </xf>
    <xf numFmtId="169" fontId="31" fillId="0" borderId="28" applyAlignment="1" pivotButton="0" quotePrefix="0" xfId="0">
      <alignment horizontal="left" vertical="center"/>
    </xf>
    <xf numFmtId="169" fontId="31" fillId="0" borderId="15" applyAlignment="1" pivotButton="0" quotePrefix="0" xfId="0">
      <alignment horizontal="left" vertical="center"/>
    </xf>
    <xf numFmtId="49" fontId="34" fillId="12" borderId="20" applyAlignment="1" pivotButton="0" quotePrefix="0" xfId="0">
      <alignment horizontal="left" vertical="center"/>
    </xf>
    <xf numFmtId="0" fontId="34" fillId="12" borderId="6" applyAlignment="1" pivotButton="0" quotePrefix="0" xfId="0">
      <alignment horizontal="left" vertical="center"/>
    </xf>
    <xf numFmtId="0" fontId="34" fillId="12" borderId="22" applyAlignment="1" pivotButton="0" quotePrefix="0" xfId="0">
      <alignment horizontal="left" vertical="center" wrapText="1"/>
    </xf>
    <xf numFmtId="169" fontId="34" fillId="0" borderId="25" applyAlignment="1" pivotButton="0" quotePrefix="0" xfId="0">
      <alignment horizontal="left" vertical="center"/>
    </xf>
    <xf numFmtId="169" fontId="34" fillId="0" borderId="8" applyAlignment="1" pivotButton="0" quotePrefix="0" xfId="0">
      <alignment horizontal="left" vertical="center"/>
    </xf>
    <xf numFmtId="41" fontId="31" fillId="0" borderId="26" applyAlignment="1" pivotButton="0" quotePrefix="0" xfId="0">
      <alignment horizontal="left" vertical="center"/>
    </xf>
    <xf numFmtId="41" fontId="31" fillId="0" borderId="33" applyAlignment="1" pivotButton="0" quotePrefix="0" xfId="0">
      <alignment horizontal="left" vertical="center"/>
    </xf>
    <xf numFmtId="169" fontId="31" fillId="0" borderId="33" applyAlignment="1" pivotButton="0" quotePrefix="0" xfId="0">
      <alignment horizontal="left" vertical="center"/>
    </xf>
    <xf numFmtId="10" fontId="31" fillId="0" borderId="33" applyAlignment="1" pivotButton="0" quotePrefix="0" xfId="0">
      <alignment horizontal="left" vertical="center"/>
    </xf>
    <xf numFmtId="169" fontId="31" fillId="0" borderId="49" applyAlignment="1" pivotButton="0" quotePrefix="0" xfId="0">
      <alignment horizontal="left" vertical="center"/>
    </xf>
    <xf numFmtId="0" fontId="2" fillId="0" borderId="32" applyAlignment="1" pivotButton="0" quotePrefix="0" xfId="0">
      <alignment horizontal="left"/>
    </xf>
    <xf numFmtId="41" fontId="31" fillId="0" borderId="28" applyAlignment="1" pivotButton="0" quotePrefix="0" xfId="0">
      <alignment horizontal="left" vertical="center"/>
    </xf>
    <xf numFmtId="169" fontId="34" fillId="0" borderId="28" applyAlignment="1" pivotButton="0" quotePrefix="0" xfId="0">
      <alignment horizontal="left" vertical="center"/>
    </xf>
    <xf numFmtId="10" fontId="31" fillId="0" borderId="28" applyAlignment="1" pivotButton="0" quotePrefix="0" xfId="0">
      <alignment horizontal="left" vertical="center"/>
    </xf>
    <xf numFmtId="169" fontId="34" fillId="0" borderId="15" applyAlignment="1" pivotButton="0" quotePrefix="0" xfId="0">
      <alignment horizontal="left" vertical="center"/>
    </xf>
    <xf numFmtId="41" fontId="31" fillId="0" borderId="29" applyAlignment="1" pivotButton="0" quotePrefix="0" xfId="0">
      <alignment horizontal="left" vertical="center"/>
    </xf>
    <xf numFmtId="0" fontId="2" fillId="0" borderId="27" applyAlignment="1" pivotButton="0" quotePrefix="0" xfId="0">
      <alignment horizontal="left"/>
    </xf>
    <xf numFmtId="0" fontId="0" fillId="0" borderId="0" pivotButton="0" quotePrefix="0" xfId="0"/>
    <xf numFmtId="41" fontId="31" fillId="0" borderId="34" applyAlignment="1" pivotButton="0" quotePrefix="0" xfId="0">
      <alignment horizontal="left" vertical="center"/>
    </xf>
    <xf numFmtId="0" fontId="37" fillId="0" borderId="0" pivotButton="0" quotePrefix="0" xfId="0"/>
    <xf numFmtId="1" fontId="2" fillId="0" borderId="0" pivotButton="0" quotePrefix="0" xfId="0"/>
    <xf numFmtId="0" fontId="34" fillId="13" borderId="0" applyAlignment="1" pivotButton="0" quotePrefix="0" xfId="1">
      <alignment horizontal="center" vertical="center"/>
    </xf>
    <xf numFmtId="171" fontId="2" fillId="0" borderId="0" pivotButton="0" quotePrefix="0" xfId="2"/>
    <xf numFmtId="37" fontId="31" fillId="13" borderId="0" applyAlignment="1" pivotButton="0" quotePrefix="0" xfId="1">
      <alignment vertical="center"/>
    </xf>
    <xf numFmtId="166" fontId="2" fillId="0" borderId="0" pivotButton="0" quotePrefix="0" xfId="2"/>
    <xf numFmtId="0" fontId="2" fillId="0" borderId="0" applyAlignment="1" pivotButton="0" quotePrefix="0" xfId="0">
      <alignment vertical="center"/>
    </xf>
    <xf numFmtId="0" fontId="37" fillId="0" borderId="0" applyAlignment="1" pivotButton="0" quotePrefix="0" xfId="0">
      <alignment vertical="center"/>
    </xf>
    <xf numFmtId="0" fontId="47" fillId="0" borderId="0" applyAlignment="1" pivotButton="0" quotePrefix="0" xfId="0">
      <alignment vertical="center"/>
    </xf>
    <xf numFmtId="166" fontId="37" fillId="0" borderId="0" pivotButton="0" quotePrefix="0" xfId="2"/>
    <xf numFmtId="0" fontId="48" fillId="0" borderId="0" applyAlignment="1" pivotButton="0" quotePrefix="0" xfId="0">
      <alignment vertical="center"/>
    </xf>
    <xf numFmtId="0" fontId="50" fillId="0" borderId="0" applyAlignment="1" pivotButton="0" quotePrefix="0" xfId="0">
      <alignment vertical="center"/>
    </xf>
    <xf numFmtId="37" fontId="33" fillId="0" borderId="0" applyAlignment="1" pivotButton="0" quotePrefix="0" xfId="1">
      <alignment vertical="center"/>
    </xf>
    <xf numFmtId="0" fontId="2" fillId="0" borderId="0" applyAlignment="1" pivotButton="0" quotePrefix="0" xfId="0">
      <alignment vertical="center" wrapText="1"/>
    </xf>
    <xf numFmtId="0" fontId="31" fillId="0" borderId="0" applyAlignment="1" pivotButton="0" quotePrefix="0" xfId="0">
      <alignment vertical="center" wrapText="1"/>
    </xf>
    <xf numFmtId="43" fontId="2" fillId="0" borderId="0" pivotButton="0" quotePrefix="0" xfId="2"/>
    <xf numFmtId="0" fontId="39" fillId="0" borderId="48" applyAlignment="1" pivotButton="0" quotePrefix="0" xfId="0">
      <alignment horizontal="left" vertical="top" wrapText="1" indent="1"/>
    </xf>
    <xf numFmtId="0" fontId="42" fillId="0" borderId="0" applyAlignment="1" pivotButton="0" quotePrefix="0" xfId="0">
      <alignment horizontal="center" vertical="center"/>
    </xf>
    <xf numFmtId="0" fontId="4" fillId="3" borderId="55" applyAlignment="1" pivotButton="0" quotePrefix="0" xfId="0">
      <alignment vertical="center" wrapText="1"/>
    </xf>
    <xf numFmtId="1" fontId="31" fillId="0" borderId="28" applyAlignment="1" pivotButton="0" quotePrefix="0" xfId="3">
      <alignment horizontal="center"/>
    </xf>
    <xf numFmtId="0" fontId="52" fillId="0" borderId="0" pivotButton="0" quotePrefix="0" xfId="5"/>
    <xf numFmtId="0" fontId="55" fillId="0" borderId="0" pivotButton="0" quotePrefix="0" xfId="0"/>
    <xf numFmtId="3" fontId="43" fillId="0" borderId="28" applyAlignment="1" pivotButton="0" quotePrefix="0" xfId="0">
      <alignment horizontal="center" vertical="center"/>
    </xf>
    <xf numFmtId="3" fontId="31" fillId="0" borderId="28" applyAlignment="1" pivotButton="0" quotePrefix="0" xfId="2">
      <alignment horizontal="center"/>
    </xf>
    <xf numFmtId="3" fontId="31" fillId="0" borderId="28" applyAlignment="1" pivotButton="0" quotePrefix="0" xfId="3">
      <alignment horizontal="center"/>
    </xf>
    <xf numFmtId="0" fontId="2" fillId="0" borderId="0" pivotButton="0" quotePrefix="0" xfId="0"/>
    <xf numFmtId="0" fontId="34" fillId="0" borderId="62" applyAlignment="1" pivotButton="0" quotePrefix="0" xfId="0">
      <alignment horizontal="left" vertical="center" wrapText="1"/>
    </xf>
    <xf numFmtId="0" fontId="57" fillId="0" borderId="0" pivotButton="0" quotePrefix="0" xfId="0"/>
    <xf numFmtId="0" fontId="31" fillId="0" borderId="18" applyAlignment="1" pivotButton="0" quotePrefix="0" xfId="0">
      <alignment horizontal="left" vertical="center" wrapText="1"/>
    </xf>
    <xf numFmtId="0" fontId="4" fillId="0" borderId="56" applyAlignment="1" pivotButton="0" quotePrefix="0" xfId="0">
      <alignment horizontal="center" vertical="center"/>
    </xf>
    <xf numFmtId="0" fontId="34" fillId="0" borderId="18" applyAlignment="1" pivotButton="0" quotePrefix="0" xfId="0">
      <alignment horizontal="left" vertical="center" wrapText="1"/>
    </xf>
    <xf numFmtId="0" fontId="31" fillId="0" borderId="48" applyAlignment="1" pivotButton="0" quotePrefix="0" xfId="0">
      <alignment horizontal="left" vertical="center" wrapText="1"/>
    </xf>
    <xf numFmtId="0" fontId="19" fillId="11" borderId="39" applyAlignment="1" pivotButton="0" quotePrefix="0" xfId="0">
      <alignment horizontal="left" vertical="center" wrapText="1"/>
    </xf>
    <xf numFmtId="0" fontId="4" fillId="0" borderId="0" applyAlignment="1" pivotButton="0" quotePrefix="0" xfId="0">
      <alignment horizontal="center" vertical="center"/>
    </xf>
    <xf numFmtId="0" fontId="31" fillId="0" borderId="0" applyAlignment="1" pivotButton="0" quotePrefix="0" xfId="0">
      <alignment horizontal="left" vertical="center" wrapText="1"/>
    </xf>
    <xf numFmtId="0" fontId="34" fillId="0" borderId="0" applyAlignment="1" pivotButton="0" quotePrefix="0" xfId="0">
      <alignment horizontal="center" wrapText="1"/>
    </xf>
    <xf numFmtId="10" fontId="31" fillId="0" borderId="0" applyAlignment="1" pivotButton="0" quotePrefix="0" xfId="3">
      <alignment horizontal="center"/>
    </xf>
    <xf numFmtId="4" fontId="31" fillId="0" borderId="0" applyAlignment="1" pivotButton="0" quotePrefix="0" xfId="2">
      <alignment horizontal="center"/>
    </xf>
    <xf numFmtId="0" fontId="42" fillId="0" borderId="0" applyAlignment="1" pivotButton="0" quotePrefix="0" xfId="0">
      <alignment horizontal="center" vertical="center"/>
    </xf>
    <xf numFmtId="0" fontId="42" fillId="0" borderId="0" applyAlignment="1" pivotButton="0" quotePrefix="0" xfId="0">
      <alignment horizontal="center" vertical="center"/>
    </xf>
    <xf numFmtId="166" fontId="19" fillId="16" borderId="84" applyAlignment="1" applyProtection="1" pivotButton="0" quotePrefix="0" xfId="2">
      <alignment vertical="center"/>
      <protection locked="0" hidden="0"/>
    </xf>
    <xf numFmtId="0" fontId="19" fillId="16" borderId="55" applyAlignment="1" pivotButton="0" quotePrefix="0" xfId="0">
      <alignment vertical="center"/>
    </xf>
    <xf numFmtId="0" fontId="19" fillId="16" borderId="55" applyAlignment="1" pivotButton="0" quotePrefix="0" xfId="0">
      <alignment vertical="center" wrapText="1"/>
    </xf>
    <xf numFmtId="0" fontId="19" fillId="16" borderId="56" applyAlignment="1" pivotButton="0" quotePrefix="0" xfId="0">
      <alignment vertical="center"/>
    </xf>
    <xf numFmtId="0" fontId="19" fillId="0" borderId="56" applyAlignment="1" pivotButton="0" quotePrefix="0" xfId="0">
      <alignment vertical="center"/>
    </xf>
    <xf numFmtId="41" fontId="19" fillId="0" borderId="56" applyAlignment="1" pivotButton="0" quotePrefix="0" xfId="0">
      <alignment vertical="center"/>
    </xf>
    <xf numFmtId="0" fontId="31" fillId="3" borderId="28" applyAlignment="1" pivotButton="0" quotePrefix="0" xfId="0">
      <alignment horizontal="center" wrapText="1"/>
    </xf>
    <xf numFmtId="0" fontId="19" fillId="3" borderId="39" applyAlignment="1" pivotButton="0" quotePrefix="0" xfId="0">
      <alignment horizontal="left" vertical="center" wrapText="1"/>
    </xf>
    <xf numFmtId="0" fontId="19" fillId="0" borderId="39" applyAlignment="1" pivotButton="0" quotePrefix="0" xfId="0">
      <alignment horizontal="left" vertical="center" wrapText="1"/>
    </xf>
    <xf numFmtId="0" fontId="31" fillId="3" borderId="18" applyAlignment="1" pivotButton="0" quotePrefix="0" xfId="0">
      <alignment horizontal="left" vertical="center" wrapText="1"/>
    </xf>
    <xf numFmtId="0" fontId="7" fillId="0" borderId="85" applyAlignment="1" applyProtection="1" pivotButton="0" quotePrefix="0" xfId="0">
      <alignment vertical="center"/>
      <protection locked="0" hidden="0"/>
    </xf>
    <xf numFmtId="0" fontId="6" fillId="7" borderId="51" applyAlignment="1" pivotButton="0" quotePrefix="0" xfId="0">
      <alignment horizontal="center" vertical="center" wrapText="1"/>
    </xf>
    <xf numFmtId="0" fontId="7" fillId="7" borderId="14" applyAlignment="1" pivotButton="0" quotePrefix="0" xfId="0">
      <alignment vertical="center" wrapText="1"/>
    </xf>
    <xf numFmtId="0" fontId="4" fillId="0" borderId="85" applyAlignment="1" applyProtection="1" pivotButton="0" quotePrefix="0" xfId="0">
      <alignment vertical="center"/>
      <protection locked="0" hidden="0"/>
    </xf>
    <xf numFmtId="0" fontId="6" fillId="0" borderId="85" applyAlignment="1" applyProtection="1" pivotButton="0" quotePrefix="0" xfId="0">
      <alignment horizontal="center" vertical="center"/>
      <protection locked="0" hidden="0"/>
    </xf>
    <xf numFmtId="0" fontId="60" fillId="7" borderId="14" applyAlignment="1" pivotButton="0" quotePrefix="0" xfId="0">
      <alignment horizontal="left" vertical="center" wrapText="1" indent="1"/>
    </xf>
    <xf numFmtId="0" fontId="61" fillId="7" borderId="14" applyAlignment="1" pivotButton="0" quotePrefix="0" xfId="0">
      <alignment horizontal="left" vertical="center" wrapText="1" indent="2"/>
    </xf>
    <xf numFmtId="0" fontId="62" fillId="7" borderId="14" applyAlignment="1" pivotButton="0" quotePrefix="0" xfId="0">
      <alignment horizontal="left" vertical="center" wrapText="1" indent="2"/>
    </xf>
    <xf numFmtId="0" fontId="6" fillId="7" borderId="14" applyAlignment="1" pivotButton="0" quotePrefix="0" xfId="0">
      <alignment horizontal="center" vertical="center" wrapText="1"/>
    </xf>
    <xf numFmtId="0" fontId="60" fillId="7" borderId="14" applyAlignment="1" pivotButton="0" quotePrefix="0" xfId="0">
      <alignment vertical="center" wrapText="1"/>
    </xf>
    <xf numFmtId="0" fontId="61" fillId="7" borderId="14" applyAlignment="1" pivotButton="0" quotePrefix="0" xfId="0">
      <alignment horizontal="left" vertical="center" wrapText="1" indent="1"/>
    </xf>
    <xf numFmtId="165" fontId="10" fillId="0" borderId="14" applyAlignment="1" applyProtection="1" pivotButton="0" quotePrefix="0" xfId="2">
      <alignment horizontal="right" vertical="center"/>
      <protection locked="0" hidden="0"/>
    </xf>
    <xf numFmtId="0" fontId="13" fillId="6" borderId="14" applyAlignment="1" pivotButton="0" quotePrefix="0" xfId="0">
      <alignment horizontal="left" wrapText="1"/>
    </xf>
    <xf numFmtId="0" fontId="7" fillId="9" borderId="18" pivotButton="0" quotePrefix="0" xfId="0"/>
    <xf numFmtId="0" fontId="7" fillId="7" borderId="73" applyAlignment="1" pivotButton="0" quotePrefix="0" xfId="0">
      <alignment wrapText="1"/>
    </xf>
    <xf numFmtId="165" fontId="12" fillId="0" borderId="17" applyAlignment="1" applyProtection="1" pivotButton="0" quotePrefix="0" xfId="2">
      <alignment horizontal="right" vertical="center"/>
      <protection locked="0" hidden="0"/>
    </xf>
    <xf numFmtId="166" fontId="7" fillId="0" borderId="85" applyAlignment="1" applyProtection="1" pivotButton="0" quotePrefix="0" xfId="2">
      <alignment vertical="center"/>
      <protection locked="0" hidden="0"/>
    </xf>
    <xf numFmtId="49" fontId="19" fillId="7" borderId="73" applyAlignment="1" pivotButton="0" quotePrefix="0" xfId="0">
      <alignment wrapText="1"/>
    </xf>
    <xf numFmtId="0" fontId="12" fillId="0" borderId="15" applyProtection="1" pivotButton="0" quotePrefix="0" xfId="0">
      <protection locked="0" hidden="0"/>
    </xf>
    <xf numFmtId="38" fontId="19" fillId="0" borderId="14" applyAlignment="1" applyProtection="1" pivotButton="0" quotePrefix="0" xfId="2">
      <alignment vertical="center"/>
      <protection locked="0" hidden="0"/>
    </xf>
    <xf numFmtId="0" fontId="7" fillId="6" borderId="85" applyAlignment="1" applyProtection="1" pivotButton="0" quotePrefix="0" xfId="0">
      <alignment vertical="center"/>
      <protection locked="0" hidden="0"/>
    </xf>
    <xf numFmtId="165" fontId="10" fillId="6" borderId="14" applyAlignment="1" applyProtection="1" pivotButton="0" quotePrefix="0" xfId="2">
      <alignment vertical="center"/>
      <protection locked="0" hidden="0"/>
    </xf>
    <xf numFmtId="0" fontId="4" fillId="0" borderId="0" applyAlignment="1" pivotButton="0" quotePrefix="0" xfId="0">
      <alignment horizontal="right"/>
    </xf>
    <xf numFmtId="0" fontId="23" fillId="8" borderId="0" applyAlignment="1" pivotButton="0" quotePrefix="0" xfId="0">
      <alignment horizontal="right"/>
    </xf>
    <xf numFmtId="0" fontId="16" fillId="9" borderId="0" applyAlignment="1" pivotButton="0" quotePrefix="0" xfId="0">
      <alignment horizontal="right"/>
    </xf>
    <xf numFmtId="49" fontId="7" fillId="9" borderId="20" applyAlignment="1" pivotButton="0" quotePrefix="0" xfId="2">
      <alignment horizontal="right" vertical="center"/>
    </xf>
    <xf numFmtId="1" fontId="7" fillId="9" borderId="21" applyAlignment="1" pivotButton="0" quotePrefix="0" xfId="0">
      <alignment horizontal="right" vertical="center"/>
    </xf>
    <xf numFmtId="165" fontId="4" fillId="9" borderId="23" applyAlignment="1" pivotButton="0" quotePrefix="0" xfId="2">
      <alignment horizontal="right" vertical="center"/>
    </xf>
    <xf numFmtId="165" fontId="6" fillId="9" borderId="23" applyAlignment="1" pivotButton="0" quotePrefix="0" xfId="2">
      <alignment horizontal="right" vertical="center"/>
    </xf>
    <xf numFmtId="165" fontId="7" fillId="9" borderId="25" applyAlignment="1" pivotButton="0" quotePrefix="0" xfId="2">
      <alignment horizontal="right" vertical="center"/>
    </xf>
    <xf numFmtId="165" fontId="9" fillId="9" borderId="28" applyAlignment="1" pivotButton="0" quotePrefix="0" xfId="2">
      <alignment horizontal="right" vertical="center"/>
    </xf>
    <xf numFmtId="38" fontId="10" fillId="5" borderId="28" applyAlignment="1" pivotButton="0" quotePrefix="0" xfId="2">
      <alignment horizontal="right" vertical="center"/>
    </xf>
    <xf numFmtId="0" fontId="7" fillId="9" borderId="28" applyAlignment="1" pivotButton="0" quotePrefix="0" xfId="0">
      <alignment horizontal="right" vertical="center"/>
    </xf>
    <xf numFmtId="38" fontId="4" fillId="0" borderId="0" applyAlignment="1" pivotButton="0" quotePrefix="0" xfId="2">
      <alignment horizontal="right"/>
    </xf>
    <xf numFmtId="38" fontId="4" fillId="0" borderId="0" applyAlignment="1" pivotButton="0" quotePrefix="0" xfId="2">
      <alignment horizontal="right" vertical="center"/>
    </xf>
    <xf numFmtId="38" fontId="23" fillId="8" borderId="0" applyAlignment="1" pivotButton="0" quotePrefix="0" xfId="2">
      <alignment horizontal="right"/>
    </xf>
    <xf numFmtId="38" fontId="23" fillId="8" borderId="0" applyAlignment="1" pivotButton="0" quotePrefix="0" xfId="2">
      <alignment horizontal="right" vertical="center"/>
    </xf>
    <xf numFmtId="38" fontId="4" fillId="9" borderId="0" applyAlignment="1" pivotButton="0" quotePrefix="0" xfId="2">
      <alignment horizontal="right"/>
    </xf>
    <xf numFmtId="38" fontId="24" fillId="9" borderId="0" applyAlignment="1" pivotButton="0" quotePrefix="0" xfId="2">
      <alignment horizontal="right" vertical="center"/>
    </xf>
    <xf numFmtId="168" fontId="7" fillId="9" borderId="20" applyAlignment="1" pivotButton="0" quotePrefix="0" xfId="0">
      <alignment horizontal="right" vertical="center"/>
    </xf>
    <xf numFmtId="0" fontId="7" fillId="9" borderId="20" applyAlignment="1" pivotButton="0" quotePrefix="0" xfId="0">
      <alignment horizontal="right" vertical="center"/>
    </xf>
    <xf numFmtId="38" fontId="9" fillId="5" borderId="25" applyAlignment="1" pivotButton="0" quotePrefix="0" xfId="2">
      <alignment horizontal="right" vertical="center"/>
    </xf>
    <xf numFmtId="38" fontId="10" fillId="5" borderId="28" applyAlignment="1" pivotButton="0" quotePrefix="0" xfId="2">
      <alignment horizontal="right"/>
    </xf>
    <xf numFmtId="38" fontId="9" fillId="5" borderId="28" applyAlignment="1" pivotButton="0" quotePrefix="0" xfId="2">
      <alignment horizontal="right"/>
    </xf>
    <xf numFmtId="38" fontId="10" fillId="5" borderId="33" applyAlignment="1" pivotButton="0" quotePrefix="0" xfId="2">
      <alignment horizontal="right"/>
    </xf>
    <xf numFmtId="165" fontId="10" fillId="9" borderId="28" applyAlignment="1" pivotButton="0" quotePrefix="0" xfId="2">
      <alignment horizontal="right"/>
    </xf>
    <xf numFmtId="165" fontId="10" fillId="5" borderId="28" applyAlignment="1" pivotButton="0" quotePrefix="0" xfId="2">
      <alignment horizontal="right"/>
    </xf>
    <xf numFmtId="166" fontId="7" fillId="0" borderId="36" applyAlignment="1" pivotButton="0" quotePrefix="0" xfId="2">
      <alignment horizontal="right"/>
    </xf>
    <xf numFmtId="0" fontId="4" fillId="11" borderId="0" applyAlignment="1" pivotButton="0" quotePrefix="0" xfId="0">
      <alignment horizontal="right"/>
    </xf>
    <xf numFmtId="49" fontId="7" fillId="11" borderId="20" applyAlignment="1" pivotButton="0" quotePrefix="0" xfId="0">
      <alignment horizontal="right" vertical="center"/>
    </xf>
    <xf numFmtId="0" fontId="0" fillId="0" borderId="0" applyAlignment="1" pivotButton="0" quotePrefix="0" xfId="0">
      <alignment horizontal="right"/>
    </xf>
    <xf numFmtId="164" fontId="4" fillId="0" borderId="0" applyAlignment="1" pivotButton="0" quotePrefix="0" xfId="0">
      <alignment horizontal="right"/>
    </xf>
    <xf numFmtId="0" fontId="4" fillId="0" borderId="0" applyAlignment="1" pivotButton="0" quotePrefix="0" xfId="0">
      <alignment horizontal="right"/>
    </xf>
    <xf numFmtId="164" fontId="23" fillId="8" borderId="0" applyAlignment="1" pivotButton="0" quotePrefix="0" xfId="0">
      <alignment horizontal="right"/>
    </xf>
    <xf numFmtId="164" fontId="16" fillId="9" borderId="0" applyAlignment="1" pivotButton="0" quotePrefix="0" xfId="0">
      <alignment horizontal="right"/>
    </xf>
    <xf numFmtId="0" fontId="24" fillId="9" borderId="0" applyAlignment="1" pivotButton="0" quotePrefix="0" xfId="0">
      <alignment horizontal="right"/>
    </xf>
    <xf numFmtId="14" fontId="7" fillId="9" borderId="21" applyAlignment="1" pivotButton="0" quotePrefix="0" xfId="0">
      <alignment horizontal="right" vertical="center"/>
    </xf>
    <xf numFmtId="0" fontId="7" fillId="9" borderId="22" applyAlignment="1" pivotButton="0" quotePrefix="0" xfId="0">
      <alignment horizontal="right" vertical="center"/>
    </xf>
    <xf numFmtId="165" fontId="6" fillId="9" borderId="24" applyAlignment="1" pivotButton="0" quotePrefix="0" xfId="2">
      <alignment horizontal="right" vertical="center"/>
    </xf>
    <xf numFmtId="14" fontId="4" fillId="9" borderId="23" applyAlignment="1" pivotButton="0" quotePrefix="0" xfId="2">
      <alignment horizontal="right" vertical="center"/>
    </xf>
    <xf numFmtId="0" fontId="4" fillId="9" borderId="28" applyAlignment="1" pivotButton="0" quotePrefix="0" xfId="0">
      <alignment horizontal="right" vertical="center"/>
    </xf>
    <xf numFmtId="164" fontId="4" fillId="0" borderId="0" applyAlignment="1" pivotButton="0" quotePrefix="0" xfId="2">
      <alignment horizontal="right"/>
    </xf>
    <xf numFmtId="164" fontId="23" fillId="8" borderId="0" applyAlignment="1" pivotButton="0" quotePrefix="0" xfId="2">
      <alignment horizontal="right"/>
    </xf>
    <xf numFmtId="164" fontId="4" fillId="9" borderId="0" applyAlignment="1" pivotButton="0" quotePrefix="0" xfId="2">
      <alignment horizontal="right"/>
    </xf>
    <xf numFmtId="38" fontId="24" fillId="9" borderId="19" applyAlignment="1" pivotButton="0" quotePrefix="0" xfId="2">
      <alignment horizontal="right" vertical="center"/>
    </xf>
    <xf numFmtId="14" fontId="7" fillId="9" borderId="20" applyAlignment="1" pivotButton="0" quotePrefix="0" xfId="0">
      <alignment horizontal="right" vertical="center"/>
    </xf>
    <xf numFmtId="38" fontId="7" fillId="9" borderId="22" applyAlignment="1" pivotButton="0" quotePrefix="0" xfId="0">
      <alignment horizontal="right" vertical="center"/>
    </xf>
    <xf numFmtId="164" fontId="9" fillId="5" borderId="25" applyAlignment="1" pivotButton="0" quotePrefix="0" xfId="2">
      <alignment horizontal="right" vertical="center"/>
    </xf>
    <xf numFmtId="164" fontId="10" fillId="5" borderId="28" applyAlignment="1" pivotButton="0" quotePrefix="0" xfId="2">
      <alignment horizontal="right"/>
    </xf>
    <xf numFmtId="164" fontId="9" fillId="5" borderId="28" applyAlignment="1" pivotButton="0" quotePrefix="0" xfId="2">
      <alignment horizontal="right"/>
    </xf>
    <xf numFmtId="164" fontId="10" fillId="5" borderId="33" applyAlignment="1" pivotButton="0" quotePrefix="0" xfId="2">
      <alignment horizontal="right"/>
    </xf>
    <xf numFmtId="164" fontId="7" fillId="0" borderId="36" applyAlignment="1" pivotButton="0" quotePrefix="0" xfId="2">
      <alignment horizontal="right"/>
    </xf>
    <xf numFmtId="164" fontId="7" fillId="10" borderId="0" applyAlignment="1" pivotButton="0" quotePrefix="0" xfId="0">
      <alignment horizontal="right"/>
    </xf>
    <xf numFmtId="164" fontId="4" fillId="11" borderId="0" applyAlignment="1" pivotButton="0" quotePrefix="0" xfId="0">
      <alignment horizontal="right"/>
    </xf>
    <xf numFmtId="14" fontId="7" fillId="11" borderId="20" applyAlignment="1" pivotButton="0" quotePrefix="0" xfId="0">
      <alignment horizontal="right" vertical="center"/>
    </xf>
    <xf numFmtId="0" fontId="7" fillId="11" borderId="22" applyAlignment="1" pivotButton="0" quotePrefix="0" xfId="0">
      <alignment horizontal="right" vertical="center"/>
    </xf>
    <xf numFmtId="166" fontId="7" fillId="9" borderId="28" applyAlignment="1" pivotButton="0" quotePrefix="0" xfId="2">
      <alignment horizontal="right" vertical="center"/>
    </xf>
    <xf numFmtId="165" fontId="9" fillId="9" borderId="28" applyAlignment="1" pivotButton="0" quotePrefix="0" xfId="2">
      <alignment horizontal="right"/>
    </xf>
    <xf numFmtId="166" fontId="7" fillId="9" borderId="25" applyAlignment="1" pivotButton="0" quotePrefix="0" xfId="2">
      <alignment vertical="center"/>
    </xf>
    <xf numFmtId="166" fontId="7" fillId="9" borderId="28" applyAlignment="1" pivotButton="0" quotePrefix="0" xfId="2">
      <alignment vertical="center"/>
    </xf>
    <xf numFmtId="166" fontId="63" fillId="9" borderId="28" applyAlignment="1" pivotButton="0" quotePrefix="0" xfId="2">
      <alignment vertical="center"/>
    </xf>
    <xf numFmtId="166" fontId="6" fillId="9" borderId="25" applyAlignment="1" pivotButton="0" quotePrefix="0" xfId="2">
      <alignment horizontal="center" vertical="center"/>
    </xf>
    <xf numFmtId="37" fontId="7" fillId="9" borderId="28" applyAlignment="1" pivotButton="0" quotePrefix="0" xfId="2">
      <alignment vertical="center"/>
    </xf>
    <xf numFmtId="1" fontId="63" fillId="9" borderId="28" applyAlignment="1" pivotButton="0" quotePrefix="0" xfId="2">
      <alignment vertical="center"/>
    </xf>
    <xf numFmtId="37" fontId="6" fillId="9" borderId="25" applyAlignment="1" pivotButton="0" quotePrefix="0" xfId="2">
      <alignment horizontal="right" vertical="center"/>
    </xf>
    <xf numFmtId="166" fontId="4" fillId="9" borderId="28" applyAlignment="1" pivotButton="0" quotePrefix="0" xfId="2">
      <alignment vertical="center"/>
    </xf>
    <xf numFmtId="38" fontId="10" fillId="23" borderId="14" applyAlignment="1" applyProtection="1" pivotButton="0" quotePrefix="0" xfId="2">
      <alignment vertical="center"/>
      <protection locked="0" hidden="0"/>
    </xf>
    <xf numFmtId="4" fontId="9" fillId="6" borderId="74" applyAlignment="1" applyProtection="1" pivotButton="0" quotePrefix="0" xfId="2">
      <alignment horizontal="right" vertical="center"/>
      <protection locked="0" hidden="0"/>
    </xf>
    <xf numFmtId="0" fontId="19" fillId="24" borderId="56" applyAlignment="1" pivotButton="0" quotePrefix="0" xfId="0">
      <alignment horizontal="right" vertical="center"/>
    </xf>
    <xf numFmtId="164" fontId="4" fillId="24" borderId="28" applyAlignment="1" pivotButton="0" quotePrefix="0" xfId="2">
      <alignment horizontal="right"/>
    </xf>
    <xf numFmtId="4" fontId="4" fillId="24" borderId="28" applyAlignment="1" pivotButton="0" quotePrefix="0" xfId="2">
      <alignment horizontal="right"/>
    </xf>
    <xf numFmtId="4" fontId="4" fillId="24" borderId="29" applyAlignment="1" pivotButton="0" quotePrefix="0" xfId="2">
      <alignment horizontal="right"/>
    </xf>
    <xf numFmtId="4" fontId="19" fillId="24" borderId="28" applyAlignment="1" pivotButton="0" quotePrefix="0" xfId="2">
      <alignment horizontal="right"/>
    </xf>
    <xf numFmtId="164" fontId="28" fillId="24" borderId="25" applyAlignment="1" pivotButton="0" quotePrefix="0" xfId="2">
      <alignment horizontal="right" vertical="center"/>
    </xf>
    <xf numFmtId="166" fontId="28" fillId="24" borderId="25" applyAlignment="1" pivotButton="0" quotePrefix="0" xfId="2">
      <alignment horizontal="right" vertical="center"/>
    </xf>
    <xf numFmtId="166" fontId="28" fillId="24" borderId="40" applyAlignment="1" pivotButton="0" quotePrefix="0" xfId="2">
      <alignment horizontal="right" vertical="center"/>
    </xf>
    <xf numFmtId="166" fontId="28" fillId="24" borderId="35" applyAlignment="1" pivotButton="0" quotePrefix="0" xfId="2">
      <alignment horizontal="right" vertical="center"/>
    </xf>
    <xf numFmtId="0" fontId="7" fillId="10" borderId="0" applyAlignment="1" pivotButton="0" quotePrefix="0" xfId="0">
      <alignment horizontal="right" vertical="center"/>
    </xf>
    <xf numFmtId="0" fontId="42" fillId="0" borderId="0" applyAlignment="1" pivotButton="0" quotePrefix="0" xfId="0">
      <alignment horizontal="center" vertical="center"/>
    </xf>
    <xf numFmtId="0" fontId="34" fillId="12" borderId="6" applyAlignment="1" pivotButton="0" quotePrefix="0" xfId="0">
      <alignment horizontal="left" vertical="center"/>
    </xf>
    <xf numFmtId="10" fontId="49" fillId="0" borderId="25" applyAlignment="1" pivotButton="0" quotePrefix="0" xfId="0">
      <alignment horizontal="left" vertical="center"/>
    </xf>
    <xf numFmtId="169" fontId="49" fillId="0" borderId="25" applyAlignment="1" pivotButton="0" quotePrefix="0" xfId="0">
      <alignment horizontal="left" vertical="center"/>
    </xf>
    <xf numFmtId="169" fontId="31" fillId="0" borderId="28" applyAlignment="1" pivotButton="0" quotePrefix="0" xfId="0">
      <alignment horizontal="left" vertical="center"/>
    </xf>
    <xf numFmtId="169" fontId="49" fillId="0" borderId="28" applyAlignment="1" pivotButton="0" quotePrefix="0" xfId="0">
      <alignment horizontal="left" vertical="center"/>
    </xf>
    <xf numFmtId="41" fontId="64" fillId="0" borderId="28" applyAlignment="1" pivotButton="0" quotePrefix="0" xfId="0">
      <alignment horizontal="left" vertical="center"/>
    </xf>
    <xf numFmtId="0" fontId="18" fillId="3" borderId="13" applyProtection="1" pivotButton="0" quotePrefix="0" xfId="0">
      <protection locked="0" hidden="0"/>
    </xf>
    <xf numFmtId="0" fontId="6" fillId="7" borderId="43" applyAlignment="1" pivotButton="0" quotePrefix="0" xfId="0">
      <alignment horizontal="center" vertical="center" wrapText="1"/>
    </xf>
    <xf numFmtId="0" fontId="7" fillId="7" borderId="86" applyAlignment="1" pivotButton="0" quotePrefix="0" xfId="0">
      <alignment vertical="center" wrapText="1"/>
    </xf>
    <xf numFmtId="0" fontId="7" fillId="0" borderId="87" applyAlignment="1" applyProtection="1" pivotButton="0" quotePrefix="0" xfId="0">
      <alignment vertical="center"/>
      <protection locked="0" hidden="0"/>
    </xf>
    <xf numFmtId="165" fontId="7" fillId="0" borderId="88" applyAlignment="1" applyProtection="1" pivotButton="0" quotePrefix="0" xfId="2">
      <alignment vertical="center"/>
      <protection locked="0" hidden="0"/>
    </xf>
    <xf numFmtId="165" fontId="7" fillId="0" borderId="89" applyAlignment="1" applyProtection="1" pivotButton="0" quotePrefix="0" xfId="2">
      <alignment vertical="center"/>
      <protection locked="0" hidden="0"/>
    </xf>
    <xf numFmtId="4" fontId="7" fillId="0" borderId="90" applyAlignment="1" applyProtection="1" pivotButton="0" quotePrefix="0" xfId="2">
      <alignment vertical="center"/>
      <protection locked="0" hidden="0"/>
    </xf>
    <xf numFmtId="0" fontId="7" fillId="7" borderId="73" applyAlignment="1" pivotButton="0" quotePrefix="0" xfId="0">
      <alignment vertical="center" wrapText="1"/>
    </xf>
    <xf numFmtId="0" fontId="7" fillId="0" borderId="15" applyAlignment="1" applyProtection="1" pivotButton="0" quotePrefix="0" xfId="0">
      <alignment vertical="center"/>
      <protection locked="0" hidden="0"/>
    </xf>
    <xf numFmtId="0" fontId="4" fillId="0" borderId="15" applyAlignment="1" applyProtection="1" pivotButton="0" quotePrefix="0" xfId="0">
      <alignment vertical="center"/>
      <protection locked="0" hidden="0"/>
    </xf>
    <xf numFmtId="0" fontId="65" fillId="7" borderId="73" applyAlignment="1" pivotButton="0" quotePrefix="0" xfId="0">
      <alignment vertical="center" wrapText="1"/>
    </xf>
    <xf numFmtId="0" fontId="7" fillId="0" borderId="15" applyAlignment="1" applyProtection="1" pivotButton="0" quotePrefix="0" xfId="0">
      <alignment vertical="center" wrapText="1"/>
      <protection locked="0" hidden="0"/>
    </xf>
    <xf numFmtId="0" fontId="4" fillId="7" borderId="91" applyAlignment="1" pivotButton="0" quotePrefix="0" xfId="0">
      <alignment vertical="center" wrapText="1"/>
    </xf>
    <xf numFmtId="0" fontId="4" fillId="7" borderId="18" applyAlignment="1" pivotButton="0" quotePrefix="0" xfId="0">
      <alignment vertical="center" wrapText="1"/>
    </xf>
    <xf numFmtId="0" fontId="6" fillId="7" borderId="86" applyAlignment="1" pivotButton="0" quotePrefix="0" xfId="0">
      <alignment horizontal="center" vertical="center" wrapText="1"/>
    </xf>
    <xf numFmtId="0" fontId="6" fillId="0" borderId="15" applyAlignment="1" applyProtection="1" pivotButton="0" quotePrefix="0" xfId="0">
      <alignment horizontal="center" vertical="center"/>
      <protection locked="0" hidden="0"/>
    </xf>
    <xf numFmtId="0" fontId="19" fillId="7" borderId="73" applyAlignment="1" pivotButton="0" quotePrefix="0" xfId="0">
      <alignment vertical="center" wrapText="1"/>
    </xf>
    <xf numFmtId="0" fontId="4" fillId="7" borderId="92" applyAlignment="1" pivotButton="0" quotePrefix="0" xfId="0">
      <alignment vertical="center" wrapText="1"/>
    </xf>
    <xf numFmtId="0" fontId="14" fillId="6" borderId="66" applyAlignment="1" pivotButton="0" quotePrefix="0" xfId="0">
      <alignment horizontal="left" wrapText="1"/>
    </xf>
    <xf numFmtId="0" fontId="18" fillId="3" borderId="16" applyProtection="1" pivotButton="0" quotePrefix="0" xfId="0">
      <protection locked="0" hidden="0"/>
    </xf>
    <xf numFmtId="0" fontId="4" fillId="7" borderId="86" applyAlignment="1" pivotButton="0" quotePrefix="0" xfId="0">
      <alignment vertical="center" wrapText="1"/>
    </xf>
    <xf numFmtId="164" fontId="4" fillId="0" borderId="0" pivotButton="0" quotePrefix="0" xfId="0"/>
    <xf numFmtId="0" fontId="13" fillId="0" borderId="0" applyAlignment="1" pivotButton="0" quotePrefix="0" xfId="0">
      <alignment horizontal="left"/>
    </xf>
    <xf numFmtId="164" fontId="23" fillId="8" borderId="0" pivotButton="0" quotePrefix="0" xfId="0"/>
    <xf numFmtId="0" fontId="23" fillId="8" borderId="0" pivotButton="0" quotePrefix="0" xfId="0"/>
    <xf numFmtId="0" fontId="23" fillId="8" borderId="0" applyAlignment="1" pivotButton="0" quotePrefix="0" xfId="0">
      <alignment horizontal="center"/>
    </xf>
    <xf numFmtId="164" fontId="16" fillId="9" borderId="0" pivotButton="0" quotePrefix="0" xfId="0"/>
    <xf numFmtId="0" fontId="16" fillId="9" borderId="0" pivotButton="0" quotePrefix="0" xfId="0"/>
    <xf numFmtId="0" fontId="24" fillId="9" borderId="0" pivotButton="0" quotePrefix="0" xfId="0"/>
    <xf numFmtId="49" fontId="7" fillId="9" borderId="20" applyAlignment="1" pivotButton="0" quotePrefix="0" xfId="2">
      <alignment horizontal="center" vertical="center"/>
    </xf>
    <xf numFmtId="1" fontId="7" fillId="9" borderId="21" applyAlignment="1" pivotButton="0" quotePrefix="0" xfId="0">
      <alignment horizontal="center" vertical="center"/>
    </xf>
    <xf numFmtId="14" fontId="7" fillId="9" borderId="21" applyAlignment="1" pivotButton="0" quotePrefix="0" xfId="0">
      <alignment horizontal="center" vertical="center"/>
    </xf>
    <xf numFmtId="0" fontId="7" fillId="9" borderId="22" applyAlignment="1" pivotButton="0" quotePrefix="0" xfId="0">
      <alignment horizontal="center" vertical="center"/>
    </xf>
    <xf numFmtId="165" fontId="4" fillId="9" borderId="23" applyAlignment="1" pivotButton="0" quotePrefix="0" xfId="2">
      <alignment vertical="center"/>
    </xf>
    <xf numFmtId="165" fontId="6" fillId="9" borderId="24" applyAlignment="1" pivotButton="0" quotePrefix="0" xfId="2">
      <alignment vertical="center"/>
    </xf>
    <xf numFmtId="14" fontId="4" fillId="9" borderId="23" applyAlignment="1" pivotButton="0" quotePrefix="0" xfId="2">
      <alignment vertical="center"/>
    </xf>
    <xf numFmtId="165" fontId="6" fillId="9" borderId="23" applyAlignment="1" pivotButton="0" quotePrefix="0" xfId="2">
      <alignment vertical="center"/>
    </xf>
    <xf numFmtId="165" fontId="7" fillId="9" borderId="25" applyAlignment="1" pivotButton="0" quotePrefix="0" xfId="2">
      <alignment vertical="center"/>
    </xf>
    <xf numFmtId="165" fontId="7" fillId="9" borderId="26" applyAlignment="1" pivotButton="0" quotePrefix="0" xfId="2">
      <alignment vertical="center"/>
    </xf>
    <xf numFmtId="0" fontId="7" fillId="9" borderId="18" applyAlignment="1" pivotButton="0" quotePrefix="0" xfId="0">
      <alignment vertical="center"/>
    </xf>
    <xf numFmtId="165" fontId="9" fillId="9" borderId="28" applyAlignment="1" pivotButton="0" quotePrefix="0" xfId="2">
      <alignment vertical="center"/>
    </xf>
    <xf numFmtId="165" fontId="9" fillId="9" borderId="29" applyAlignment="1" pivotButton="0" quotePrefix="0" xfId="2">
      <alignment vertical="center"/>
    </xf>
    <xf numFmtId="38" fontId="10" fillId="5" borderId="28" applyAlignment="1" pivotButton="0" quotePrefix="0" xfId="2">
      <alignment vertical="center"/>
    </xf>
    <xf numFmtId="165" fontId="10" fillId="9" borderId="29" applyAlignment="1" pivotButton="0" quotePrefix="0" xfId="2">
      <alignment horizontal="right" vertical="center"/>
    </xf>
    <xf numFmtId="165" fontId="10" fillId="5" borderId="28" applyAlignment="1" pivotButton="0" quotePrefix="0" xfId="2">
      <alignment vertical="center"/>
    </xf>
    <xf numFmtId="0" fontId="65" fillId="9" borderId="18" applyAlignment="1" pivotButton="0" quotePrefix="0" xfId="0">
      <alignment vertical="center"/>
    </xf>
    <xf numFmtId="0" fontId="7" fillId="9" borderId="18" applyAlignment="1" pivotButton="0" quotePrefix="0" xfId="0">
      <alignment vertical="center" wrapText="1"/>
    </xf>
    <xf numFmtId="0" fontId="7" fillId="9" borderId="28" applyAlignment="1" pivotButton="0" quotePrefix="0" xfId="0">
      <alignment vertical="center" wrapText="1"/>
    </xf>
    <xf numFmtId="165" fontId="9" fillId="9" borderId="29" applyAlignment="1" pivotButton="0" quotePrefix="0" xfId="2">
      <alignment horizontal="right" vertical="center"/>
    </xf>
    <xf numFmtId="0" fontId="4" fillId="9" borderId="46" applyAlignment="1" pivotButton="0" quotePrefix="0" xfId="0">
      <alignment vertical="center"/>
    </xf>
    <xf numFmtId="0" fontId="4" fillId="9" borderId="31" applyAlignment="1" pivotButton="0" quotePrefix="0" xfId="0">
      <alignment vertical="center"/>
    </xf>
    <xf numFmtId="165" fontId="9" fillId="9" borderId="93" applyAlignment="1" pivotButton="0" quotePrefix="0" xfId="2">
      <alignment horizontal="right" vertical="center"/>
    </xf>
    <xf numFmtId="0" fontId="4" fillId="9" borderId="94" applyAlignment="1" pivotButton="0" quotePrefix="0" xfId="0">
      <alignment vertical="center"/>
    </xf>
    <xf numFmtId="0" fontId="4" fillId="9" borderId="95" applyAlignment="1" pivotButton="0" quotePrefix="0" xfId="0">
      <alignment vertical="center"/>
    </xf>
    <xf numFmtId="165" fontId="9" fillId="9" borderId="96" applyAlignment="1" pivotButton="0" quotePrefix="0" xfId="2">
      <alignment horizontal="right" vertical="center"/>
    </xf>
    <xf numFmtId="0" fontId="4" fillId="9" borderId="51" applyAlignment="1" pivotButton="0" quotePrefix="0" xfId="0">
      <alignment vertical="center"/>
    </xf>
    <xf numFmtId="0" fontId="4" fillId="9" borderId="97" applyAlignment="1" pivotButton="0" quotePrefix="0" xfId="0">
      <alignment vertical="center"/>
    </xf>
    <xf numFmtId="165" fontId="9" fillId="9" borderId="98" applyAlignment="1" pivotButton="0" quotePrefix="0" xfId="2">
      <alignment horizontal="right" vertical="center"/>
    </xf>
    <xf numFmtId="165" fontId="6" fillId="9" borderId="25" applyAlignment="1" pivotButton="0" quotePrefix="0" xfId="2">
      <alignment vertical="center"/>
    </xf>
    <xf numFmtId="165" fontId="6" fillId="9" borderId="26" applyAlignment="1" pivotButton="0" quotePrefix="0" xfId="2">
      <alignment vertical="center"/>
    </xf>
    <xf numFmtId="0" fontId="7" fillId="9" borderId="31" applyAlignment="1" pivotButton="0" quotePrefix="0" xfId="0">
      <alignment vertical="center"/>
    </xf>
    <xf numFmtId="165" fontId="9" fillId="9" borderId="31" applyAlignment="1" pivotButton="0" quotePrefix="0" xfId="2">
      <alignment vertical="center"/>
    </xf>
    <xf numFmtId="165" fontId="9" fillId="9" borderId="93" applyAlignment="1" pivotButton="0" quotePrefix="0" xfId="2">
      <alignment vertical="center"/>
    </xf>
    <xf numFmtId="165" fontId="10" fillId="9" borderId="93" applyAlignment="1" pivotButton="0" quotePrefix="0" xfId="2">
      <alignment horizontal="right" vertical="center"/>
    </xf>
    <xf numFmtId="0" fontId="4" fillId="25" borderId="18" applyAlignment="1" pivotButton="0" quotePrefix="0" xfId="0">
      <alignment vertical="center"/>
    </xf>
    <xf numFmtId="0" fontId="7" fillId="25" borderId="18" applyAlignment="1" pivotButton="0" quotePrefix="0" xfId="0">
      <alignment vertical="center"/>
    </xf>
    <xf numFmtId="0" fontId="4" fillId="9" borderId="48" applyAlignment="1" pivotButton="0" quotePrefix="0" xfId="0">
      <alignment vertical="center"/>
    </xf>
    <xf numFmtId="0" fontId="7" fillId="9" borderId="33" applyAlignment="1" pivotButton="0" quotePrefix="0" xfId="0">
      <alignment vertical="center"/>
    </xf>
    <xf numFmtId="165" fontId="10" fillId="5" borderId="33" applyAlignment="1" pivotButton="0" quotePrefix="0" xfId="2">
      <alignment vertical="center"/>
    </xf>
    <xf numFmtId="165" fontId="9" fillId="9" borderId="34" applyAlignment="1" pivotButton="0" quotePrefix="0" xfId="2">
      <alignment horizontal="right" vertical="center"/>
    </xf>
    <xf numFmtId="164" fontId="4" fillId="0" borderId="0" applyAlignment="1" pivotButton="0" quotePrefix="0" xfId="2">
      <alignment horizontal="center"/>
    </xf>
    <xf numFmtId="38" fontId="4" fillId="0" borderId="0" applyAlignment="1" pivotButton="0" quotePrefix="0" xfId="2">
      <alignment horizontal="center"/>
    </xf>
    <xf numFmtId="38" fontId="4" fillId="0" borderId="0" applyAlignment="1" pivotButton="0" quotePrefix="0" xfId="2">
      <alignment vertical="center"/>
    </xf>
    <xf numFmtId="164" fontId="23" fillId="8" borderId="0" applyAlignment="1" pivotButton="0" quotePrefix="0" xfId="2">
      <alignment horizontal="center"/>
    </xf>
    <xf numFmtId="38" fontId="23" fillId="8" borderId="0" applyAlignment="1" pivotButton="0" quotePrefix="0" xfId="2">
      <alignment horizontal="center"/>
    </xf>
    <xf numFmtId="38" fontId="23" fillId="8" borderId="0" applyAlignment="1" pivotButton="0" quotePrefix="0" xfId="2">
      <alignment vertical="center"/>
    </xf>
    <xf numFmtId="38" fontId="23" fillId="8" borderId="0" applyAlignment="1" pivotButton="0" quotePrefix="0" xfId="2">
      <alignment horizontal="center" vertical="center"/>
    </xf>
    <xf numFmtId="164" fontId="4" fillId="9" borderId="0" applyAlignment="1" pivotButton="0" quotePrefix="0" xfId="2">
      <alignment horizontal="center"/>
    </xf>
    <xf numFmtId="38" fontId="4" fillId="9" borderId="0" applyAlignment="1" pivotButton="0" quotePrefix="0" xfId="2">
      <alignment horizontal="center"/>
    </xf>
    <xf numFmtId="38" fontId="24" fillId="9" borderId="0" applyAlignment="1" pivotButton="0" quotePrefix="0" xfId="2">
      <alignment vertical="center"/>
    </xf>
    <xf numFmtId="38" fontId="24" fillId="9" borderId="19" applyAlignment="1" pivotButton="0" quotePrefix="0" xfId="2">
      <alignment horizontal="center" vertical="center"/>
    </xf>
    <xf numFmtId="168" fontId="7" fillId="9" borderId="20" applyAlignment="1" pivotButton="0" quotePrefix="0" xfId="0">
      <alignment horizontal="center" vertical="center"/>
    </xf>
    <xf numFmtId="38" fontId="7" fillId="9" borderId="20" applyAlignment="1" pivotButton="0" quotePrefix="0" xfId="0">
      <alignment horizontal="center" vertical="center"/>
    </xf>
    <xf numFmtId="14" fontId="7" fillId="9" borderId="20" applyAlignment="1" pivotButton="0" quotePrefix="0" xfId="0">
      <alignment horizontal="center" vertical="center"/>
    </xf>
    <xf numFmtId="38" fontId="7" fillId="9" borderId="22" applyAlignment="1" pivotButton="0" quotePrefix="0" xfId="0">
      <alignment horizontal="center" vertical="center"/>
    </xf>
    <xf numFmtId="164" fontId="9" fillId="5" borderId="25" applyAlignment="1" pivotButton="0" quotePrefix="0" xfId="2">
      <alignment vertical="center"/>
    </xf>
    <xf numFmtId="38" fontId="9" fillId="5" borderId="25" applyAlignment="1" pivotButton="0" quotePrefix="0" xfId="2">
      <alignment vertical="center"/>
    </xf>
    <xf numFmtId="164" fontId="10" fillId="5" borderId="28" pivotButton="0" quotePrefix="0" xfId="2"/>
    <xf numFmtId="38" fontId="10" fillId="5" borderId="28" pivotButton="0" quotePrefix="0" xfId="2"/>
    <xf numFmtId="164" fontId="9" fillId="5" borderId="28" pivotButton="0" quotePrefix="0" xfId="2"/>
    <xf numFmtId="38" fontId="9" fillId="5" borderId="28" pivotButton="0" quotePrefix="0" xfId="2"/>
    <xf numFmtId="164" fontId="10" fillId="5" borderId="33" pivotButton="0" quotePrefix="0" xfId="2"/>
    <xf numFmtId="38" fontId="10" fillId="5" borderId="33" pivotButton="0" quotePrefix="0" xfId="2"/>
    <xf numFmtId="165" fontId="10" fillId="9" borderId="28" pivotButton="0" quotePrefix="0" xfId="2"/>
    <xf numFmtId="38" fontId="10" fillId="9" borderId="29" pivotButton="0" quotePrefix="0" xfId="2"/>
    <xf numFmtId="165" fontId="10" fillId="5" borderId="28" pivotButton="0" quotePrefix="0" xfId="2"/>
    <xf numFmtId="0" fontId="7" fillId="9" borderId="27" pivotButton="0" quotePrefix="0" xfId="0"/>
    <xf numFmtId="164" fontId="7" fillId="0" borderId="36" pivotButton="0" quotePrefix="0" xfId="2"/>
    <xf numFmtId="166" fontId="7" fillId="0" borderId="36" pivotButton="0" quotePrefix="0" xfId="2"/>
    <xf numFmtId="164" fontId="7" fillId="10" borderId="0" applyAlignment="1" pivotButton="0" quotePrefix="0" xfId="0">
      <alignment horizontal="left"/>
    </xf>
    <xf numFmtId="164" fontId="4" fillId="11" borderId="0" pivotButton="0" quotePrefix="0" xfId="0"/>
    <xf numFmtId="49" fontId="7" fillId="11" borderId="20" applyAlignment="1" pivotButton="0" quotePrefix="0" xfId="0">
      <alignment horizontal="center" vertical="center"/>
    </xf>
    <xf numFmtId="14" fontId="7" fillId="11" borderId="20" applyAlignment="1" pivotButton="0" quotePrefix="0" xfId="0">
      <alignment horizontal="center" vertical="center"/>
    </xf>
    <xf numFmtId="0" fontId="7" fillId="11" borderId="22" applyAlignment="1" pivotButton="0" quotePrefix="0" xfId="0">
      <alignment horizontal="center" vertical="center"/>
    </xf>
    <xf numFmtId="164" fontId="28" fillId="11" borderId="25" applyAlignment="1" pivotButton="0" quotePrefix="0" xfId="2">
      <alignment horizontal="center" vertical="center"/>
    </xf>
    <xf numFmtId="166" fontId="28" fillId="11" borderId="25" applyAlignment="1" pivotButton="0" quotePrefix="0" xfId="2">
      <alignment vertical="center"/>
    </xf>
    <xf numFmtId="166" fontId="28" fillId="11" borderId="40" applyAlignment="1" pivotButton="0" quotePrefix="0" xfId="2">
      <alignment vertical="center"/>
    </xf>
    <xf numFmtId="166" fontId="28" fillId="11" borderId="35" applyAlignment="1" pivotButton="0" quotePrefix="0" xfId="2">
      <alignment horizontal="center" vertical="center"/>
    </xf>
    <xf numFmtId="0" fontId="19" fillId="26" borderId="56" applyAlignment="1" pivotButton="0" quotePrefix="0" xfId="0">
      <alignment horizontal="center" vertical="center"/>
    </xf>
    <xf numFmtId="164" fontId="4" fillId="11" borderId="28" applyAlignment="1" pivotButton="0" quotePrefix="0" xfId="2">
      <alignment horizontal="center"/>
    </xf>
    <xf numFmtId="4" fontId="4" fillId="11" borderId="28" applyAlignment="1" pivotButton="0" quotePrefix="0" xfId="2">
      <alignment horizontal="center"/>
    </xf>
    <xf numFmtId="4" fontId="4" fillId="11" borderId="29" applyAlignment="1" pivotButton="0" quotePrefix="0" xfId="2">
      <alignment horizontal="center"/>
    </xf>
    <xf numFmtId="0" fontId="19" fillId="26" borderId="0" applyAlignment="1" pivotButton="0" quotePrefix="0" xfId="0">
      <alignment horizontal="center" vertical="center"/>
    </xf>
    <xf numFmtId="164" fontId="54" fillId="11" borderId="28" applyAlignment="1" pivotButton="0" quotePrefix="0" xfId="2">
      <alignment horizontal="center"/>
    </xf>
    <xf numFmtId="164" fontId="54" fillId="11" borderId="29" applyAlignment="1" pivotButton="0" quotePrefix="0" xfId="2">
      <alignment horizontal="center"/>
    </xf>
    <xf numFmtId="0" fontId="23" fillId="11" borderId="0" applyAlignment="1" pivotButton="0" quotePrefix="0" xfId="0">
      <alignment horizontal="left" vertical="center" wrapText="1"/>
    </xf>
    <xf numFmtId="0" fontId="54" fillId="11" borderId="0" applyAlignment="1" pivotButton="0" quotePrefix="0" xfId="0">
      <alignment wrapText="1"/>
    </xf>
    <xf numFmtId="0" fontId="66" fillId="27" borderId="0" applyAlignment="1" pivotButton="0" quotePrefix="0" xfId="6">
      <alignment vertical="center" wrapText="1"/>
    </xf>
    <xf numFmtId="49" fontId="66" fillId="27" borderId="0" applyAlignment="1" pivotButton="0" quotePrefix="0" xfId="2">
      <alignment vertical="center" wrapText="1"/>
    </xf>
    <xf numFmtId="0" fontId="66" fillId="27" borderId="0" applyAlignment="1" pivotButton="0" quotePrefix="0" xfId="6">
      <alignment horizontal="center" vertical="center" wrapText="1"/>
    </xf>
    <xf numFmtId="0" fontId="7" fillId="28" borderId="0" applyAlignment="1" pivotButton="0" quotePrefix="1" xfId="7">
      <alignment vertical="top" wrapText="1"/>
    </xf>
    <xf numFmtId="0" fontId="7" fillId="17" borderId="0" applyAlignment="1" pivotButton="0" quotePrefix="0" xfId="0">
      <alignment vertical="center" wrapText="1"/>
    </xf>
    <xf numFmtId="0" fontId="7" fillId="17" borderId="0" applyAlignment="1" pivotButton="0" quotePrefix="0" xfId="0">
      <alignment horizontal="left" vertical="center"/>
    </xf>
    <xf numFmtId="0" fontId="7" fillId="0" borderId="0" applyAlignment="1" pivotButton="0" quotePrefix="0" xfId="0">
      <alignment horizontal="left" vertical="center" wrapText="1"/>
    </xf>
    <xf numFmtId="1" fontId="7"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4" fillId="0" borderId="0" applyAlignment="1" pivotButton="0" quotePrefix="0" xfId="0">
      <alignment horizontal="left" vertical="center" wrapText="1"/>
    </xf>
    <xf numFmtId="1" fontId="4" fillId="0" borderId="0" applyAlignment="1" pivotButton="0" quotePrefix="0" xfId="2">
      <alignment horizontal="center" vertical="center" wrapText="1"/>
    </xf>
    <xf numFmtId="2" fontId="4" fillId="0" borderId="0" applyAlignment="1" pivotButton="0" quotePrefix="0" xfId="6">
      <alignment horizontal="center" vertical="center" wrapText="1"/>
    </xf>
    <xf numFmtId="0" fontId="4" fillId="0" borderId="0" applyAlignment="1" pivotButton="0" quotePrefix="0" xfId="0">
      <alignment horizontal="center" vertical="center" wrapText="1"/>
    </xf>
    <xf numFmtId="0" fontId="4" fillId="0" borderId="99" applyAlignment="1" pivotButton="0" quotePrefix="0" xfId="0">
      <alignment horizontal="left" vertical="center" wrapText="1"/>
    </xf>
    <xf numFmtId="1" fontId="4" fillId="0" borderId="100" applyAlignment="1" pivotButton="0" quotePrefix="0" xfId="2">
      <alignment horizontal="center" vertical="center" wrapText="1"/>
    </xf>
    <xf numFmtId="2" fontId="4" fillId="0" borderId="101" applyAlignment="1" pivotButton="0" quotePrefix="0" xfId="6">
      <alignment horizontal="center" vertical="center" wrapText="1"/>
    </xf>
    <xf numFmtId="0" fontId="7" fillId="0" borderId="39" applyAlignment="1" pivotButton="0" quotePrefix="0" xfId="0">
      <alignment horizontal="left" vertical="center" wrapText="1"/>
    </xf>
    <xf numFmtId="1" fontId="7" fillId="0" borderId="14" applyAlignment="1" pivotButton="0" quotePrefix="0" xfId="0">
      <alignment horizontal="center" vertical="center" wrapText="1"/>
    </xf>
    <xf numFmtId="43" fontId="7" fillId="0" borderId="17" applyAlignment="1" pivotButton="0" quotePrefix="0" xfId="2">
      <alignment horizontal="center" vertical="center" wrapText="1"/>
    </xf>
    <xf numFmtId="0" fontId="4" fillId="0" borderId="39" applyAlignment="1" pivotButton="0" quotePrefix="0" xfId="0">
      <alignment horizontal="left" vertical="center" wrapText="1"/>
    </xf>
    <xf numFmtId="1" fontId="4" fillId="0" borderId="14" applyAlignment="1" pivotButton="0" quotePrefix="0" xfId="2">
      <alignment horizontal="center" vertical="center" wrapText="1"/>
    </xf>
    <xf numFmtId="2" fontId="4" fillId="0" borderId="17" applyAlignment="1" pivotButton="0" quotePrefix="0" xfId="6">
      <alignment horizontal="center" vertical="center" wrapText="1"/>
    </xf>
    <xf numFmtId="9" fontId="4" fillId="0" borderId="17" applyAlignment="1" pivotButton="0" quotePrefix="0" xfId="3">
      <alignment horizontal="center" vertical="center" wrapText="1"/>
    </xf>
    <xf numFmtId="10" fontId="4" fillId="0" borderId="0" applyAlignment="1" pivotButton="0" quotePrefix="0" xfId="3">
      <alignment horizontal="center" vertical="center" wrapText="1"/>
    </xf>
    <xf numFmtId="10" fontId="4" fillId="0" borderId="17" applyAlignment="1" pivotButton="0" quotePrefix="0" xfId="3">
      <alignment horizontal="center" vertical="center" wrapText="1"/>
    </xf>
    <xf numFmtId="0" fontId="4" fillId="0" borderId="39" applyAlignment="1" pivotButton="0" quotePrefix="1" xfId="0">
      <alignment horizontal="left" vertical="center" wrapText="1"/>
    </xf>
    <xf numFmtId="10" fontId="7" fillId="0" borderId="17" applyAlignment="1" pivotButton="0" quotePrefix="0" xfId="2">
      <alignment horizontal="center" vertical="center" wrapText="1"/>
    </xf>
    <xf numFmtId="0" fontId="4" fillId="0" borderId="41" applyAlignment="1" pivotButton="0" quotePrefix="1" xfId="0">
      <alignment horizontal="left" vertical="center" wrapText="1"/>
    </xf>
    <xf numFmtId="1" fontId="4" fillId="0" borderId="68" applyAlignment="1" pivotButton="0" quotePrefix="0" xfId="2">
      <alignment horizontal="center" vertical="center" wrapText="1"/>
    </xf>
    <xf numFmtId="2" fontId="4" fillId="0" borderId="102" applyAlignment="1" pivotButton="0" quotePrefix="0" xfId="6">
      <alignment horizontal="center" vertical="center" wrapText="1"/>
    </xf>
    <xf numFmtId="0" fontId="7" fillId="28" borderId="11" applyAlignment="1" pivotButton="0" quotePrefix="1" xfId="7">
      <alignment vertical="top" wrapText="1"/>
    </xf>
    <xf numFmtId="0" fontId="7" fillId="17" borderId="103" applyAlignment="1" pivotButton="0" quotePrefix="0" xfId="0">
      <alignment vertical="center" wrapText="1"/>
    </xf>
    <xf numFmtId="0" fontId="7" fillId="0" borderId="17" applyAlignment="1" pivotButton="0" quotePrefix="0" xfId="0">
      <alignment horizontal="center" vertical="center" wrapText="1"/>
    </xf>
    <xf numFmtId="0" fontId="4" fillId="0" borderId="14" applyAlignment="1" pivotButton="0" quotePrefix="0" xfId="0">
      <alignment horizontal="center" vertical="center" wrapText="1"/>
    </xf>
    <xf numFmtId="0" fontId="4" fillId="0" borderId="17" applyAlignment="1" pivotButton="0" quotePrefix="0" xfId="0">
      <alignment horizontal="center" vertical="center" wrapText="1"/>
    </xf>
    <xf numFmtId="0" fontId="4" fillId="0" borderId="17" applyAlignment="1" pivotButton="0" quotePrefix="0" xfId="0">
      <alignment horizontal="center" vertical="center" wrapText="1"/>
    </xf>
    <xf numFmtId="9" fontId="4" fillId="0" borderId="17" applyAlignment="1" pivotButton="0" quotePrefix="0" xfId="0">
      <alignment horizontal="center" vertical="center" wrapText="1"/>
    </xf>
    <xf numFmtId="10" fontId="4" fillId="0" borderId="17" applyAlignment="1" pivotButton="0" quotePrefix="0" xfId="0">
      <alignment horizontal="center" vertical="center" wrapText="1"/>
    </xf>
    <xf numFmtId="0" fontId="4" fillId="0" borderId="68" applyAlignment="1" pivotButton="0" quotePrefix="0" xfId="0">
      <alignment horizontal="center" vertical="center" wrapText="1"/>
    </xf>
    <xf numFmtId="0" fontId="4" fillId="0" borderId="102" applyAlignment="1" pivotButton="0" quotePrefix="0" xfId="0">
      <alignment horizontal="center" vertical="center" wrapText="1"/>
    </xf>
    <xf numFmtId="0" fontId="4" fillId="0" borderId="14" applyAlignment="1" pivotButton="0" quotePrefix="0" xfId="2">
      <alignment horizontal="center" vertical="center" wrapText="1"/>
    </xf>
    <xf numFmtId="0" fontId="4" fillId="0" borderId="17" applyAlignment="1" pivotButton="0" quotePrefix="1" xfId="0">
      <alignment horizontal="center" vertical="center" wrapText="1"/>
    </xf>
    <xf numFmtId="16" fontId="4" fillId="0" borderId="0" applyAlignment="1" pivotButton="0" quotePrefix="1" xfId="0">
      <alignment horizontal="center" vertical="center" wrapText="1"/>
    </xf>
    <xf numFmtId="0" fontId="4" fillId="0" borderId="68" applyAlignment="1" pivotButton="0" quotePrefix="0" xfId="2">
      <alignment horizontal="center" vertical="center" wrapText="1"/>
    </xf>
    <xf numFmtId="0" fontId="7" fillId="0" borderId="11" applyAlignment="1" pivotButton="0" quotePrefix="1" xfId="7">
      <alignment vertical="top" wrapText="1"/>
    </xf>
    <xf numFmtId="0" fontId="7" fillId="0" borderId="14" applyAlignment="1" pivotButton="0" quotePrefix="0" xfId="0">
      <alignment horizontal="center" vertical="center" wrapText="1"/>
    </xf>
    <xf numFmtId="0" fontId="4" fillId="0" borderId="41" applyAlignment="1" pivotButton="0" quotePrefix="0" xfId="0">
      <alignment horizontal="left" vertical="center" wrapText="1"/>
    </xf>
    <xf numFmtId="0" fontId="7" fillId="17" borderId="103" applyAlignment="1" pivotButton="0" quotePrefix="1" xfId="0">
      <alignment vertical="center" wrapText="1"/>
    </xf>
    <xf numFmtId="0" fontId="7" fillId="17" borderId="0" applyAlignment="1" pivotButton="0" quotePrefix="1" xfId="0">
      <alignment vertical="center" wrapText="1"/>
    </xf>
    <xf numFmtId="0" fontId="4" fillId="0" borderId="0" applyAlignment="1" pivotButton="0" quotePrefix="1" xfId="0">
      <alignment horizontal="center" vertical="center" wrapText="1"/>
    </xf>
    <xf numFmtId="49" fontId="36" fillId="0" borderId="47" applyAlignment="1" pivotButton="0" quotePrefix="0" xfId="0">
      <alignment horizontal="left" vertical="center"/>
    </xf>
    <xf numFmtId="49" fontId="31" fillId="0" borderId="18" applyAlignment="1" pivotButton="0" quotePrefix="0" xfId="0">
      <alignment horizontal="left" vertical="center" indent="2"/>
    </xf>
    <xf numFmtId="49" fontId="31" fillId="3" borderId="18" applyAlignment="1" pivotButton="0" quotePrefix="0" xfId="0">
      <alignment horizontal="left" vertical="center" indent="2"/>
    </xf>
    <xf numFmtId="49" fontId="31" fillId="0" borderId="18" applyAlignment="1" pivotButton="0" quotePrefix="0" xfId="0">
      <alignment horizontal="left" vertical="center" indent="2"/>
    </xf>
    <xf numFmtId="49" fontId="36" fillId="0" borderId="18" applyAlignment="1" pivotButton="0" quotePrefix="0" xfId="0">
      <alignment horizontal="left" vertical="center"/>
    </xf>
    <xf numFmtId="49" fontId="38" fillId="0" borderId="18" applyAlignment="1" pivotButton="0" quotePrefix="0" xfId="0">
      <alignment horizontal="left" vertical="center" indent="2"/>
    </xf>
    <xf numFmtId="49" fontId="35" fillId="0" borderId="18" applyAlignment="1" pivotButton="0" quotePrefix="0" xfId="0">
      <alignment horizontal="left" vertical="center" indent="1"/>
    </xf>
    <xf numFmtId="49" fontId="38" fillId="0" borderId="18" applyAlignment="1" pivotButton="0" quotePrefix="0" xfId="0">
      <alignment horizontal="left" vertical="center" indent="3"/>
    </xf>
    <xf numFmtId="10" fontId="38" fillId="0" borderId="28" applyAlignment="1" pivotButton="0" quotePrefix="0" xfId="0">
      <alignment horizontal="left" vertical="center"/>
    </xf>
    <xf numFmtId="49" fontId="31" fillId="0" borderId="18" applyAlignment="1" pivotButton="0" quotePrefix="0" xfId="0">
      <alignment horizontal="left" vertical="center" indent="3"/>
    </xf>
    <xf numFmtId="49" fontId="38" fillId="0" borderId="18" applyAlignment="1" pivotButton="0" quotePrefix="0" xfId="0">
      <alignment horizontal="left" vertical="center" indent="2"/>
    </xf>
    <xf numFmtId="10" fontId="35" fillId="12" borderId="11" applyAlignment="1" pivotButton="0" quotePrefix="0" xfId="0">
      <alignment horizontal="left" vertical="center"/>
    </xf>
    <xf numFmtId="41" fontId="34" fillId="0" borderId="28" applyAlignment="1" pivotButton="0" quotePrefix="0" xfId="3">
      <alignment horizontal="left" vertical="center"/>
    </xf>
    <xf numFmtId="0" fontId="31" fillId="0" borderId="18" applyAlignment="1" pivotButton="0" quotePrefix="0" xfId="0">
      <alignment horizontal="left" vertical="center" indent="2"/>
    </xf>
    <xf numFmtId="0" fontId="34" fillId="0" borderId="18" applyAlignment="1" pivotButton="0" quotePrefix="0" xfId="0">
      <alignment horizontal="left" vertical="center" indent="1"/>
    </xf>
    <xf numFmtId="0" fontId="31" fillId="0" borderId="48" applyAlignment="1" pivotButton="0" quotePrefix="0" xfId="0">
      <alignment horizontal="left" vertical="center" indent="2"/>
    </xf>
    <xf numFmtId="41" fontId="2" fillId="0" borderId="0" applyAlignment="1" pivotButton="0" quotePrefix="0" xfId="0">
      <alignment vertical="center"/>
    </xf>
    <xf numFmtId="0" fontId="61" fillId="24" borderId="56" applyAlignment="1" pivotButton="0" quotePrefix="0" xfId="0">
      <alignment horizontal="right" vertical="center"/>
    </xf>
    <xf numFmtId="0" fontId="61" fillId="11" borderId="39" applyAlignment="1" pivotButton="0" quotePrefix="0" xfId="0">
      <alignment horizontal="left" vertical="center" wrapText="1"/>
    </xf>
    <xf numFmtId="0" fontId="61" fillId="11" borderId="27" applyAlignment="1" pivotButton="0" quotePrefix="0" xfId="0">
      <alignment wrapText="1"/>
    </xf>
    <xf numFmtId="164" fontId="61" fillId="24" borderId="28" applyAlignment="1" pivotButton="0" quotePrefix="0" xfId="2">
      <alignment horizontal="right"/>
    </xf>
    <xf numFmtId="0" fontId="61" fillId="11" borderId="41" applyAlignment="1" pivotButton="0" quotePrefix="0" xfId="0">
      <alignment horizontal="left" vertical="center" wrapText="1"/>
    </xf>
    <xf numFmtId="0" fontId="61" fillId="11" borderId="32" applyAlignment="1" pivotButton="0" quotePrefix="0" xfId="0">
      <alignment wrapText="1"/>
    </xf>
    <xf numFmtId="0" fontId="19" fillId="16" borderId="57" applyAlignment="1" pivotButton="0" quotePrefix="0" xfId="0">
      <alignment horizontal="left" vertical="top" wrapText="1"/>
    </xf>
    <xf numFmtId="43" fontId="19" fillId="16" borderId="56" applyAlignment="1" pivotButton="0" quotePrefix="0" xfId="2">
      <alignment vertical="center"/>
    </xf>
    <xf numFmtId="43" fontId="19" fillId="16" borderId="58" applyAlignment="1" pivotButton="0" quotePrefix="0" xfId="2">
      <alignment vertical="center"/>
    </xf>
    <xf numFmtId="0" fontId="19" fillId="16" borderId="59" applyAlignment="1" pivotButton="0" quotePrefix="0" xfId="0">
      <alignment horizontal="left" vertical="top" wrapText="1"/>
    </xf>
    <xf numFmtId="39" fontId="19" fillId="16" borderId="60" applyAlignment="1" pivotButton="0" quotePrefix="0" xfId="2">
      <alignment vertical="center" wrapText="1"/>
    </xf>
    <xf numFmtId="39" fontId="19" fillId="16" borderId="61" applyAlignment="1" pivotButton="0" quotePrefix="0" xfId="2">
      <alignment vertical="center" wrapText="1"/>
    </xf>
    <xf numFmtId="0" fontId="61" fillId="16" borderId="55" applyAlignment="1" pivotButton="0" quotePrefix="0" xfId="0">
      <alignment vertical="center"/>
    </xf>
    <xf numFmtId="166" fontId="61" fillId="16" borderId="56" applyAlignment="1" applyProtection="1" pivotButton="0" quotePrefix="0" xfId="2">
      <alignment vertical="center"/>
      <protection locked="0" hidden="0"/>
    </xf>
    <xf numFmtId="166" fontId="61" fillId="16" borderId="84" applyAlignment="1" applyProtection="1" pivotButton="0" quotePrefix="0" xfId="2">
      <alignment vertical="center"/>
      <protection locked="0" hidden="0"/>
    </xf>
    <xf numFmtId="0" fontId="61" fillId="0" borderId="56" applyAlignment="1" pivotButton="0" quotePrefix="0" xfId="0">
      <alignment vertical="center"/>
    </xf>
    <xf numFmtId="0" fontId="61" fillId="16" borderId="55" applyAlignment="1" pivotButton="0" quotePrefix="0" xfId="0">
      <alignment vertical="center" wrapText="1"/>
    </xf>
    <xf numFmtId="0" fontId="59" fillId="0" borderId="28" applyAlignment="1" pivotButton="0" quotePrefix="0" xfId="0">
      <alignment horizontal="center" wrapText="1"/>
    </xf>
    <xf numFmtId="0" fontId="19" fillId="0" borderId="56" applyAlignment="1" pivotButton="0" quotePrefix="0" xfId="0">
      <alignment horizontal="center" vertical="center"/>
    </xf>
    <xf numFmtId="4" fontId="59" fillId="0" borderId="28" applyAlignment="1" pivotButton="0" quotePrefix="0" xfId="2">
      <alignment horizontal="center"/>
    </xf>
    <xf numFmtId="0" fontId="64" fillId="0" borderId="62" applyAlignment="1" pivotButton="0" quotePrefix="0" xfId="0">
      <alignment horizontal="left" vertical="center" wrapText="1"/>
    </xf>
    <xf numFmtId="0" fontId="64" fillId="0" borderId="40" applyAlignment="1" pivotButton="0" quotePrefix="0" xfId="0">
      <alignment horizontal="center" wrapText="1"/>
    </xf>
    <xf numFmtId="49" fontId="68" fillId="0" borderId="40" applyAlignment="1" pivotButton="0" quotePrefix="0" xfId="0">
      <alignment horizontal="center" vertical="center"/>
    </xf>
    <xf numFmtId="166" fontId="69" fillId="0" borderId="40" applyAlignment="1" pivotButton="0" quotePrefix="0" xfId="2">
      <alignment vertical="center"/>
    </xf>
    <xf numFmtId="166" fontId="69" fillId="0" borderId="40" applyAlignment="1" pivotButton="0" quotePrefix="0" xfId="2">
      <alignment horizontal="center" vertical="center"/>
    </xf>
    <xf numFmtId="0" fontId="70" fillId="0" borderId="40" pivotButton="0" quotePrefix="0" xfId="0"/>
    <xf numFmtId="0" fontId="53" fillId="0" borderId="0" pivotButton="0" quotePrefix="0" xfId="0"/>
    <xf numFmtId="0" fontId="59" fillId="0" borderId="18" applyAlignment="1" pivotButton="0" quotePrefix="0" xfId="0">
      <alignment horizontal="left" vertical="center" wrapText="1"/>
    </xf>
    <xf numFmtId="3" fontId="68" fillId="0" borderId="28" applyAlignment="1" pivotButton="0" quotePrefix="0" xfId="0">
      <alignment horizontal="center" vertical="center"/>
    </xf>
    <xf numFmtId="0" fontId="64" fillId="0" borderId="28" applyAlignment="1" pivotButton="0" quotePrefix="0" xfId="0">
      <alignment horizontal="center" wrapText="1"/>
    </xf>
    <xf numFmtId="10" fontId="59" fillId="0" borderId="28" applyAlignment="1" pivotButton="0" quotePrefix="0" xfId="3">
      <alignment horizontal="center"/>
    </xf>
    <xf numFmtId="0" fontId="71" fillId="22" borderId="18" applyAlignment="1" pivotButton="0" quotePrefix="0" xfId="0">
      <alignment horizontal="left" vertical="center" wrapText="1"/>
    </xf>
    <xf numFmtId="0" fontId="4" fillId="0" borderId="104" applyAlignment="1" pivotButton="0" quotePrefix="0" xfId="0">
      <alignment horizontal="center" vertical="center"/>
    </xf>
    <xf numFmtId="0" fontId="31" fillId="0" borderId="14" applyAlignment="1" pivotButton="0" quotePrefix="0" xfId="0">
      <alignment horizontal="left" vertical="center" wrapText="1"/>
    </xf>
    <xf numFmtId="0" fontId="34" fillId="0" borderId="14" applyAlignment="1" pivotButton="0" quotePrefix="0" xfId="0">
      <alignment horizontal="center" wrapText="1"/>
    </xf>
    <xf numFmtId="0" fontId="61" fillId="0" borderId="14" applyAlignment="1" pivotButton="0" quotePrefix="0" xfId="0">
      <alignment horizontal="left" vertical="center" wrapText="1"/>
    </xf>
    <xf numFmtId="0" fontId="4" fillId="0" borderId="105" applyAlignment="1" pivotButton="0" quotePrefix="0" xfId="0">
      <alignment horizontal="center" vertical="center"/>
    </xf>
    <xf numFmtId="10" fontId="31" fillId="0" borderId="14" applyAlignment="1" pivotButton="0" quotePrefix="0" xfId="3">
      <alignment horizontal="center"/>
    </xf>
    <xf numFmtId="0" fontId="2" fillId="0" borderId="106" pivotButton="0" quotePrefix="0" xfId="0"/>
    <xf numFmtId="41" fontId="34" fillId="0" borderId="28" applyAlignment="1" pivotButton="0" quotePrefix="0" xfId="2">
      <alignment horizontal="right" vertical="center" indent="1"/>
    </xf>
    <xf numFmtId="41" fontId="34" fillId="0" borderId="29" applyAlignment="1" pivotButton="0" quotePrefix="0" xfId="2">
      <alignment horizontal="right" vertical="center" indent="1"/>
    </xf>
    <xf numFmtId="37" fontId="72" fillId="13" borderId="28" applyAlignment="1" pivotButton="0" quotePrefix="0" xfId="1">
      <alignment vertical="center"/>
    </xf>
    <xf numFmtId="37" fontId="72" fillId="13" borderId="29" applyAlignment="1" pivotButton="0" quotePrefix="0" xfId="1">
      <alignment vertical="center"/>
    </xf>
    <xf numFmtId="0" fontId="73" fillId="0" borderId="0" applyAlignment="1" pivotButton="0" quotePrefix="0" xfId="0">
      <alignment vertical="center"/>
    </xf>
    <xf numFmtId="166" fontId="73" fillId="0" borderId="0" pivotButton="0" quotePrefix="0" xfId="2"/>
    <xf numFmtId="0" fontId="73" fillId="0" borderId="0" pivotButton="0" quotePrefix="0" xfId="0"/>
    <xf numFmtId="0" fontId="74" fillId="0" borderId="0" pivotButton="0" quotePrefix="0" xfId="0"/>
    <xf numFmtId="0" fontId="71" fillId="13" borderId="18" applyAlignment="1" applyProtection="1" pivotButton="0" quotePrefix="0" xfId="1">
      <alignment vertical="center"/>
      <protection locked="1" hidden="1"/>
    </xf>
    <xf numFmtId="0" fontId="71" fillId="13" borderId="28" applyAlignment="1" applyProtection="1" pivotButton="0" quotePrefix="0" xfId="1">
      <alignment horizontal="center" vertical="center"/>
      <protection locked="1" hidden="1"/>
    </xf>
    <xf numFmtId="37" fontId="71" fillId="13" borderId="28" applyAlignment="1" pivotButton="0" quotePrefix="0" xfId="1">
      <alignment vertical="center"/>
    </xf>
    <xf numFmtId="37" fontId="71" fillId="13" borderId="29" applyAlignment="1" pivotButton="0" quotePrefix="0" xfId="1">
      <alignment vertical="center"/>
    </xf>
    <xf numFmtId="0" fontId="71" fillId="13" borderId="18" applyAlignment="1" applyProtection="1" pivotButton="0" quotePrefix="0" xfId="1">
      <alignment horizontal="left" vertical="center"/>
      <protection locked="1" hidden="1"/>
    </xf>
    <xf numFmtId="0" fontId="31" fillId="0" borderId="11" pivotButton="0" quotePrefix="0" xfId="0"/>
    <xf numFmtId="41" fontId="31" fillId="20" borderId="11" pivotButton="0" quotePrefix="0" xfId="0"/>
    <xf numFmtId="169" fontId="31" fillId="20" borderId="11" pivotButton="0" quotePrefix="0" xfId="0"/>
    <xf numFmtId="43" fontId="31" fillId="20" borderId="11" pivotButton="0" quotePrefix="0" xfId="2"/>
    <xf numFmtId="0" fontId="31" fillId="20" borderId="11" pivotButton="0" quotePrefix="0" xfId="0"/>
    <xf numFmtId="43" fontId="31" fillId="20" borderId="11" pivotButton="0" quotePrefix="0" xfId="0"/>
    <xf numFmtId="0" fontId="59" fillId="0" borderId="47" applyAlignment="1" pivotButton="0" quotePrefix="0" xfId="0">
      <alignment horizontal="left" vertical="center" wrapText="1"/>
    </xf>
    <xf numFmtId="0" fontId="59" fillId="0" borderId="18" applyAlignment="1" pivotButton="0" quotePrefix="0" xfId="0">
      <alignment vertical="center" wrapText="1"/>
    </xf>
    <xf numFmtId="0" fontId="59" fillId="0" borderId="48" applyAlignment="1" pivotButton="0" quotePrefix="0" xfId="0">
      <alignment vertical="center" wrapText="1"/>
    </xf>
    <xf numFmtId="0" fontId="61" fillId="0" borderId="0" applyAlignment="1" pivotButton="0" quotePrefix="0" xfId="0">
      <alignment horizontal="left" vertical="center" wrapText="1"/>
    </xf>
    <xf numFmtId="0" fontId="61" fillId="29" borderId="107" applyAlignment="1" pivotButton="0" quotePrefix="0" xfId="0">
      <alignment horizontal="left" vertical="center" wrapText="1"/>
    </xf>
    <xf numFmtId="0" fontId="0" fillId="30" borderId="0" pivotButton="0" quotePrefix="0" xfId="0"/>
    <xf numFmtId="0" fontId="52" fillId="3" borderId="11" pivotButton="0" quotePrefix="0" xfId="5"/>
    <xf numFmtId="0" fontId="23" fillId="3" borderId="57" applyAlignment="1" pivotButton="0" quotePrefix="0" xfId="0">
      <alignment horizontal="left" vertical="top" wrapText="1" indent="1"/>
    </xf>
    <xf numFmtId="0" fontId="23" fillId="3" borderId="57" applyAlignment="1" pivotButton="0" quotePrefix="0" xfId="0">
      <alignment horizontal="left" vertical="top" wrapText="1"/>
    </xf>
    <xf numFmtId="0" fontId="0" fillId="24" borderId="0" pivotButton="0" quotePrefix="0" xfId="0"/>
    <xf numFmtId="0" fontId="52" fillId="24" borderId="0" pivotButton="0" quotePrefix="0" xfId="5"/>
    <xf numFmtId="0" fontId="34" fillId="0" borderId="20" applyAlignment="1" pivotButton="0" quotePrefix="0" xfId="0">
      <alignment horizontal="center" vertical="center"/>
    </xf>
    <xf numFmtId="49" fontId="38" fillId="24" borderId="18" applyAlignment="1" pivotButton="0" quotePrefix="0" xfId="0">
      <alignment horizontal="left" vertical="center" indent="3"/>
    </xf>
    <xf numFmtId="49" fontId="35" fillId="24" borderId="18" applyAlignment="1" pivotButton="0" quotePrefix="0" xfId="0">
      <alignment horizontal="left" vertical="center" indent="1"/>
    </xf>
    <xf numFmtId="1" fontId="34" fillId="0" borderId="20" applyAlignment="1" pivotButton="0" quotePrefix="0" xfId="0">
      <alignment horizontal="center" vertical="center" wrapText="1"/>
    </xf>
    <xf numFmtId="0" fontId="4" fillId="30" borderId="56" applyAlignment="1" pivotButton="0" quotePrefix="0" xfId="0">
      <alignment horizontal="center" vertical="center"/>
    </xf>
    <xf numFmtId="49" fontId="33" fillId="0" borderId="38" applyAlignment="1" pivotButton="0" quotePrefix="0" xfId="0">
      <alignment vertical="center"/>
    </xf>
    <xf numFmtId="0" fontId="0" fillId="0" borderId="0" pivotButton="0" quotePrefix="0" xfId="0"/>
    <xf numFmtId="0" fontId="0" fillId="0" borderId="0" pivotButton="0" quotePrefix="0" xfId="2"/>
    <xf numFmtId="14" fontId="34" fillId="31" borderId="20" applyAlignment="1" pivotButton="0" quotePrefix="0" xfId="1">
      <alignment horizontal="center" vertical="center"/>
    </xf>
    <xf numFmtId="0" fontId="7" fillId="24" borderId="11" applyAlignment="1" pivotButton="0" quotePrefix="0" xfId="5">
      <alignment horizontal="center"/>
    </xf>
    <xf numFmtId="0" fontId="7" fillId="24" borderId="11" applyAlignment="1" pivotButton="0" quotePrefix="0" xfId="2">
      <alignment horizontal="center"/>
    </xf>
    <xf numFmtId="14" fontId="7" fillId="24" borderId="11" applyAlignment="1" pivotButton="0" quotePrefix="0" xfId="5">
      <alignment horizontal="center"/>
    </xf>
    <xf numFmtId="0" fontId="43" fillId="0" borderId="28" applyAlignment="1" pivotButton="0" quotePrefix="0" xfId="0">
      <alignment horizontal="center" vertical="center"/>
    </xf>
    <xf numFmtId="0" fontId="61" fillId="32" borderId="11" applyAlignment="1" pivotButton="0" quotePrefix="0" xfId="2">
      <alignment vertical="center"/>
    </xf>
    <xf numFmtId="0" fontId="23" fillId="32" borderId="11" pivotButton="0" quotePrefix="0" xfId="2"/>
    <xf numFmtId="0" fontId="23" fillId="32" borderId="11" pivotButton="0" quotePrefix="0" xfId="5"/>
    <xf numFmtId="0" fontId="60" fillId="32" borderId="11" applyAlignment="1" pivotButton="0" quotePrefix="0" xfId="2">
      <alignment vertical="center"/>
    </xf>
    <xf numFmtId="0" fontId="61" fillId="32" borderId="11" pivotButton="0" quotePrefix="0" xfId="2"/>
    <xf numFmtId="0" fontId="61" fillId="32" borderId="11" pivotButton="0" quotePrefix="0" xfId="0"/>
    <xf numFmtId="0" fontId="7" fillId="32" borderId="11" pivotButton="0" quotePrefix="0" xfId="5"/>
    <xf numFmtId="0" fontId="23" fillId="32" borderId="11" pivotButton="0" quotePrefix="0" xfId="5"/>
    <xf numFmtId="0" fontId="13" fillId="32" borderId="11" pivotButton="0" quotePrefix="0" xfId="5"/>
    <xf numFmtId="0" fontId="60" fillId="32" borderId="11" applyAlignment="1" pivotButton="0" quotePrefix="0" xfId="0">
      <alignment horizontal="left" vertical="center" wrapText="1" indent="1"/>
    </xf>
    <xf numFmtId="0" fontId="61" fillId="32" borderId="11" applyAlignment="1" pivotButton="0" quotePrefix="0" xfId="0">
      <alignment horizontal="left" vertical="center" wrapText="1" indent="2"/>
    </xf>
    <xf numFmtId="0" fontId="4" fillId="32" borderId="11" pivotButton="0" quotePrefix="0" xfId="5"/>
    <xf numFmtId="0" fontId="61" fillId="32" borderId="11" applyAlignment="1" pivotButton="0" quotePrefix="0" xfId="0">
      <alignment horizontal="left" vertical="center" wrapText="1" indent="1"/>
    </xf>
    <xf numFmtId="49" fontId="4" fillId="32" borderId="11" applyAlignment="1" pivotButton="0" quotePrefix="0" xfId="0">
      <alignment horizontal="left" vertical="center" indent="1"/>
    </xf>
    <xf numFmtId="0" fontId="61" fillId="32" borderId="11" applyAlignment="1" pivotButton="0" quotePrefix="0" xfId="0">
      <alignment horizontal="left" vertical="center" wrapText="1"/>
    </xf>
    <xf numFmtId="0" fontId="61" fillId="32" borderId="11" pivotButton="0" quotePrefix="0" xfId="0"/>
    <xf numFmtId="0" fontId="4" fillId="32" borderId="11" applyAlignment="1" pivotButton="0" quotePrefix="0" xfId="0">
      <alignment vertical="center" wrapText="1"/>
    </xf>
    <xf numFmtId="0" fontId="61" fillId="32" borderId="11" pivotButton="0" quotePrefix="0" xfId="5"/>
    <xf numFmtId="0" fontId="61" fillId="32" borderId="11" applyAlignment="1" pivotButton="0" quotePrefix="0" xfId="0">
      <alignment vertical="center"/>
    </xf>
    <xf numFmtId="0" fontId="61" fillId="32" borderId="11" applyAlignment="1" pivotButton="0" quotePrefix="0" xfId="0">
      <alignment vertical="center" wrapText="1"/>
    </xf>
    <xf numFmtId="3" fontId="43" fillId="33" borderId="28" applyAlignment="1" pivotButton="0" quotePrefix="0" xfId="0">
      <alignment horizontal="center" vertical="center"/>
    </xf>
    <xf numFmtId="0" fontId="43" fillId="33" borderId="28" applyAlignment="1" pivotButton="0" quotePrefix="0" xfId="0">
      <alignment horizontal="center" vertical="center"/>
    </xf>
    <xf numFmtId="166" fontId="75" fillId="34" borderId="108" applyAlignment="1" applyProtection="1" pivotButton="0" quotePrefix="0" xfId="2">
      <alignment vertical="center" wrapText="1"/>
      <protection locked="0" hidden="0"/>
    </xf>
    <xf numFmtId="166" fontId="75" fillId="34" borderId="109" applyAlignment="1" applyProtection="1" pivotButton="0" quotePrefix="0" xfId="2">
      <alignment vertical="center" wrapText="1"/>
      <protection locked="0" hidden="0"/>
    </xf>
    <xf numFmtId="0" fontId="3" fillId="0" borderId="0" applyAlignment="1" pivotButton="0" quotePrefix="0" xfId="1">
      <alignment horizontal="center"/>
    </xf>
    <xf numFmtId="0" fontId="6" fillId="2" borderId="0" applyAlignment="1" applyProtection="1" pivotButton="0" quotePrefix="0" xfId="1">
      <alignment horizontal="center"/>
      <protection locked="0" hidden="0"/>
    </xf>
    <xf numFmtId="0" fontId="7" fillId="0" borderId="0" applyAlignment="1" applyProtection="1" pivotButton="0" quotePrefix="0" xfId="0">
      <alignment horizontal="center"/>
      <protection locked="0" hidden="0"/>
    </xf>
    <xf numFmtId="0" fontId="11" fillId="0" borderId="1" applyAlignment="1" applyProtection="1" pivotButton="0" quotePrefix="0" xfId="0">
      <alignment horizontal="center" vertical="center"/>
      <protection locked="0" hidden="0"/>
    </xf>
    <xf numFmtId="0" fontId="11" fillId="0" borderId="2" applyAlignment="1" applyProtection="1" pivotButton="0" quotePrefix="0" xfId="0">
      <alignment horizontal="center" vertical="center"/>
      <protection locked="0" hidden="0"/>
    </xf>
    <xf numFmtId="0" fontId="11" fillId="0" borderId="3" applyAlignment="1" applyProtection="1" pivotButton="0" quotePrefix="0" xfId="0">
      <alignment horizontal="center" vertical="center"/>
      <protection locked="0" hidden="0"/>
    </xf>
    <xf numFmtId="0" fontId="11" fillId="0" borderId="4" applyAlignment="1" applyProtection="1" pivotButton="0" quotePrefix="0" xfId="0">
      <alignment horizontal="center" vertical="center"/>
      <protection locked="0" hidden="0"/>
    </xf>
    <xf numFmtId="0" fontId="11" fillId="0" borderId="0" applyAlignment="1" applyProtection="1" pivotButton="0" quotePrefix="0" xfId="0">
      <alignment horizontal="center" vertical="center"/>
      <protection locked="0" hidden="0"/>
    </xf>
    <xf numFmtId="0" fontId="11" fillId="0" borderId="5" applyAlignment="1" applyProtection="1" pivotButton="0" quotePrefix="0" xfId="0">
      <alignment horizontal="center" vertical="center"/>
      <protection locked="0" hidden="0"/>
    </xf>
    <xf numFmtId="0" fontId="11" fillId="0" borderId="9" applyAlignment="1" applyProtection="1" pivotButton="0" quotePrefix="0" xfId="0">
      <alignment horizontal="center" vertical="center"/>
      <protection locked="0" hidden="0"/>
    </xf>
    <xf numFmtId="0" fontId="11" fillId="0" borderId="10" applyAlignment="1" applyProtection="1" pivotButton="0" quotePrefix="0" xfId="0">
      <alignment horizontal="center" vertical="center"/>
      <protection locked="0" hidden="0"/>
    </xf>
    <xf numFmtId="164" fontId="12" fillId="3" borderId="0" applyAlignment="1" applyProtection="1" pivotButton="0" quotePrefix="0" xfId="0">
      <alignment horizontal="center"/>
      <protection locked="0" hidden="0"/>
    </xf>
    <xf numFmtId="0" fontId="6" fillId="8" borderId="0" applyAlignment="1" pivotButton="0" quotePrefix="0" xfId="0">
      <alignment horizontal="center"/>
    </xf>
    <xf numFmtId="0" fontId="7" fillId="10" borderId="0" applyAlignment="1" pivotButton="0" quotePrefix="0" xfId="0">
      <alignment horizontal="right" vertical="center"/>
    </xf>
    <xf numFmtId="0" fontId="4" fillId="11" borderId="0" applyAlignment="1" pivotButton="0" quotePrefix="0" xfId="0">
      <alignment horizontal="right"/>
    </xf>
    <xf numFmtId="0" fontId="27" fillId="0" borderId="0" applyAlignment="1" pivotButton="0" quotePrefix="0" xfId="0">
      <alignment horizontal="center" vertical="center" wrapText="1"/>
    </xf>
    <xf numFmtId="0" fontId="2" fillId="0" borderId="0" applyAlignment="1" pivotButton="0" quotePrefix="0" xfId="0">
      <alignment wrapText="1"/>
    </xf>
    <xf numFmtId="0" fontId="42" fillId="0" borderId="0" applyAlignment="1" pivotButton="0" quotePrefix="0" xfId="0">
      <alignment horizontal="center" vertical="center"/>
    </xf>
    <xf numFmtId="0" fontId="43" fillId="0" borderId="0" applyAlignment="1" pivotButton="0" quotePrefix="0" xfId="0">
      <alignment horizontal="center"/>
    </xf>
    <xf numFmtId="0" fontId="2" fillId="0" borderId="0" applyAlignment="1" pivotButton="0" quotePrefix="0" xfId="0">
      <alignment horizontal="center" vertical="center" wrapText="1"/>
    </xf>
    <xf numFmtId="0" fontId="2" fillId="0" borderId="46" applyAlignment="1" pivotButton="0" quotePrefix="0" xfId="0">
      <alignment horizontal="left" vertical="center" wrapText="1"/>
    </xf>
    <xf numFmtId="0" fontId="2" fillId="0" borderId="51" applyAlignment="1" pivotButton="0" quotePrefix="0" xfId="0">
      <alignment horizontal="left" vertical="center" wrapText="1"/>
    </xf>
    <xf numFmtId="0" fontId="2" fillId="0" borderId="47" applyAlignment="1" pivotButton="0" quotePrefix="0" xfId="0">
      <alignment horizontal="left" vertical="center" wrapText="1"/>
    </xf>
    <xf numFmtId="14" fontId="7" fillId="15" borderId="81" applyAlignment="1" pivotButton="0" quotePrefix="0" xfId="2">
      <alignment horizontal="center" vertical="center" wrapText="1"/>
    </xf>
    <xf numFmtId="14" fontId="7" fillId="15" borderId="78" applyAlignment="1" pivotButton="0" quotePrefix="0" xfId="2">
      <alignment horizontal="center" vertical="center" wrapText="1"/>
    </xf>
    <xf numFmtId="0" fontId="2" fillId="0" borderId="0" applyAlignment="1" pivotButton="0" quotePrefix="0" xfId="0">
      <alignment horizontal="center" vertical="center" wrapText="1"/>
    </xf>
    <xf numFmtId="0" fontId="37" fillId="0" borderId="0" applyAlignment="1" pivotButton="0" quotePrefix="0" xfId="0">
      <alignment horizontal="center" vertical="center"/>
    </xf>
    <xf numFmtId="0" fontId="7" fillId="15" borderId="79" applyAlignment="1" pivotButton="0" quotePrefix="0" xfId="0">
      <alignment horizontal="center" vertical="center" wrapText="1"/>
    </xf>
    <xf numFmtId="0" fontId="7" fillId="15" borderId="76" applyAlignment="1" pivotButton="0" quotePrefix="0" xfId="0">
      <alignment horizontal="center" vertical="center" wrapText="1"/>
    </xf>
    <xf numFmtId="1" fontId="7" fillId="15" borderId="80" applyAlignment="1" pivotButton="0" quotePrefix="0" xfId="2">
      <alignment horizontal="center" vertical="center" wrapText="1"/>
    </xf>
    <xf numFmtId="1" fontId="7" fillId="15" borderId="77" applyAlignment="1" pivotButton="0" quotePrefix="0" xfId="2">
      <alignment horizontal="center" vertical="center" wrapText="1"/>
    </xf>
    <xf numFmtId="14" fontId="7" fillId="15" borderId="80" applyAlignment="1" pivotButton="0" quotePrefix="0" xfId="2">
      <alignment horizontal="center" vertical="center" wrapText="1"/>
    </xf>
    <xf numFmtId="14" fontId="7" fillId="15" borderId="77" applyAlignment="1" pivotButton="0" quotePrefix="0" xfId="2">
      <alignment horizontal="center" vertical="center" wrapText="1"/>
    </xf>
    <xf numFmtId="43" fontId="41" fillId="6" borderId="82" applyAlignment="1" pivotButton="0" quotePrefix="0" xfId="2">
      <alignment horizontal="center" vertical="center"/>
    </xf>
    <xf numFmtId="43" fontId="41" fillId="6" borderId="83" applyAlignment="1" pivotButton="0" quotePrefix="0" xfId="2">
      <alignment horizontal="center" vertical="center"/>
    </xf>
    <xf numFmtId="0" fontId="40" fillId="14" borderId="0" applyAlignment="1" pivotButton="0" quotePrefix="0" xfId="0">
      <alignment horizontal="center" vertical="center" wrapText="1"/>
    </xf>
    <xf numFmtId="0" fontId="40" fillId="14" borderId="0" applyAlignment="1" pivotButton="0" quotePrefix="0" xfId="0">
      <alignment horizontal="center" vertical="center" wrapText="1"/>
    </xf>
    <xf numFmtId="0" fontId="7" fillId="7" borderId="52" applyAlignment="1" pivotButton="0" quotePrefix="0" xfId="0">
      <alignment horizontal="center" vertical="center" wrapText="1"/>
    </xf>
    <xf numFmtId="0" fontId="7" fillId="7" borderId="53" applyAlignment="1" pivotButton="0" quotePrefix="0" xfId="0">
      <alignment horizontal="center" vertical="center" wrapText="1"/>
    </xf>
    <xf numFmtId="0" fontId="2" fillId="0" borderId="30" applyAlignment="1" pivotButton="0" quotePrefix="0" xfId="0">
      <alignment horizontal="left" vertical="center" wrapText="1"/>
    </xf>
    <xf numFmtId="0" fontId="2" fillId="0" borderId="10" applyAlignment="1" pivotButton="0" quotePrefix="0" xfId="0">
      <alignment horizontal="left" vertical="center" wrapText="1"/>
    </xf>
    <xf numFmtId="1" fontId="34" fillId="12" borderId="21" applyAlignment="1" pivotButton="0" quotePrefix="0" xfId="0">
      <alignment horizontal="left" vertical="center"/>
    </xf>
    <xf numFmtId="0" fontId="34" fillId="12" borderId="6" applyAlignment="1" pivotButton="0" quotePrefix="0" xfId="0">
      <alignment horizontal="left" vertical="center"/>
    </xf>
    <xf numFmtId="14" fontId="34" fillId="12" borderId="21" applyAlignment="1" pivotButton="0" quotePrefix="0" xfId="0">
      <alignment horizontal="left" vertical="center"/>
    </xf>
    <xf numFmtId="14" fontId="34" fillId="12" borderId="50" applyAlignment="1" pivotButton="0" quotePrefix="0" xfId="0">
      <alignment horizontal="left" vertical="center"/>
    </xf>
    <xf numFmtId="0" fontId="29" fillId="0" borderId="0" applyAlignment="1" pivotButton="0" quotePrefix="0" xfId="0">
      <alignment horizontal="center"/>
    </xf>
    <xf numFmtId="0" fontId="32" fillId="0" borderId="0" applyAlignment="1" pivotButton="0" quotePrefix="0" xfId="0">
      <alignment horizontal="center"/>
    </xf>
    <xf numFmtId="0" fontId="34" fillId="0" borderId="20" applyAlignment="1" pivotButton="0" quotePrefix="0" xfId="0">
      <alignment horizontal="center" vertical="center"/>
    </xf>
    <xf numFmtId="14" fontId="34" fillId="0" borderId="20" applyAlignment="1" pivotButton="0" quotePrefix="0" xfId="0">
      <alignment horizontal="center" vertical="center"/>
    </xf>
    <xf numFmtId="0" fontId="34" fillId="0" borderId="21" applyAlignment="1" pivotButton="0" quotePrefix="0" xfId="0">
      <alignment horizontal="center" vertical="center"/>
    </xf>
    <xf numFmtId="0" fontId="7" fillId="10" borderId="0" applyAlignment="1" pivotButton="0" quotePrefix="0" xfId="0">
      <alignment horizontal="center" vertical="center"/>
    </xf>
    <xf numFmtId="0" fontId="4" fillId="11" borderId="0" applyAlignment="1" pivotButton="0" quotePrefix="0" xfId="0">
      <alignment horizontal="center"/>
    </xf>
    <xf numFmtId="0" fontId="34" fillId="0" borderId="50" applyAlignment="1" pivotButton="0" quotePrefix="0" xfId="0">
      <alignment horizontal="center" vertical="center"/>
    </xf>
    <xf numFmtId="0" fontId="34" fillId="0" borderId="6" applyAlignment="1" pivotButton="0" quotePrefix="0" xfId="0">
      <alignment horizontal="center" vertical="center"/>
    </xf>
    <xf numFmtId="0" fontId="0" fillId="0" borderId="0" applyProtection="1" pivotButton="0" quotePrefix="0" xfId="0">
      <protection locked="0" hidden="0"/>
    </xf>
    <xf numFmtId="0" fontId="11" fillId="0" borderId="40" applyAlignment="1" applyProtection="1" pivotButton="0" quotePrefix="0" xfId="0">
      <alignment horizontal="center" vertical="center"/>
      <protection locked="0" hidden="0"/>
    </xf>
    <xf numFmtId="0" fontId="0" fillId="0" borderId="2" applyProtection="1" pivotButton="0" quotePrefix="0" xfId="0">
      <protection locked="0" hidden="0"/>
    </xf>
    <xf numFmtId="0" fontId="0" fillId="0" borderId="3" applyProtection="1" pivotButton="0" quotePrefix="0" xfId="0">
      <protection locked="0" hidden="0"/>
    </xf>
    <xf numFmtId="170" fontId="0" fillId="0" borderId="0" pivotButton="0" quotePrefix="0" xfId="0"/>
    <xf numFmtId="0" fontId="0" fillId="0" borderId="4" applyProtection="1" pivotButton="0" quotePrefix="0" xfId="0">
      <protection locked="0" hidden="0"/>
    </xf>
    <xf numFmtId="0" fontId="0" fillId="0" borderId="5"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0" applyProtection="1" pivotButton="0" quotePrefix="0" xfId="0">
      <protection locked="0" hidden="0"/>
    </xf>
    <xf numFmtId="166" fontId="7" fillId="0" borderId="85" applyAlignment="1" applyProtection="1" pivotButton="0" quotePrefix="0" xfId="2">
      <alignment vertical="center"/>
      <protection locked="0" hidden="0"/>
    </xf>
    <xf numFmtId="166" fontId="7" fillId="9" borderId="28" applyAlignment="1" pivotButton="0" quotePrefix="0" xfId="2">
      <alignment horizontal="right" vertical="center"/>
    </xf>
    <xf numFmtId="166" fontId="4" fillId="9" borderId="28" applyAlignment="1" pivotButton="0" quotePrefix="0" xfId="2">
      <alignment vertical="center"/>
    </xf>
    <xf numFmtId="166" fontId="6" fillId="9" borderId="25" applyAlignment="1" pivotButton="0" quotePrefix="0" xfId="2">
      <alignment horizontal="center" vertical="center"/>
    </xf>
    <xf numFmtId="166" fontId="7" fillId="9" borderId="28" applyAlignment="1" pivotButton="0" quotePrefix="0" xfId="2">
      <alignment vertical="center"/>
    </xf>
    <xf numFmtId="166" fontId="63" fillId="9" borderId="28" applyAlignment="1" pivotButton="0" quotePrefix="0" xfId="2">
      <alignment vertical="center"/>
    </xf>
    <xf numFmtId="168" fontId="7" fillId="9" borderId="20" applyAlignment="1" pivotButton="0" quotePrefix="0" xfId="0">
      <alignment horizontal="right" vertical="center"/>
    </xf>
    <xf numFmtId="166" fontId="7" fillId="9" borderId="25" applyAlignment="1" pivotButton="0" quotePrefix="0" xfId="2">
      <alignment vertical="center"/>
    </xf>
    <xf numFmtId="166" fontId="7" fillId="0" borderId="36" applyAlignment="1" pivotButton="0" quotePrefix="0" xfId="2">
      <alignment horizontal="right"/>
    </xf>
    <xf numFmtId="166" fontId="7" fillId="0" borderId="37" applyAlignment="1" pivotButton="0" quotePrefix="0" xfId="2">
      <alignment horizontal="right"/>
    </xf>
    <xf numFmtId="167" fontId="7" fillId="10" borderId="0" applyAlignment="1" pivotButton="0" quotePrefix="0" xfId="0">
      <alignment horizontal="right" vertical="center"/>
    </xf>
    <xf numFmtId="166" fontId="28" fillId="24" borderId="25" applyAlignment="1" pivotButton="0" quotePrefix="0" xfId="2">
      <alignment horizontal="right" vertical="center"/>
    </xf>
    <xf numFmtId="166" fontId="28" fillId="24" borderId="40" applyAlignment="1" pivotButton="0" quotePrefix="0" xfId="2">
      <alignment horizontal="right" vertical="center"/>
    </xf>
    <xf numFmtId="166" fontId="28" fillId="24" borderId="35" applyAlignment="1" pivotButton="0" quotePrefix="0" xfId="2">
      <alignment horizontal="right" vertical="center"/>
    </xf>
    <xf numFmtId="0" fontId="0" fillId="0" borderId="50" pivotButton="0" quotePrefix="0" xfId="0"/>
    <xf numFmtId="0" fontId="0" fillId="0" borderId="6" pivotButton="0" quotePrefix="0" xfId="0"/>
    <xf numFmtId="0" fontId="2" fillId="0" borderId="27" applyAlignment="1" pivotButton="0" quotePrefix="0" xfId="0">
      <alignment horizontal="left" vertical="center" wrapText="1"/>
    </xf>
    <xf numFmtId="0" fontId="0" fillId="0" borderId="10" pivotButton="0" quotePrefix="0" xfId="0"/>
    <xf numFmtId="1" fontId="34" fillId="12" borderId="20" applyAlignment="1" pivotButton="0" quotePrefix="0" xfId="0">
      <alignment horizontal="left" vertical="center"/>
    </xf>
    <xf numFmtId="0" fontId="2" fillId="0" borderId="18" applyAlignment="1" pivotButton="0" quotePrefix="0" xfId="0">
      <alignment horizontal="left" vertical="center" wrapText="1"/>
    </xf>
    <xf numFmtId="0" fontId="0" fillId="0" borderId="51" pivotButton="0" quotePrefix="0" xfId="0"/>
    <xf numFmtId="0" fontId="0" fillId="0" borderId="47" pivotButton="0" quotePrefix="0" xfId="0"/>
    <xf numFmtId="0" fontId="0" fillId="0" borderId="113" pivotButton="0" quotePrefix="0" xfId="0"/>
    <xf numFmtId="43" fontId="41" fillId="6" borderId="54" applyAlignment="1" pivotButton="0" quotePrefix="0" xfId="2">
      <alignment horizontal="center" vertical="center"/>
    </xf>
    <xf numFmtId="0" fontId="0" fillId="0" borderId="83" pivotButton="0" quotePrefix="0" xfId="0"/>
    <xf numFmtId="0" fontId="7" fillId="15" borderId="117" applyAlignment="1" pivotButton="0" quotePrefix="0" xfId="0">
      <alignment horizontal="center" vertical="center" wrapText="1"/>
    </xf>
    <xf numFmtId="1" fontId="7" fillId="15" borderId="120" applyAlignment="1" pivotButton="0" quotePrefix="0" xfId="2">
      <alignment horizontal="center" vertical="center" wrapText="1"/>
    </xf>
    <xf numFmtId="14" fontId="7" fillId="15" borderId="120" applyAlignment="1" pivotButton="0" quotePrefix="0" xfId="2">
      <alignment horizontal="center" vertical="center" wrapText="1"/>
    </xf>
    <xf numFmtId="14" fontId="7" fillId="15" borderId="114" applyAlignment="1" pivotButton="0" quotePrefix="0" xfId="2">
      <alignment horizontal="center" vertical="center" wrapText="1"/>
    </xf>
    <xf numFmtId="166" fontId="61" fillId="16" borderId="56" applyAlignment="1" applyProtection="1" pivotButton="0" quotePrefix="0" xfId="2">
      <alignment vertical="center"/>
      <protection locked="0" hidden="0"/>
    </xf>
    <xf numFmtId="0" fontId="0" fillId="0" borderId="76" pivotButton="0" quotePrefix="0" xfId="0"/>
    <xf numFmtId="0" fontId="0" fillId="0" borderId="77" pivotButton="0" quotePrefix="0" xfId="0"/>
    <xf numFmtId="0" fontId="0" fillId="0" borderId="78" pivotButton="0" quotePrefix="0" xfId="0"/>
    <xf numFmtId="166" fontId="19" fillId="16" borderId="56" applyAlignment="1" applyProtection="1" pivotButton="0" quotePrefix="0" xfId="2">
      <alignment vertical="center"/>
      <protection locked="0" hidden="0"/>
    </xf>
    <xf numFmtId="166" fontId="23" fillId="16" borderId="56" applyAlignment="1" pivotButton="0" quotePrefix="0" xfId="2">
      <alignment vertical="center"/>
    </xf>
    <xf numFmtId="166" fontId="23" fillId="16" borderId="58" applyAlignment="1" pivotButton="0" quotePrefix="0" xfId="2">
      <alignment vertical="center"/>
    </xf>
    <xf numFmtId="166" fontId="61" fillId="16" borderId="84" applyAlignment="1" applyProtection="1" pivotButton="0" quotePrefix="0" xfId="2">
      <alignment vertical="center"/>
      <protection locked="0" hidden="0"/>
    </xf>
    <xf numFmtId="167" fontId="37" fillId="0" borderId="0" applyAlignment="1" pivotButton="0" quotePrefix="0" xfId="0">
      <alignment horizontal="right" vertical="center"/>
    </xf>
    <xf numFmtId="166" fontId="69" fillId="0" borderId="40" applyAlignment="1" pivotButton="0" quotePrefix="0" xfId="2">
      <alignment vertical="center"/>
    </xf>
    <xf numFmtId="166" fontId="69" fillId="0" borderId="40" applyAlignment="1" pivotButton="0" quotePrefix="0" xfId="2">
      <alignment horizontal="center" vertical="center"/>
    </xf>
    <xf numFmtId="171" fontId="2" fillId="0" borderId="0" pivotButton="0" quotePrefix="0" xfId="2"/>
    <xf numFmtId="166" fontId="2" fillId="0" borderId="0" pivotButton="0" quotePrefix="0" xfId="2"/>
    <xf numFmtId="168" fontId="31" fillId="13" borderId="18" applyAlignment="1" applyProtection="1" pivotButton="0" quotePrefix="0" xfId="1">
      <alignment horizontal="left" vertical="center"/>
      <protection locked="1" hidden="1"/>
    </xf>
    <xf numFmtId="166" fontId="73" fillId="0" borderId="0" pivotButton="0" quotePrefix="0" xfId="2"/>
    <xf numFmtId="166" fontId="37" fillId="0" borderId="0" pivotButton="0" quotePrefix="0" xfId="2"/>
    <xf numFmtId="166" fontId="75" fillId="34" borderId="108" applyAlignment="1" applyProtection="1" pivotButton="0" quotePrefix="0" xfId="2">
      <alignment vertical="center" wrapText="1"/>
      <protection locked="0" hidden="0"/>
    </xf>
    <xf numFmtId="166" fontId="75" fillId="34" borderId="109" applyAlignment="1" applyProtection="1" pivotButton="0" quotePrefix="0" xfId="2">
      <alignment vertical="center" wrapText="1"/>
      <protection locked="0" hidden="0"/>
    </xf>
    <xf numFmtId="168" fontId="7" fillId="9" borderId="20" applyAlignment="1" pivotButton="0" quotePrefix="0" xfId="0">
      <alignment horizontal="center" vertical="center"/>
    </xf>
    <xf numFmtId="166" fontId="7" fillId="0" borderId="36" pivotButton="0" quotePrefix="0" xfId="2"/>
    <xf numFmtId="166" fontId="28" fillId="11" borderId="25" applyAlignment="1" pivotButton="0" quotePrefix="0" xfId="2">
      <alignment vertical="center"/>
    </xf>
    <xf numFmtId="166" fontId="28" fillId="11" borderId="40" applyAlignment="1" pivotButton="0" quotePrefix="0" xfId="2">
      <alignment vertical="center"/>
    </xf>
    <xf numFmtId="166" fontId="28" fillId="11" borderId="35" applyAlignment="1" pivotButton="0" quotePrefix="0" xfId="2">
      <alignment horizontal="center" vertical="center"/>
    </xf>
    <xf numFmtId="166" fontId="19" fillId="16" borderId="84" applyAlignment="1" applyProtection="1" pivotButton="0" quotePrefix="0" xfId="2">
      <alignment vertical="center"/>
      <protection locked="0" hidden="0"/>
    </xf>
    <xf numFmtId="166" fontId="44" fillId="0" borderId="40" applyAlignment="1" pivotButton="0" quotePrefix="0" xfId="2">
      <alignment vertical="center"/>
    </xf>
    <xf numFmtId="166" fontId="44" fillId="0" borderId="40" applyAlignment="1" pivotButton="0" quotePrefix="0" xfId="2">
      <alignment horizontal="center" vertical="center"/>
    </xf>
  </cellXfs>
  <cellStyles count="9">
    <cellStyle name="Normal" xfId="0" builtinId="0"/>
    <cellStyle name="Normal_Finansys" xfId="1"/>
    <cellStyle name="Comma" xfId="2" builtinId="3"/>
    <cellStyle name="Percent" xfId="3" builtinId="5"/>
    <cellStyle name="Normal_RedFin" xfId="4"/>
    <cellStyle name="Normal 4" xfId="5"/>
    <cellStyle name="Normal_TC" xfId="6"/>
    <cellStyle name="Normal_DN_InputDB_unprotected" xfId="7"/>
    <cellStyle name="Normal 2" xfId="8"/>
  </cellStyles>
  <dxfs count="2">
    <dxf>
      <font>
        <color rgb="FFFF0000"/>
      </font>
      <fill>
        <patternFill>
          <bgColor indexed="65"/>
        </patternFill>
      </fill>
    </dxf>
    <dxf>
      <font>
        <color rgb="FFFF0000"/>
      </font>
      <fill>
        <patternFill>
          <bgColor indexed="65"/>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Thuy Le Thi (QLRR-QLRRTD DN)</author>
  </authors>
  <commentList>
    <comment ref="B14" authorId="0" shapeId="0">
      <text>
        <t>Số âm</t>
      </text>
    </comment>
    <comment ref="B26" authorId="0" shapeId="0">
      <text>
        <t xml:space="preserve">Số âm
</t>
      </text>
    </comment>
  </commentList>
</comments>
</file>

<file path=xl/comments/comment2.xml><?xml version="1.0" encoding="utf-8"?>
<comments xmlns="http://schemas.openxmlformats.org/spreadsheetml/2006/main">
  <authors>
    <author>thinpt1</author>
    <author>Thuy Le Thi (QLRR-QLRRTD DN)</author>
    <author>msbstaff</author>
  </authors>
  <commentList>
    <comment ref="H2" authorId="0" shapeId="0">
      <text>
        <t>thinpt1:
Để nhập nhanh, Anh/Chị - sử dụng file XML của KH, copy ra file excel toàn bộ BCTC,
- Repalce all "." để chuyển sang định dạng số
- copy vào bảng này;
- Các dòng lệch sẽ báo False, Anh/Chị tích vào công thức để kiểm tra</t>
      </text>
    </comment>
    <comment ref="B17" authorId="1" shapeId="0">
      <text>
        <t>Số âm</t>
      </text>
    </comment>
    <comment ref="B24" authorId="1" shapeId="0">
      <text>
        <t xml:space="preserve">Số âm
</t>
      </text>
    </comment>
    <comment ref="B27" authorId="1" shapeId="0">
      <text>
        <t xml:space="preserve">Số âm
</t>
      </text>
    </comment>
    <comment ref="B30" authorId="1" shapeId="0">
      <text>
        <t xml:space="preserve">Số âm
</t>
      </text>
    </comment>
    <comment ref="B33" authorId="1" shapeId="0">
      <text>
        <t xml:space="preserve">Số âm
</t>
      </text>
    </comment>
    <comment ref="B80" authorId="2" shapeId="0">
      <text>
        <t>đối với công ty cổ phần</t>
      </text>
    </comment>
  </commentList>
</comments>
</file>

<file path=xl/comments/comment3.xml><?xml version="1.0" encoding="utf-8"?>
<comments xmlns="http://schemas.openxmlformats.org/spreadsheetml/2006/main">
  <authors>
    <author>Thuy Le Thi (QLRR-QLRRTD DN)</author>
    <author>msbstaff</author>
  </authors>
  <commentList>
    <comment ref="B17" authorId="0" shapeId="0">
      <text>
        <t>Số âm</t>
      </text>
    </comment>
    <comment ref="B24" authorId="0" shapeId="0">
      <text>
        <t xml:space="preserve">Số âm
</t>
      </text>
    </comment>
    <comment ref="B27" authorId="0" shapeId="0">
      <text>
        <t xml:space="preserve">Số âm
</t>
      </text>
    </comment>
    <comment ref="B30" authorId="0" shapeId="0">
      <text>
        <t xml:space="preserve">Số âm
</t>
      </text>
    </comment>
    <comment ref="B33" authorId="0" shapeId="0">
      <text>
        <t xml:space="preserve">Số âm
</t>
      </text>
    </comment>
    <comment ref="B93" authorId="1" shapeId="0">
      <text>
        <t>đối với công ty cổ phần</t>
      </text>
    </comment>
  </commentList>
</comments>
</file>

<file path=xl/comments/comment4.xml><?xml version="1.0" encoding="utf-8"?>
<comments xmlns="http://schemas.openxmlformats.org/spreadsheetml/2006/main">
  <authors>
    <author>MinhLTT</author>
    <author>Thuy Le Thi (QLRR-QLRRTD DN)</author>
    <author>linhntm4</author>
    <author>thuylc</author>
  </authors>
  <commentList>
    <comment ref="G7" authorId="0" shapeId="0">
      <text>
        <t>Trường hợp thời điểm tài chính gần nhất trùng với năm tài chinh: CBTD hide và không sử dụng cột thông tin này</t>
      </text>
    </comment>
    <comment ref="J7" authorId="0" shapeId="0">
      <text>
        <t>- Chỉ phân tích những nội dung có ý nghĩa cảnh báo rủi ro. Ví dụ: phân tích mục các khoản phải thu khách hàng có bao nhiêu là phải thu khó đòi …
- Không phân tích số liệu mang tính kỹ thuật. VD: doanh thu năm nay là …, tăng ...% so với năm trước ...</t>
      </text>
    </comment>
    <comment ref="J8" authorId="0" shapeId="0">
      <text>
        <t>Nội dung phân tích có thể nhập trực tiếp vào từng ô, merge các ô hoặc insert comment.</t>
      </text>
    </comment>
    <comment ref="A15" authorId="1" shapeId="0">
      <text>
        <t>Số âm</t>
      </text>
    </comment>
    <comment ref="A22" authorId="1" shapeId="0">
      <text>
        <t xml:space="preserve">Số âm
</t>
      </text>
    </comment>
    <comment ref="A25" authorId="1" shapeId="0">
      <text>
        <t xml:space="preserve">Số âm
</t>
      </text>
    </comment>
    <comment ref="A28" authorId="1" shapeId="0">
      <text>
        <t xml:space="preserve">Số âm
</t>
      </text>
    </comment>
    <comment ref="A31" authorId="1" shapeId="0">
      <text>
        <t xml:space="preserve">Số âm
</t>
      </text>
    </comment>
    <comment ref="A80" authorId="0" shapeId="0">
      <text>
        <t>Nếu không sử dụng, thì hide các thông tin này</t>
      </text>
    </comment>
    <comment ref="J82" authorId="2" shapeId="0">
      <text>
        <t>linhntm4:
CA có thể điều chỉnh các thông tin trong vùng màu xanh. Phải nhập theo đơn vị Triệu đồng</t>
      </text>
    </comment>
    <comment ref="D252" authorId="3" shapeId="0">
      <text>
        <t xml:space="preserve">thuylc:
số liệu năm tài chính gần nhất, 
Số liệu chỉ mang tính chất tham khảo
</t>
      </text>
    </comment>
  </commentList>
</comments>
</file>

<file path=xl/comments/comment5.xml><?xml version="1.0" encoding="utf-8"?>
<comments xmlns="http://schemas.openxmlformats.org/spreadsheetml/2006/main">
  <authors>
    <author>thinpt1</author>
    <author>msbstaff</author>
  </authors>
  <commentList>
    <comment ref="H2" authorId="0" shapeId="0">
      <text>
        <t>thinpt1:
Để nhập nhanh, Anh/Chị - sử dụng file XML của KH, copy ra file excel toàn bộ BCTC,
- Repalce all "." để chuyển sang định dạng số
- copy vào bảng này;
- Các dòng lệch sẽ báo False, Anh/Chị tích vào công thức để kiểm tra</t>
      </text>
    </comment>
    <comment ref="B5" authorId="0" shapeId="0">
      <text>
        <t>Các TH KH báo cáo theo TT 133. thông tin nợ vay dựa theo CIC, hoặc HĐTD, hoặc phỏng vấn... 
Điền số liệu theo chi tiết NH và DH tại bảng thuyết minh BCTC, chi tiết Kh gửi (nếu có). Nếu không chia tách được NH và DH thì điền thông tin vào cột NH</t>
      </text>
    </comment>
    <comment ref="B17" authorId="0" shapeId="0">
      <text>
        <t>Ứng với khoản 110 theo TT 133</t>
      </text>
    </comment>
    <comment ref="B20" authorId="0" shapeId="0">
      <text>
        <t>Ứng với 121 
theo TT 133</t>
      </text>
    </comment>
    <comment ref="B22" authorId="1" shapeId="0">
      <text>
        <t>số âm</t>
      </text>
    </comment>
    <comment ref="B27" authorId="0" shapeId="0">
      <text>
        <t>Ứng với 133 theo TT 133</t>
      </text>
    </comment>
    <comment ref="B30" authorId="1" shapeId="0">
      <text>
        <t>số âm</t>
      </text>
    </comment>
    <comment ref="B41" authorId="1" shapeId="0">
      <text>
        <t>số âm</t>
      </text>
    </comment>
    <comment ref="B45" authorId="0" shapeId="0">
      <text>
        <t>Ứng với 181 theo TT 133</t>
      </text>
    </comment>
    <comment ref="B48" authorId="0" shapeId="0">
      <text>
        <t>Ứng với 182 theo TT 133</t>
      </text>
    </comment>
    <comment ref="B55" authorId="1" shapeId="0">
      <text>
        <t>số âm</t>
      </text>
    </comment>
    <comment ref="B59" authorId="1" shapeId="0">
      <text>
        <t>số âm</t>
      </text>
    </comment>
    <comment ref="B62" authorId="1" shapeId="0">
      <text>
        <t>số âm</t>
      </text>
    </comment>
    <comment ref="B65" authorId="1" shapeId="0">
      <text>
        <t>số âm</t>
      </text>
    </comment>
    <comment ref="B66" authorId="0" shapeId="0">
      <text>
        <t>Ứng với 170 theo TT 133</t>
      </text>
    </comment>
    <comment ref="B69" authorId="1" shapeId="0">
      <text>
        <t>số âm'</t>
      </text>
    </comment>
    <comment ref="B74" authorId="1" shapeId="0">
      <text>
        <t>số âm</t>
      </text>
    </comment>
    <comment ref="B86" authorId="0" shapeId="0">
      <text>
        <t>Tách vay và nợ NH và DH theo CIC, thuyết minh hoặc Phỏng vấn nếu có thông tin</t>
      </text>
    </comment>
    <comment ref="B93" authorId="0" shapeId="0">
      <text>
        <t>Ứng với 317 theo TT 133</t>
      </text>
    </comment>
    <comment ref="B108" authorId="0" shapeId="0">
      <text>
        <t>Ứng với 318 theo TT 133</t>
      </text>
    </comment>
    <comment ref="B110" authorId="0" shapeId="0">
      <text>
        <t>Ứng với 320 trên TT 133</t>
      </text>
    </comment>
    <comment ref="B155" authorId="1" shapeId="0">
      <text>
        <t>đối với công ty cổ phần</t>
      </text>
    </comment>
  </commentList>
</comments>
</file>

<file path=xl/comments/comment6.xml><?xml version="1.0" encoding="utf-8"?>
<comments xmlns="http://schemas.openxmlformats.org/spreadsheetml/2006/main">
  <authors>
    <author>msbstaff</author>
  </authors>
  <commentList>
    <comment ref="B22" authorId="0" shapeId="0">
      <text>
        <t>số âm</t>
      </text>
    </comment>
    <comment ref="B30" authorId="0" shapeId="0">
      <text>
        <t>số âm</t>
      </text>
    </comment>
    <comment ref="B41" authorId="0" shapeId="0">
      <text>
        <t>số âm</t>
      </text>
    </comment>
    <comment ref="B55" authorId="0" shapeId="0">
      <text>
        <t>số âm</t>
      </text>
    </comment>
    <comment ref="B59" authorId="0" shapeId="0">
      <text>
        <t>số âm</t>
      </text>
    </comment>
    <comment ref="B62" authorId="0" shapeId="0">
      <text>
        <t>số âm</t>
      </text>
    </comment>
    <comment ref="B65" authorId="0" shapeId="0">
      <text>
        <t>số âm</t>
      </text>
    </comment>
    <comment ref="B69" authorId="0" shapeId="0">
      <text>
        <t>số âm</t>
      </text>
    </comment>
    <comment ref="B74" authorId="0" shapeId="0">
      <text>
        <t>số âm</t>
      </text>
    </comment>
    <comment ref="B168" authorId="0" shapeId="0">
      <text>
        <t>đối với công ty cổ phần</t>
      </text>
    </comment>
  </commentList>
</comments>
</file>

<file path=xl/comments/comment7.xml><?xml version="1.0" encoding="utf-8"?>
<comments xmlns="http://schemas.openxmlformats.org/spreadsheetml/2006/main">
  <authors>
    <author>MinhLTT</author>
    <author>linhntm4</author>
    <author>Windows User</author>
    <author>thuylc</author>
  </authors>
  <commentList>
    <comment ref="G7" authorId="0" shapeId="0">
      <text>
        <t>Trường hợp thời điểm tài chính gần nhất trùng với năm tài chinh: CBTD hide và không sử dụng cột thông tin này</t>
      </text>
    </comment>
    <comment ref="J7" authorId="0" shapeId="0">
      <text>
        <t>- Chỉ phân tích những nội dung có ý nghĩa cảnh báo rủi ro. Ví dụ: phân tích mục các khoản phải thu khách hàng có bao nhiêu là phải thu khó đòi …
- Không phân tích số liệu mang tính kỹ thuật. VD: doanh thu năm nay là …, tăng ...% so với năm trước ...</t>
      </text>
    </comment>
    <comment ref="J8" authorId="0" shapeId="0">
      <text>
        <t>Nội dung phân tích có thể nhập trực tiếp vào từng ô, merge các ô hoặc insert comment.</t>
      </text>
    </comment>
    <comment ref="A155" authorId="0" shapeId="0">
      <text>
        <t>Nếu không sử dụng, thì hide các thông tin này</t>
      </text>
    </comment>
    <comment ref="J157" authorId="1" shapeId="0">
      <text>
        <t>linhntm4:
CA có thể điều chỉnh các thông tin trong vùng màu xanh. Phải nhập theo đơn vị Triệu đồng</t>
      </text>
    </comment>
    <comment ref="A165" authorId="2" shapeId="0">
      <text>
        <t xml:space="preserve">Windows User:
</t>
      </text>
    </comment>
    <comment ref="D328" authorId="3" shapeId="0">
      <text>
        <t xml:space="preserve">thuylc:
số liệu năm tài chính gần nhất, 
Số liệu chỉ mang tính chất tham khảo
</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161924</colOff>
      <row>0</row>
      <rowOff>66674</rowOff>
    </from>
    <to>
      <col>0</col>
      <colOff>1600199</colOff>
      <row>2</row>
      <rowOff>152399</rowOff>
    </to>
    <pic>
      <nvPicPr>
        <cNvPr id="3" name="Picture 2"/>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61924" y="66674"/>
          <a:ext cx="1438275" cy="485775"/>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drawings/drawing2.xml><?xml version="1.0" encoding="utf-8"?>
<wsDr xmlns="http://schemas.openxmlformats.org/drawingml/2006/spreadsheetDrawing">
  <twoCellAnchor editAs="oneCell">
    <from>
      <col>0</col>
      <colOff>161924</colOff>
      <row>0</row>
      <rowOff>66674</rowOff>
    </from>
    <to>
      <col>0</col>
      <colOff>1600199</colOff>
      <row>2</row>
      <rowOff>152399</rowOff>
    </to>
    <pic>
      <nvPicPr>
        <cNvPr id="2" name="Picture 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61924" y="66674"/>
          <a:ext cx="1438275" cy="479425"/>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externalLinks/_rels/externalLink1.xml.rels><Relationships xmlns="http://schemas.openxmlformats.org/package/2006/relationships"><Relationship Type="http://schemas.openxmlformats.org/officeDocument/2006/relationships/externalLinkPath" Target="file:///C:\Users\phuongttb7\Downloads\CSS\BCTC\Template%20BCTC%20SME_20230213_unlock.xls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Financial_Report1"/>
      <sheetName val="Droplist"/>
      <sheetName val="0. Huong dan"/>
      <sheetName val="06. Phan tich tai chinh"/>
      <sheetName val="01. Thong tin chung"/>
      <sheetName val="02. Nhap lieu tai chinh"/>
      <sheetName val="03. Du lieu tai chinh lam sach"/>
      <sheetName val="05. Ke hoach kinh doanh"/>
      <sheetName val="Financial_Report"/>
      <sheetName val="Template BCTC SME_20230213_unlo"/>
    </sheetNames>
    <definedNames>
      <definedName name="Next_BCTC"/>
      <definedName name="Next_TTC"/>
    </definedNames>
    <sheetDataSet>
      <sheetData sheetId="0"/>
      <sheetData sheetId="1"/>
      <sheetData sheetId="2"/>
      <sheetData sheetId="3"/>
      <sheetData sheetId="4">
        <row r="3">
          <cell r="B3" t="str">
            <v>31321</v>
          </cell>
        </row>
        <row r="6">
          <cell r="B6" t="str">
            <v>VND</v>
          </cell>
        </row>
      </sheetData>
      <sheetData sheetId="5"/>
      <sheetData sheetId="6">
        <row r="2">
          <cell r="G2" t="str">
            <v>VND</v>
          </cell>
        </row>
      </sheetData>
      <sheetData sheetId="7">
        <row r="4">
          <cell r="B4">
            <v>0</v>
          </cell>
        </row>
      </sheetData>
      <sheetData sheetId="8"/>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codeName="Sheet11">
    <outlinePr summaryBelow="1" summaryRight="1"/>
    <pageSetUpPr/>
  </sheetPr>
  <dimension ref="A1:I335"/>
  <sheetViews>
    <sheetView zoomScale="85" zoomScaleNormal="85" workbookViewId="0">
      <pane ySplit="1" topLeftCell="A2" activePane="bottomLeft" state="frozen"/>
      <selection pane="bottomLeft" activeCell="A1" sqref="A1:XFD1048576"/>
    </sheetView>
  </sheetViews>
  <sheetFormatPr baseColWidth="8" defaultRowHeight="15"/>
  <cols>
    <col width="9.140625" customWidth="1" style="770" min="1" max="1"/>
    <col width="43.28515625" customWidth="1" style="782" min="2" max="2"/>
    <col width="30" customWidth="1" style="783" min="3" max="5"/>
    <col width="30" customWidth="1" style="782" min="6" max="6"/>
  </cols>
  <sheetData>
    <row r="1">
      <c r="A1" s="785" t="inlineStr">
        <is>
          <t>code</t>
        </is>
      </c>
      <c r="B1" s="785" t="inlineStr">
        <is>
          <t>name</t>
        </is>
      </c>
      <c r="C1" s="786">
        <f>D1-1</f>
        <v/>
      </c>
      <c r="D1" s="786">
        <f>E1-1</f>
        <v/>
      </c>
      <c r="E1" s="786">
        <f>'01. Thong tin chung'!B7</f>
        <v/>
      </c>
      <c r="F1" s="787">
        <f>'01. Thong tin chung'!B8</f>
        <v/>
      </c>
      <c r="G1" s="388" t="n"/>
    </row>
    <row r="2">
      <c r="A2" s="795" t="inlineStr">
        <is>
          <t>BS001</t>
        </is>
      </c>
      <c r="B2" s="795" t="inlineStr">
        <is>
          <t>TỔNG TÀI SẢN</t>
        </is>
      </c>
      <c r="C2" s="789">
        <f>IF('01. Thong tin chung'!$B$9="Đầy đủ", IF(ISBLANK('06. Phan tich tai chinh_DD'!B9),0,'06. Phan tich tai chinh_DD'!B9),IF(ISBLANK('06. Phan tich tai chinh_RG'!B9),0,'06. Phan tich tai chinh_RG'!B9))</f>
        <v/>
      </c>
      <c r="D2" s="789">
        <f>IF('01. Thong tin chung'!$B$9="Đầy đủ", IF(ISBLANK('06. Phan tich tai chinh_DD'!C9),0,'06. Phan tich tai chinh_DD'!C9),IF(ISBLANK('06. Phan tich tai chinh_RG'!C9),0,'06. Phan tich tai chinh_RG'!C9))</f>
        <v/>
      </c>
      <c r="E2" s="789">
        <f>IF('01. Thong tin chung'!$B$9="Đầy đủ", IF(ISBLANK('06. Phan tich tai chinh_DD'!D9),0,'06. Phan tich tai chinh_DD'!D9),IF(ISBLANK('06. Phan tich tai chinh_RG'!D9),0,'06. Phan tich tai chinh_RG'!D9))</f>
        <v/>
      </c>
      <c r="F2" s="789">
        <f>IF('01. Thong tin chung'!$B$9="Đầy đủ", IF(ISBLANK('06. Phan tich tai chinh_DD'!G9),0,'06. Phan tich tai chinh_DD'!G9),IF(ISBLANK('06. Phan tich tai chinh_RG'!G9),0,'06. Phan tich tai chinh_RG'!G9))</f>
        <v/>
      </c>
      <c r="G2" s="388" t="n"/>
    </row>
    <row r="3">
      <c r="A3" s="795" t="inlineStr">
        <is>
          <t>BS002</t>
        </is>
      </c>
      <c r="B3" s="795" t="inlineStr">
        <is>
          <t>A. Tài sản ngắn hạn</t>
        </is>
      </c>
      <c r="C3" s="789">
        <f>IF('01. Thong tin chung'!$B$9="Đầy đủ",'06. Phan tich tai chinh_DD'!B10,-99999)</f>
        <v/>
      </c>
      <c r="D3" s="789">
        <f>IF('01. Thong tin chung'!$B$9="Đầy đủ",'06. Phan tich tai chinh_DD'!C10,-99999)</f>
        <v/>
      </c>
      <c r="E3" s="789">
        <f>IF('01. Thong tin chung'!$B$9="Đầy đủ",'06. Phan tich tai chinh_DD'!D10,-99999)</f>
        <v/>
      </c>
      <c r="F3" s="789">
        <f>IF('01. Thong tin chung'!$B$9="Đầy đủ",'06. Phan tich tai chinh_DD'!G10,-99999)</f>
        <v/>
      </c>
      <c r="G3" s="388" t="n"/>
    </row>
    <row r="4">
      <c r="A4" s="795" t="inlineStr">
        <is>
          <t>BS003</t>
        </is>
      </c>
      <c r="B4" s="795" t="inlineStr">
        <is>
          <t>I. Tiền và các khoản tương đương tiền</t>
        </is>
      </c>
      <c r="C4" s="789">
        <f>IF('01. Thong tin chung'!$B$9="Đầy đủ", IF(ISBLANK('06. Phan tich tai chinh_DD'!B11),0,'06. Phan tich tai chinh_DD'!B11),IF(ISBLANK('06. Phan tich tai chinh_RG'!B10),0,'06. Phan tich tai chinh_RG'!B10))</f>
        <v/>
      </c>
      <c r="D4" s="789">
        <f>IF('01. Thong tin chung'!$B$9="Đầy đủ", IF(ISBLANK('06. Phan tich tai chinh_DD'!C11),0,'06. Phan tich tai chinh_DD'!C11),IF(ISBLANK('06. Phan tich tai chinh_RG'!C10),0,'06. Phan tich tai chinh_RG'!C10))</f>
        <v/>
      </c>
      <c r="E4" s="789">
        <f>IF('01. Thong tin chung'!$B$9="Đầy đủ", IF(ISBLANK('06. Phan tich tai chinh_DD'!D11),0,'06. Phan tich tai chinh_DD'!D11),IF(ISBLANK('06. Phan tich tai chinh_RG'!D10),0,'06. Phan tich tai chinh_RG'!D10))</f>
        <v/>
      </c>
      <c r="F4" s="789">
        <f>IF('01. Thong tin chung'!$B$9="Đầy đủ", IF(ISBLANK('06. Phan tich tai chinh_DD'!G11),0,'06. Phan tich tai chinh_DD'!G11),IF(ISBLANK('06. Phan tich tai chinh_RG'!G10),0,'06. Phan tich tai chinh_RG'!G10))</f>
        <v/>
      </c>
      <c r="G4" s="388" t="n"/>
    </row>
    <row r="5">
      <c r="A5" s="796" t="inlineStr">
        <is>
          <t>BS022</t>
        </is>
      </c>
      <c r="B5" s="796" t="inlineStr">
        <is>
          <t>1. Tiền mặt</t>
        </is>
      </c>
      <c r="C5" s="789">
        <f>IF('01. Thong tin chung'!$B$9="Đầy đủ",'06. Phan tich tai chinh_DD'!B12,-99999)</f>
        <v/>
      </c>
      <c r="D5" s="789">
        <f>IF('01. Thong tin chung'!$B$9="Đầy đủ",'06. Phan tich tai chinh_DD'!C12,-99999)</f>
        <v/>
      </c>
      <c r="E5" s="789">
        <f>IF('01. Thong tin chung'!$B$9="Đầy đủ",'06. Phan tich tai chinh_DD'!D12,-99999)</f>
        <v/>
      </c>
      <c r="F5" s="789">
        <f>IF('01. Thong tin chung'!$B$9="Đầy đủ",'06. Phan tich tai chinh_DD'!G12,-99999)</f>
        <v/>
      </c>
      <c r="G5" s="388" t="n"/>
    </row>
    <row r="6">
      <c r="A6" s="796" t="inlineStr">
        <is>
          <t>BS023</t>
        </is>
      </c>
      <c r="B6" s="796" t="inlineStr">
        <is>
          <t>2. Tiền gửi ngân hàng</t>
        </is>
      </c>
      <c r="C6" s="789">
        <f>IF('01. Thong tin chung'!$B$9="Đầy đủ",'06. Phan tich tai chinh_DD'!B13,-99999)</f>
        <v/>
      </c>
      <c r="D6" s="789">
        <f>IF('01. Thong tin chung'!$B$9="Đầy đủ",'06. Phan tich tai chinh_DD'!C13,-99999)</f>
        <v/>
      </c>
      <c r="E6" s="789">
        <f>IF('01. Thong tin chung'!$B$9="Đầy đủ",'06. Phan tich tai chinh_DD'!D13,-99999)</f>
        <v/>
      </c>
      <c r="F6" s="789">
        <f>IF('01. Thong tin chung'!$B$9="Đầy đủ",'06. Phan tich tai chinh_DD'!G13,-99999)</f>
        <v/>
      </c>
      <c r="G6" s="388" t="n"/>
    </row>
    <row r="7">
      <c r="A7" s="796" t="inlineStr">
        <is>
          <t>BS024</t>
        </is>
      </c>
      <c r="B7" s="796" t="inlineStr">
        <is>
          <t>3. Tiền đang chuyển</t>
        </is>
      </c>
      <c r="C7" s="789">
        <f>IF('01. Thong tin chung'!$B$9="Đầy đủ",'06. Phan tich tai chinh_DD'!B14,-99999)</f>
        <v/>
      </c>
      <c r="D7" s="789">
        <f>IF('01. Thong tin chung'!$B$9="Đầy đủ",'06. Phan tich tai chinh_DD'!C14,-99999)</f>
        <v/>
      </c>
      <c r="E7" s="789">
        <f>IF('01. Thong tin chung'!$B$9="Đầy đủ",'06. Phan tich tai chinh_DD'!D14,-99999)</f>
        <v/>
      </c>
      <c r="F7" s="789">
        <f>IF('01. Thong tin chung'!$B$9="Đầy đủ",'06. Phan tich tai chinh_DD'!G14,-99999)</f>
        <v/>
      </c>
      <c r="G7" s="388" t="n"/>
    </row>
    <row r="8">
      <c r="A8" s="796" t="inlineStr">
        <is>
          <t>BS025</t>
        </is>
      </c>
      <c r="B8" s="796" t="inlineStr">
        <is>
          <t>4. Tiền (trong trường hợp Báo cáo không có 3 thông tin trên)</t>
        </is>
      </c>
      <c r="C8" s="789">
        <f>IF('01. Thong tin chung'!$B$9="Đầy đủ",'06. Phan tich tai chinh_DD'!B15,-99999)</f>
        <v/>
      </c>
      <c r="D8" s="789">
        <f>IF('01. Thong tin chung'!$B$9="Đầy đủ",'06. Phan tich tai chinh_DD'!C15,-99999)</f>
        <v/>
      </c>
      <c r="E8" s="789">
        <f>IF('01. Thong tin chung'!$B$9="Đầy đủ",'06. Phan tich tai chinh_DD'!D15,-99999)</f>
        <v/>
      </c>
      <c r="F8" s="789">
        <f>IF('01. Thong tin chung'!$B$9="Đầy đủ",'06. Phan tich tai chinh_DD'!G15,-99999)</f>
        <v/>
      </c>
      <c r="G8" s="388" t="n"/>
    </row>
    <row r="9">
      <c r="A9" s="796" t="inlineStr">
        <is>
          <t>BS026</t>
        </is>
      </c>
      <c r="B9" s="796" t="inlineStr">
        <is>
          <t>5. Các khoản tương đương tiền</t>
        </is>
      </c>
      <c r="C9" s="789">
        <f>IF('01. Thong tin chung'!$B$9="Đầy đủ",'06. Phan tich tai chinh_DD'!B16,-99999)</f>
        <v/>
      </c>
      <c r="D9" s="789">
        <f>IF('01. Thong tin chung'!$B$9="Đầy đủ",'06. Phan tich tai chinh_DD'!C16,-99999)</f>
        <v/>
      </c>
      <c r="E9" s="789">
        <f>IF('01. Thong tin chung'!$B$9="Đầy đủ",'06. Phan tich tai chinh_DD'!D16,-99999)</f>
        <v/>
      </c>
      <c r="F9" s="789">
        <f>IF('01. Thong tin chung'!$B$9="Đầy đủ",'06. Phan tich tai chinh_DD'!G16,-99999)</f>
        <v/>
      </c>
      <c r="G9" s="388" t="n"/>
    </row>
    <row r="10">
      <c r="A10" s="797" t="inlineStr">
        <is>
          <t>BS119</t>
        </is>
      </c>
      <c r="B10" s="797" t="inlineStr">
        <is>
          <t>II. Đầu tư tài chính</t>
        </is>
      </c>
      <c r="C10" s="789">
        <f>IF('01. Thong tin chung'!$B$9="Rút gọn",'06. Phan tich tai chinh_RG'!B11,-99999)</f>
        <v/>
      </c>
      <c r="D10" s="789">
        <f>IF('01. Thong tin chung'!$B$9="Rút gọn",'06. Phan tich tai chinh_RG'!C11,-99999)</f>
        <v/>
      </c>
      <c r="E10" s="789">
        <f>IF('01. Thong tin chung'!$B$9="Rút gọn",'06. Phan tich tai chinh_RG'!D11,-99999)</f>
        <v/>
      </c>
      <c r="F10" s="789">
        <f>IF('01. Thong tin chung'!$B$9="Rút gọn",'06. Phan tich tai chinh_RG'!G11,-99999)</f>
        <v/>
      </c>
      <c r="G10" s="388" t="n"/>
    </row>
    <row r="11">
      <c r="A11" s="796" t="inlineStr">
        <is>
          <t>BS120</t>
        </is>
      </c>
      <c r="B11" s="796" t="inlineStr">
        <is>
          <t>1. Chứng khoán kinh doanh</t>
        </is>
      </c>
      <c r="C11" s="789">
        <f>IF('01. Thong tin chung'!$B$9="Rút gọn",'06. Phan tich tai chinh_RG'!B12,-99999)</f>
        <v/>
      </c>
      <c r="D11" s="789">
        <f>IF('01. Thong tin chung'!$B$9="Rút gọn",'06. Phan tich tai chinh_RG'!C12,-99999)</f>
        <v/>
      </c>
      <c r="E11" s="789">
        <f>IF('01. Thong tin chung'!$B$9="Rút gọn",'06. Phan tich tai chinh_RG'!D12,-99999)</f>
        <v/>
      </c>
      <c r="F11" s="789">
        <f>IF('01. Thong tin chung'!$B$9="Rút gọn",'06. Phan tich tai chinh_RG'!G12,-99999)</f>
        <v/>
      </c>
      <c r="G11" s="388" t="n"/>
    </row>
    <row r="12">
      <c r="A12" s="796" t="inlineStr">
        <is>
          <t>BS121</t>
        </is>
      </c>
      <c r="B12" s="796" t="inlineStr">
        <is>
          <t>2. Đầu tư nắm giữ đến ngày đáo hạn</t>
        </is>
      </c>
      <c r="C12" s="789">
        <f>IF('01. Thong tin chung'!$B$9="Rút gọn",'06. Phan tich tai chinh_RG'!B13,-99999)</f>
        <v/>
      </c>
      <c r="D12" s="789">
        <f>IF('01. Thong tin chung'!$B$9="Rút gọn",'06. Phan tich tai chinh_RG'!C13,-99999)</f>
        <v/>
      </c>
      <c r="E12" s="789">
        <f>IF('01. Thong tin chung'!$B$9="Rút gọn",'06. Phan tich tai chinh_RG'!D13,-99999)</f>
        <v/>
      </c>
      <c r="F12" s="789">
        <f>IF('01. Thong tin chung'!$B$9="Rút gọn",'06. Phan tich tai chinh_RG'!G13,-99999)</f>
        <v/>
      </c>
      <c r="G12" s="388" t="n"/>
    </row>
    <row r="13">
      <c r="A13" s="796" t="inlineStr">
        <is>
          <t>BS122</t>
        </is>
      </c>
      <c r="B13" s="796" t="inlineStr">
        <is>
          <t>3. Đầu tư góp vốn vào đơn vị khác</t>
        </is>
      </c>
      <c r="C13" s="789">
        <f>IF('01. Thong tin chung'!$B$9="Rút gọn",'06. Phan tich tai chinh_RG'!B14,-99999)</f>
        <v/>
      </c>
      <c r="D13" s="789">
        <f>IF('01. Thong tin chung'!$B$9="Rút gọn",'06. Phan tich tai chinh_RG'!C14,-99999)</f>
        <v/>
      </c>
      <c r="E13" s="789">
        <f>IF('01. Thong tin chung'!$B$9="Rút gọn",'06. Phan tich tai chinh_RG'!D14,-99999)</f>
        <v/>
      </c>
      <c r="F13" s="789">
        <f>IF('01. Thong tin chung'!$B$9="Rút gọn",'06. Phan tich tai chinh_RG'!G14,-99999)</f>
        <v/>
      </c>
      <c r="G13" s="388" t="n"/>
    </row>
    <row r="14" ht="15.95" customHeight="1" s="782">
      <c r="A14" s="796" t="inlineStr">
        <is>
          <t>BS123</t>
        </is>
      </c>
      <c r="B14" s="796" t="inlineStr">
        <is>
          <t>4. Dự phòng tổn thất đầu tư tài chính (*)</t>
        </is>
      </c>
      <c r="C14" s="789">
        <f>IF('01. Thong tin chung'!$B$9="Rút gọn",'06. Phan tich tai chinh_RG'!B15,-99999)</f>
        <v/>
      </c>
      <c r="D14" s="789">
        <f>IF('01. Thong tin chung'!$B$9="Rút gọn",'06. Phan tich tai chinh_RG'!C15,-99999)</f>
        <v/>
      </c>
      <c r="E14" s="789">
        <f>IF('01. Thong tin chung'!$B$9="Rút gọn",'06. Phan tich tai chinh_RG'!D15,-99999)</f>
        <v/>
      </c>
      <c r="F14" s="789">
        <f>IF('01. Thong tin chung'!$B$9="Rút gọn",'06. Phan tich tai chinh_RG'!G15,-99999)</f>
        <v/>
      </c>
      <c r="G14" s="388" t="n"/>
    </row>
    <row r="15">
      <c r="A15" s="795" t="inlineStr">
        <is>
          <t>BS004</t>
        </is>
      </c>
      <c r="B15" s="795" t="inlineStr">
        <is>
          <t>II. Các khoản đầu tư tài chính ngắn hạn</t>
        </is>
      </c>
      <c r="C15" s="789">
        <f>IF('01. Thong tin chung'!$B$9="Đầy đủ",'06. Phan tich tai chinh_DD'!B17,-99999)</f>
        <v/>
      </c>
      <c r="D15" s="789">
        <f>IF('01. Thong tin chung'!$B$9="Đầy đủ",'06. Phan tich tai chinh_DD'!C17,-99999)</f>
        <v/>
      </c>
      <c r="E15" s="789">
        <f>IF('01. Thong tin chung'!$B$9="Đầy đủ",'06. Phan tich tai chinh_DD'!D17,-99999)</f>
        <v/>
      </c>
      <c r="F15" s="789">
        <f>IF('01. Thong tin chung'!$B$9="Đầy đủ",'06. Phan tich tai chinh_DD'!G17,-99999)</f>
        <v/>
      </c>
      <c r="G15" s="388" t="n"/>
    </row>
    <row r="16">
      <c r="A16" s="796" t="inlineStr">
        <is>
          <t>BS027</t>
        </is>
      </c>
      <c r="B16" s="796" t="inlineStr">
        <is>
          <t>1. Chứng khoán đầu tư ngắn hạn</t>
        </is>
      </c>
      <c r="C16" s="789">
        <f>IF('01. Thong tin chung'!$B$9="Đầy đủ",'06. Phan tich tai chinh_DD'!B18,-99999)</f>
        <v/>
      </c>
      <c r="D16" s="789">
        <f>IF('01. Thong tin chung'!$B$9="Đầy đủ",'06. Phan tich tai chinh_DD'!C18,-99999)</f>
        <v/>
      </c>
      <c r="E16" s="789">
        <f>IF('01. Thong tin chung'!$B$9="Đầy đủ",'06. Phan tich tai chinh_DD'!D18,-99999)</f>
        <v/>
      </c>
      <c r="F16" s="789">
        <f>IF('01. Thong tin chung'!$B$9="Đầy đủ",'06. Phan tich tai chinh_DD'!G18,-99999)</f>
        <v/>
      </c>
      <c r="G16" s="388" t="n"/>
    </row>
    <row r="17">
      <c r="A17" s="796" t="inlineStr">
        <is>
          <t>BS028</t>
        </is>
      </c>
      <c r="B17" s="796" t="inlineStr">
        <is>
          <t>2. Đầu tư ngắn hạn khác</t>
        </is>
      </c>
      <c r="C17" s="789">
        <f>IF('01. Thong tin chung'!$B$9="Đầy đủ",'06. Phan tich tai chinh_DD'!B19,-99999)</f>
        <v/>
      </c>
      <c r="D17" s="789">
        <f>IF('01. Thong tin chung'!$B$9="Đầy đủ",'06. Phan tich tai chinh_DD'!C19,-99999)</f>
        <v/>
      </c>
      <c r="E17" s="789">
        <f>IF('01. Thong tin chung'!$B$9="Đầy đủ",'06. Phan tich tai chinh_DD'!D19,-99999)</f>
        <v/>
      </c>
      <c r="F17" s="789">
        <f>IF('01. Thong tin chung'!$B$9="Đầy đủ",'06. Phan tich tai chinh_DD'!G19,-99999)</f>
        <v/>
      </c>
      <c r="G17" s="388" t="n"/>
    </row>
    <row r="18">
      <c r="A18" s="796" t="inlineStr">
        <is>
          <t>BS029</t>
        </is>
      </c>
      <c r="B18" s="796" t="inlineStr">
        <is>
          <t>3. Dự phòng giảm giá đầu tư ngắn hạn</t>
        </is>
      </c>
      <c r="C18" s="789">
        <f>IF('01. Thong tin chung'!$B$9="Đầy đủ",'06. Phan tich tai chinh_DD'!B20,-99999)</f>
        <v/>
      </c>
      <c r="D18" s="789">
        <f>IF('01. Thong tin chung'!$B$9="Đầy đủ",'06. Phan tich tai chinh_DD'!C20,-99999)</f>
        <v/>
      </c>
      <c r="E18" s="789">
        <f>IF('01. Thong tin chung'!$B$9="Đầy đủ",'06. Phan tich tai chinh_DD'!D20,-99999)</f>
        <v/>
      </c>
      <c r="F18" s="789">
        <f>IF('01. Thong tin chung'!$B$9="Đầy đủ",'06. Phan tich tai chinh_DD'!G20,-99999)</f>
        <v/>
      </c>
      <c r="G18" s="388" t="n"/>
    </row>
    <row r="19">
      <c r="A19" s="796" t="inlineStr">
        <is>
          <t>BS030</t>
        </is>
      </c>
      <c r="B19" s="796" t="inlineStr">
        <is>
          <t>4. Đầu tư tài chính ngắn hạn (trong trường hợp báo cáo không có thông tin)</t>
        </is>
      </c>
      <c r="C19" s="789">
        <f>IF('01. Thong tin chung'!$B$9="Đầy đủ",'06. Phan tich tai chinh_DD'!B21,-99999)</f>
        <v/>
      </c>
      <c r="D19" s="789">
        <f>IF('01. Thong tin chung'!$B$9="Đầy đủ",'06. Phan tich tai chinh_DD'!C21,-99999)</f>
        <v/>
      </c>
      <c r="E19" s="789">
        <f>IF('01. Thong tin chung'!$B$9="Đầy đủ",'06. Phan tich tai chinh_DD'!D21,-99999)</f>
        <v/>
      </c>
      <c r="F19" s="789">
        <f>IF('01. Thong tin chung'!$B$9="Đầy đủ",'06. Phan tich tai chinh_DD'!G21,-99999)</f>
        <v/>
      </c>
      <c r="G19" s="388" t="n"/>
    </row>
    <row r="20">
      <c r="A20" s="797" t="inlineStr">
        <is>
          <t>BS124</t>
        </is>
      </c>
      <c r="B20" s="797" t="inlineStr">
        <is>
          <t>III. Các khoản phải thu</t>
        </is>
      </c>
      <c r="C20" s="789">
        <f>IF('01. Thong tin chung'!$B$9="Rút gọn",'06. Phan tich tai chinh_RG'!B16,-99999)</f>
        <v/>
      </c>
      <c r="D20" s="789">
        <f>IF('01. Thong tin chung'!$B$9="Rút gọn",'06. Phan tich tai chinh_RG'!C16,-99999)</f>
        <v/>
      </c>
      <c r="E20" s="789">
        <f>IF('01. Thong tin chung'!$B$9="Rút gọn",'06. Phan tich tai chinh_RG'!D16,-99999)</f>
        <v/>
      </c>
      <c r="F20" s="789">
        <f>IF('01. Thong tin chung'!$B$9="Rút gọn",'06. Phan tich tai chinh_RG'!G16,-99999)</f>
        <v/>
      </c>
      <c r="G20" s="388" t="n"/>
    </row>
    <row r="21">
      <c r="A21" s="796" t="inlineStr">
        <is>
          <t>BS125</t>
        </is>
      </c>
      <c r="B21" s="796" t="inlineStr">
        <is>
          <t>1. Phải thu của khách hàng</t>
        </is>
      </c>
      <c r="C21" s="789">
        <f>IF('01. Thong tin chung'!$B$9="Rút gọn",'06. Phan tich tai chinh_RG'!B17,-99999)</f>
        <v/>
      </c>
      <c r="D21" s="789">
        <f>IF('01. Thong tin chung'!$B$9="Rút gọn",'06. Phan tich tai chinh_RG'!C17,-99999)</f>
        <v/>
      </c>
      <c r="E21" s="789">
        <f>IF('01. Thong tin chung'!$B$9="Rút gọn",'06. Phan tich tai chinh_RG'!D17,-99999)</f>
        <v/>
      </c>
      <c r="F21" s="789">
        <f>IF('01. Thong tin chung'!$B$9="Rút gọn",'06. Phan tich tai chinh_RG'!G17,-99999)</f>
        <v/>
      </c>
      <c r="G21" s="388" t="n"/>
    </row>
    <row r="22">
      <c r="A22" s="796" t="inlineStr">
        <is>
          <t>BS126</t>
        </is>
      </c>
      <c r="B22" s="796" t="inlineStr">
        <is>
          <t>2. Trả trước cho người bán</t>
        </is>
      </c>
      <c r="C22" s="789">
        <f>IF('01. Thong tin chung'!$B$9="Rút gọn",'06. Phan tich tai chinh_RG'!B18,-99999)</f>
        <v/>
      </c>
      <c r="D22" s="789">
        <f>IF('01. Thong tin chung'!$B$9="Rút gọn",'06. Phan tich tai chinh_RG'!C18,-99999)</f>
        <v/>
      </c>
      <c r="E22" s="789">
        <f>IF('01. Thong tin chung'!$B$9="Rút gọn",'06. Phan tich tai chinh_RG'!D18,-99999)</f>
        <v/>
      </c>
      <c r="F22" s="789">
        <f>IF('01. Thong tin chung'!$B$9="Rút gọn",'06. Phan tich tai chinh_RG'!G18,-99999)</f>
        <v/>
      </c>
      <c r="G22" s="388" t="n"/>
    </row>
    <row r="23">
      <c r="A23" s="796" t="inlineStr">
        <is>
          <t>BS127</t>
        </is>
      </c>
      <c r="B23" s="796" t="inlineStr">
        <is>
          <t>3. Vốn kinh doanh ở đơn vị trực thuộc</t>
        </is>
      </c>
      <c r="C23" s="789">
        <f>IF('01. Thong tin chung'!$B$9="Rút gọn",'06. Phan tich tai chinh_RG'!B19,-99999)</f>
        <v/>
      </c>
      <c r="D23" s="789">
        <f>IF('01. Thong tin chung'!$B$9="Rút gọn",'06. Phan tich tai chinh_RG'!C19,-99999)</f>
        <v/>
      </c>
      <c r="E23" s="789">
        <f>IF('01. Thong tin chung'!$B$9="Rút gọn",'06. Phan tich tai chinh_RG'!D19,-99999)</f>
        <v/>
      </c>
      <c r="F23" s="789">
        <f>IF('01. Thong tin chung'!$B$9="Rút gọn",'06. Phan tich tai chinh_RG'!G19,-99999)</f>
        <v/>
      </c>
      <c r="G23" s="388" t="n"/>
    </row>
    <row r="24">
      <c r="A24" s="796" t="inlineStr">
        <is>
          <t>BS128</t>
        </is>
      </c>
      <c r="B24" s="796" t="inlineStr">
        <is>
          <t>4. Phải thu khác</t>
        </is>
      </c>
      <c r="C24" s="789">
        <f>IF('01. Thong tin chung'!$B$9="Rút gọn",'06. Phan tich tai chinh_RG'!B20,-99999)</f>
        <v/>
      </c>
      <c r="D24" s="789">
        <f>IF('01. Thong tin chung'!$B$9="Rút gọn",'06. Phan tich tai chinh_RG'!C20,-99999)</f>
        <v/>
      </c>
      <c r="E24" s="789">
        <f>IF('01. Thong tin chung'!$B$9="Rút gọn",'06. Phan tich tai chinh_RG'!D20,-99999)</f>
        <v/>
      </c>
      <c r="F24" s="789">
        <f>IF('01. Thong tin chung'!$B$9="Rút gọn",'06. Phan tich tai chinh_RG'!G20,-99999)</f>
        <v/>
      </c>
      <c r="G24" s="388" t="n"/>
    </row>
    <row r="25">
      <c r="A25" s="796" t="inlineStr">
        <is>
          <t>BS129</t>
        </is>
      </c>
      <c r="B25" s="796" t="inlineStr">
        <is>
          <t>5. Tài sản thiếu chờ xử lý</t>
        </is>
      </c>
      <c r="C25" s="789">
        <f>IF('01. Thong tin chung'!$B$9="Rút gọn",'06. Phan tich tai chinh_RG'!B21,-99999)</f>
        <v/>
      </c>
      <c r="D25" s="789">
        <f>IF('01. Thong tin chung'!$B$9="Rút gọn",'06. Phan tich tai chinh_RG'!C21,-99999)</f>
        <v/>
      </c>
      <c r="E25" s="789">
        <f>IF('01. Thong tin chung'!$B$9="Rút gọn",'06. Phan tich tai chinh_RG'!D21,-99999)</f>
        <v/>
      </c>
      <c r="F25" s="789">
        <f>IF('01. Thong tin chung'!$B$9="Rút gọn",'06. Phan tich tai chinh_RG'!G21,-99999)</f>
        <v/>
      </c>
      <c r="G25" s="388" t="n"/>
    </row>
    <row r="26">
      <c r="A26" s="796" t="inlineStr">
        <is>
          <t>BS130</t>
        </is>
      </c>
      <c r="B26" s="796" t="inlineStr">
        <is>
          <t>6. Dự phòng phải thu khó đòi (*)</t>
        </is>
      </c>
      <c r="C26" s="789">
        <f>IF('01. Thong tin chung'!$B$9="Rút gọn",'06. Phan tich tai chinh_RG'!B22,-99999)</f>
        <v/>
      </c>
      <c r="D26" s="789">
        <f>IF('01. Thong tin chung'!$B$9="Rút gọn",'06. Phan tich tai chinh_RG'!C22,-99999)</f>
        <v/>
      </c>
      <c r="E26" s="789">
        <f>IF('01. Thong tin chung'!$B$9="Rút gọn",'06. Phan tich tai chinh_RG'!D22,-99999)</f>
        <v/>
      </c>
      <c r="F26" s="789">
        <f>IF('01. Thong tin chung'!$B$9="Rút gọn",'06. Phan tich tai chinh_RG'!G22,-99999)</f>
        <v/>
      </c>
      <c r="G26" s="388" t="n"/>
    </row>
    <row r="27">
      <c r="A27" s="795" t="inlineStr">
        <is>
          <t>BS005</t>
        </is>
      </c>
      <c r="B27" s="795" t="inlineStr">
        <is>
          <t>III. Các khoản phải thu ngắn hạn</t>
        </is>
      </c>
      <c r="C27" s="789">
        <f>IF('01. Thong tin chung'!$B$9="Đầy đủ",'06. Phan tich tai chinh_DD'!B22,-99999)</f>
        <v/>
      </c>
      <c r="D27" s="789">
        <f>IF('01. Thong tin chung'!$B$9="Đầy đủ",'06. Phan tich tai chinh_DD'!C22,-99999)</f>
        <v/>
      </c>
      <c r="E27" s="789">
        <f>IF('01. Thong tin chung'!$B$9="Đầy đủ",'06. Phan tich tai chinh_DD'!D22,-99999)</f>
        <v/>
      </c>
      <c r="F27" s="789">
        <f>IF('01. Thong tin chung'!$B$9="Đầy đủ",'06. Phan tich tai chinh_DD'!G22,-99999)</f>
        <v/>
      </c>
      <c r="G27" s="388" t="n"/>
    </row>
    <row r="28">
      <c r="A28" s="796" t="inlineStr">
        <is>
          <t>BS031</t>
        </is>
      </c>
      <c r="B28" s="796" t="inlineStr">
        <is>
          <t>1. Phải thu khách hàng</t>
        </is>
      </c>
      <c r="C28" s="789">
        <f>IF('01. Thong tin chung'!$B$9="Đầy đủ",'06. Phan tich tai chinh_DD'!B23,-99999)</f>
        <v/>
      </c>
      <c r="D28" s="789">
        <f>IF('01. Thong tin chung'!$B$9="Đầy đủ",'06. Phan tich tai chinh_DD'!C23,-99999)</f>
        <v/>
      </c>
      <c r="E28" s="789">
        <f>IF('01. Thong tin chung'!$B$9="Đầy đủ",'06. Phan tich tai chinh_DD'!D23,-99999)</f>
        <v/>
      </c>
      <c r="F28" s="789">
        <f>IF('01. Thong tin chung'!$B$9="Đầy đủ",'06. Phan tich tai chinh_DD'!G23,-99999)</f>
        <v/>
      </c>
      <c r="G28" s="388" t="n"/>
    </row>
    <row r="29">
      <c r="A29" s="796" t="inlineStr">
        <is>
          <t>BS032</t>
        </is>
      </c>
      <c r="B29" s="796" t="inlineStr">
        <is>
          <t>2. Trả trước cho người bán</t>
        </is>
      </c>
      <c r="C29" s="789">
        <f>IF('01. Thong tin chung'!$B$9="Đầy đủ",'06. Phan tich tai chinh_DD'!B24,-99999)</f>
        <v/>
      </c>
      <c r="D29" s="789">
        <f>IF('01. Thong tin chung'!$B$9="Đầy đủ",'06. Phan tich tai chinh_DD'!C24,-99999)</f>
        <v/>
      </c>
      <c r="E29" s="789">
        <f>IF('01. Thong tin chung'!$B$9="Đầy đủ",'06. Phan tich tai chinh_DD'!D24,-99999)</f>
        <v/>
      </c>
      <c r="F29" s="789">
        <f>IF('01. Thong tin chung'!$B$9="Đầy đủ",'06. Phan tich tai chinh_DD'!G24,-99999)</f>
        <v/>
      </c>
      <c r="G29" s="388" t="n"/>
    </row>
    <row r="30">
      <c r="A30" s="796" t="inlineStr">
        <is>
          <t>BS033</t>
        </is>
      </c>
      <c r="B30" s="796" t="inlineStr">
        <is>
          <t>3. Phải thu nội bộ ngắn hạn</t>
        </is>
      </c>
      <c r="C30" s="789">
        <f>IF('01. Thong tin chung'!$B$9="Đầy đủ",'06. Phan tich tai chinh_DD'!B25,-99999)</f>
        <v/>
      </c>
      <c r="D30" s="789">
        <f>IF('01. Thong tin chung'!$B$9="Đầy đủ",'06. Phan tich tai chinh_DD'!C25,-99999)</f>
        <v/>
      </c>
      <c r="E30" s="789">
        <f>IF('01. Thong tin chung'!$B$9="Đầy đủ",'06. Phan tich tai chinh_DD'!D25,-99999)</f>
        <v/>
      </c>
      <c r="F30" s="789">
        <f>IF('01. Thong tin chung'!$B$9="Đầy đủ",'06. Phan tich tai chinh_DD'!G25,-99999)</f>
        <v/>
      </c>
      <c r="G30" s="388" t="n"/>
    </row>
    <row r="31">
      <c r="A31" s="796" t="inlineStr">
        <is>
          <t>BS034</t>
        </is>
      </c>
      <c r="B31" s="796" t="inlineStr">
        <is>
          <t>4. Phải thu theo tiến độ kế hoạch hợp đồng xây dựng</t>
        </is>
      </c>
      <c r="C31" s="789">
        <f>IF('01. Thong tin chung'!$B$9="Đầy đủ",'06. Phan tich tai chinh_DD'!B26,-99999)</f>
        <v/>
      </c>
      <c r="D31" s="789">
        <f>IF('01. Thong tin chung'!$B$9="Đầy đủ",'06. Phan tich tai chinh_DD'!C26,-99999)</f>
        <v/>
      </c>
      <c r="E31" s="789">
        <f>IF('01. Thong tin chung'!$B$9="Đầy đủ",'06. Phan tich tai chinh_DD'!D26,-99999)</f>
        <v/>
      </c>
      <c r="F31" s="789">
        <f>IF('01. Thong tin chung'!$B$9="Đầy đủ",'06. Phan tich tai chinh_DD'!G26,-99999)</f>
        <v/>
      </c>
      <c r="G31" s="388" t="n"/>
    </row>
    <row r="32">
      <c r="A32" s="796" t="inlineStr">
        <is>
          <t>BS035</t>
        </is>
      </c>
      <c r="B32" s="796" t="inlineStr">
        <is>
          <t>5. Các khoản phải thu khác</t>
        </is>
      </c>
      <c r="C32" s="789">
        <f>IF('01. Thong tin chung'!$B$9="Đầy đủ",'06. Phan tich tai chinh_DD'!B27,-99999)</f>
        <v/>
      </c>
      <c r="D32" s="789">
        <f>IF('01. Thong tin chung'!$B$9="Đầy đủ",'06. Phan tich tai chinh_DD'!C27,-99999)</f>
        <v/>
      </c>
      <c r="E32" s="789">
        <f>IF('01. Thong tin chung'!$B$9="Đầy đủ",'06. Phan tich tai chinh_DD'!D27,-99999)</f>
        <v/>
      </c>
      <c r="F32" s="789">
        <f>IF('01. Thong tin chung'!$B$9="Đầy đủ",'06. Phan tich tai chinh_DD'!G27,-99999)</f>
        <v/>
      </c>
      <c r="G32" s="388" t="n"/>
    </row>
    <row r="33">
      <c r="A33" s="796" t="inlineStr">
        <is>
          <t>BS036</t>
        </is>
      </c>
      <c r="B33" s="796" t="inlineStr">
        <is>
          <t>6. Dự phòng phải thu ngắn hạn khó đòi</t>
        </is>
      </c>
      <c r="C33" s="789">
        <f>IF('01. Thong tin chung'!$B$9="Đầy đủ",'06. Phan tich tai chinh_DD'!B28,-99999)</f>
        <v/>
      </c>
      <c r="D33" s="789">
        <f>IF('01. Thong tin chung'!$B$9="Đầy đủ",'06. Phan tich tai chinh_DD'!C28,-99999)</f>
        <v/>
      </c>
      <c r="E33" s="789">
        <f>IF('01. Thong tin chung'!$B$9="Đầy đủ",'06. Phan tich tai chinh_DD'!D28,-99999)</f>
        <v/>
      </c>
      <c r="F33" s="789">
        <f>IF('01. Thong tin chung'!$B$9="Đầy đủ",'06. Phan tich tai chinh_DD'!G28,-99999)</f>
        <v/>
      </c>
      <c r="G33" s="388" t="n"/>
    </row>
    <row r="34">
      <c r="A34" s="795" t="inlineStr">
        <is>
          <t>BS006</t>
        </is>
      </c>
      <c r="B34" s="795" t="inlineStr">
        <is>
          <t>IV. Hàng tồn kho</t>
        </is>
      </c>
      <c r="C34" s="789">
        <f>IF('01. Thong tin chung'!$B$9="Đầy đủ", IF(ISBLANK('06. Phan tich tai chinh_DD'!B29),0,'06. Phan tich tai chinh_DD'!B29),IF(ISBLANK('06. Phan tich tai chinh_RG'!B23),0,'06. Phan tich tai chinh_RG'!B23))</f>
        <v/>
      </c>
      <c r="D34" s="789">
        <f>IF('01. Thong tin chung'!$B$9="Đầy đủ", IF(ISBLANK('06. Phan tich tai chinh_DD'!C29),0,'06. Phan tich tai chinh_DD'!C29),IF(ISBLANK('06. Phan tich tai chinh_RG'!C23),0,'06. Phan tich tai chinh_RG'!C23))</f>
        <v/>
      </c>
      <c r="E34" s="789">
        <f>IF('01. Thong tin chung'!$B$9="Đầy đủ", IF(ISBLANK('06. Phan tich tai chinh_DD'!D29),0,'06. Phan tich tai chinh_DD'!D29),IF(ISBLANK('06. Phan tich tai chinh_RG'!D23),0,'06. Phan tich tai chinh_RG'!D23))</f>
        <v/>
      </c>
      <c r="F34" s="789">
        <f>IF('01. Thong tin chung'!$B$9="Đầy đủ", IF(ISBLANK('06. Phan tich tai chinh_DD'!G29),0,'06. Phan tich tai chinh_DD'!G29),IF(ISBLANK('06. Phan tich tai chinh_RG'!G23),0,'06. Phan tich tai chinh_RG'!G23))</f>
        <v/>
      </c>
      <c r="G34" s="388" t="n"/>
    </row>
    <row r="35">
      <c r="A35" s="796" t="inlineStr">
        <is>
          <t>BS037</t>
        </is>
      </c>
      <c r="B35" s="796" t="inlineStr">
        <is>
          <t>1. Hàng mua đang đi đường</t>
        </is>
      </c>
      <c r="C35" s="789">
        <f>IF('01. Thong tin chung'!$B$9="Đầy đủ",'06. Phan tich tai chinh_DD'!B30,-99999)</f>
        <v/>
      </c>
      <c r="D35" s="789">
        <f>IF('01. Thong tin chung'!$B$9="Đầy đủ",'06. Phan tich tai chinh_DD'!C30,-99999)</f>
        <v/>
      </c>
      <c r="E35" s="789">
        <f>IF('01. Thong tin chung'!$B$9="Đầy đủ",'06. Phan tich tai chinh_DD'!D30,-99999)</f>
        <v/>
      </c>
      <c r="F35" s="789">
        <f>IF('01. Thong tin chung'!$B$9="Đầy đủ",'06. Phan tich tai chinh_DD'!G30,-99999)</f>
        <v/>
      </c>
      <c r="G35" s="388" t="n"/>
    </row>
    <row r="36">
      <c r="A36" s="796" t="inlineStr">
        <is>
          <t>BS038</t>
        </is>
      </c>
      <c r="B36" s="796" t="inlineStr">
        <is>
          <t>2. Nguyên liệu, vật liệu</t>
        </is>
      </c>
      <c r="C36" s="789">
        <f>IF('01. Thong tin chung'!$B$9="Đầy đủ",'06. Phan tich tai chinh_DD'!B31,-99999)</f>
        <v/>
      </c>
      <c r="D36" s="789">
        <f>IF('01. Thong tin chung'!$B$9="Đầy đủ",'06. Phan tich tai chinh_DD'!C31,-99999)</f>
        <v/>
      </c>
      <c r="E36" s="789">
        <f>IF('01. Thong tin chung'!$B$9="Đầy đủ",'06. Phan tich tai chinh_DD'!D31,-99999)</f>
        <v/>
      </c>
      <c r="F36" s="789">
        <f>IF('01. Thong tin chung'!$B$9="Đầy đủ",'06. Phan tich tai chinh_DD'!G31,-99999)</f>
        <v/>
      </c>
      <c r="G36" s="388" t="n"/>
    </row>
    <row r="37">
      <c r="A37" s="796" t="inlineStr">
        <is>
          <t>BS039</t>
        </is>
      </c>
      <c r="B37" s="796" t="inlineStr">
        <is>
          <t>3. Công cụ, dụng cụ</t>
        </is>
      </c>
      <c r="C37" s="789">
        <f>IF('01. Thong tin chung'!$B$9="Đầy đủ",'06. Phan tich tai chinh_DD'!B32,-99999)</f>
        <v/>
      </c>
      <c r="D37" s="789">
        <f>IF('01. Thong tin chung'!$B$9="Đầy đủ",'06. Phan tich tai chinh_DD'!C32,-99999)</f>
        <v/>
      </c>
      <c r="E37" s="789">
        <f>IF('01. Thong tin chung'!$B$9="Đầy đủ",'06. Phan tich tai chinh_DD'!D32,-99999)</f>
        <v/>
      </c>
      <c r="F37" s="789">
        <f>IF('01. Thong tin chung'!$B$9="Đầy đủ",'06. Phan tich tai chinh_DD'!G32,-99999)</f>
        <v/>
      </c>
      <c r="G37" s="388" t="n"/>
    </row>
    <row r="38">
      <c r="A38" s="796" t="inlineStr">
        <is>
          <t>BS040</t>
        </is>
      </c>
      <c r="B38" s="796" t="inlineStr">
        <is>
          <t>4. Chi phí SX, KD dở dang</t>
        </is>
      </c>
      <c r="C38" s="789">
        <f>IF('01. Thong tin chung'!$B$9="Đầy đủ",'06. Phan tich tai chinh_DD'!B33,-99999)</f>
        <v/>
      </c>
      <c r="D38" s="789">
        <f>IF('01. Thong tin chung'!$B$9="Đầy đủ",'06. Phan tich tai chinh_DD'!C33,-99999)</f>
        <v/>
      </c>
      <c r="E38" s="789">
        <f>IF('01. Thong tin chung'!$B$9="Đầy đủ",'06. Phan tich tai chinh_DD'!D33,-99999)</f>
        <v/>
      </c>
      <c r="F38" s="789">
        <f>IF('01. Thong tin chung'!$B$9="Đầy đủ",'06. Phan tich tai chinh_DD'!G33,-99999)</f>
        <v/>
      </c>
      <c r="G38" s="388" t="n"/>
    </row>
    <row r="39">
      <c r="A39" s="796" t="inlineStr">
        <is>
          <t>BS041</t>
        </is>
      </c>
      <c r="B39" s="796" t="inlineStr">
        <is>
          <t>5. Thành phẩm</t>
        </is>
      </c>
      <c r="C39" s="789">
        <f>IF('01. Thong tin chung'!$B$9="Đầy đủ",'06. Phan tich tai chinh_DD'!B34,-99999)</f>
        <v/>
      </c>
      <c r="D39" s="789">
        <f>IF('01. Thong tin chung'!$B$9="Đầy đủ",'06. Phan tich tai chinh_DD'!C34,-99999)</f>
        <v/>
      </c>
      <c r="E39" s="789">
        <f>IF('01. Thong tin chung'!$B$9="Đầy đủ",'06. Phan tich tai chinh_DD'!D34,-99999)</f>
        <v/>
      </c>
      <c r="F39" s="789">
        <f>IF('01. Thong tin chung'!$B$9="Đầy đủ",'06. Phan tich tai chinh_DD'!G34,-99999)</f>
        <v/>
      </c>
      <c r="G39" s="388" t="n"/>
    </row>
    <row r="40">
      <c r="A40" s="796" t="inlineStr">
        <is>
          <t>BS042</t>
        </is>
      </c>
      <c r="B40" s="796" t="inlineStr">
        <is>
          <t>6. Hàng hóa</t>
        </is>
      </c>
      <c r="C40" s="789">
        <f>IF('01. Thong tin chung'!$B$9="Đầy đủ",'06. Phan tich tai chinh_DD'!B35,-99999)</f>
        <v/>
      </c>
      <c r="D40" s="789">
        <f>IF('01. Thong tin chung'!$B$9="Đầy đủ",'06. Phan tich tai chinh_DD'!C35,-99999)</f>
        <v/>
      </c>
      <c r="E40" s="789">
        <f>IF('01. Thong tin chung'!$B$9="Đầy đủ",'06. Phan tich tai chinh_DD'!D35,-99999)</f>
        <v/>
      </c>
      <c r="F40" s="789">
        <f>IF('01. Thong tin chung'!$B$9="Đầy đủ",'06. Phan tich tai chinh_DD'!G35,-99999)</f>
        <v/>
      </c>
      <c r="G40" s="388" t="n"/>
    </row>
    <row r="41">
      <c r="A41" s="796" t="inlineStr">
        <is>
          <t>BS043</t>
        </is>
      </c>
      <c r="B41" s="796" t="inlineStr">
        <is>
          <t>7. Hàng gửi đi bán</t>
        </is>
      </c>
      <c r="C41" s="789">
        <f>IF('01. Thong tin chung'!$B$9="Đầy đủ",'06. Phan tich tai chinh_DD'!B36,-99999)</f>
        <v/>
      </c>
      <c r="D41" s="789">
        <f>IF('01. Thong tin chung'!$B$9="Đầy đủ",'06. Phan tich tai chinh_DD'!C36,-99999)</f>
        <v/>
      </c>
      <c r="E41" s="789">
        <f>IF('01. Thong tin chung'!$B$9="Đầy đủ",'06. Phan tich tai chinh_DD'!D36,-99999)</f>
        <v/>
      </c>
      <c r="F41" s="789">
        <f>IF('01. Thong tin chung'!$B$9="Đầy đủ",'06. Phan tich tai chinh_DD'!G36,-99999)</f>
        <v/>
      </c>
      <c r="G41" s="388" t="n"/>
    </row>
    <row r="42">
      <c r="A42" s="796" t="inlineStr">
        <is>
          <t>BS044</t>
        </is>
      </c>
      <c r="B42" s="796" t="inlineStr">
        <is>
          <t>8. Hàng hóa kho bảo thuế</t>
        </is>
      </c>
      <c r="C42" s="789">
        <f>IF('01. Thong tin chung'!$B$9="Đầy đủ",'06. Phan tich tai chinh_DD'!B37,-99999)</f>
        <v/>
      </c>
      <c r="D42" s="789">
        <f>IF('01. Thong tin chung'!$B$9="Đầy đủ",'06. Phan tich tai chinh_DD'!C37,-99999)</f>
        <v/>
      </c>
      <c r="E42" s="789">
        <f>IF('01. Thong tin chung'!$B$9="Đầy đủ",'06. Phan tich tai chinh_DD'!D37,-99999)</f>
        <v/>
      </c>
      <c r="F42" s="789">
        <f>IF('01. Thong tin chung'!$B$9="Đầy đủ",'06. Phan tich tai chinh_DD'!G37,-99999)</f>
        <v/>
      </c>
      <c r="G42" s="388" t="n"/>
    </row>
    <row r="43">
      <c r="A43" s="796" t="inlineStr">
        <is>
          <t>BS045</t>
        </is>
      </c>
      <c r="B43" s="796" t="inlineStr">
        <is>
          <t>9. Hàng hóa bất động sản</t>
        </is>
      </c>
      <c r="C43" s="789">
        <f>IF('01. Thong tin chung'!$B$9="Đầy đủ",'06. Phan tich tai chinh_DD'!B38,-99999)</f>
        <v/>
      </c>
      <c r="D43" s="789">
        <f>IF('01. Thong tin chung'!$B$9="Đầy đủ",'06. Phan tich tai chinh_DD'!C38,-99999)</f>
        <v/>
      </c>
      <c r="E43" s="789">
        <f>IF('01. Thong tin chung'!$B$9="Đầy đủ",'06. Phan tich tai chinh_DD'!D38,-99999)</f>
        <v/>
      </c>
      <c r="F43" s="789">
        <f>IF('01. Thong tin chung'!$B$9="Đầy đủ",'06. Phan tich tai chinh_DD'!G38,-99999)</f>
        <v/>
      </c>
      <c r="G43" s="388" t="n"/>
    </row>
    <row r="44">
      <c r="A44" s="796" t="inlineStr">
        <is>
          <t>BS046</t>
        </is>
      </c>
      <c r="B44" s="796" t="inlineStr">
        <is>
          <t>10. Dự phòng giảm giá hàng tồn kho</t>
        </is>
      </c>
      <c r="C44" s="789">
        <f>IF('01. Thong tin chung'!$B$9="Đầy đủ", IF(ISBLANK('06. Phan tich tai chinh_DD'!B39),0,'06. Phan tich tai chinh_DD'!B39),IF(ISBLANK('06. Phan tich tai chinh_RG'!B25),0,'06. Phan tich tai chinh_RG'!B25))</f>
        <v/>
      </c>
      <c r="D44" s="789">
        <f>IF('01. Thong tin chung'!$B$9="Đầy đủ", IF(ISBLANK('06. Phan tich tai chinh_DD'!C39),0,'06. Phan tich tai chinh_DD'!C39),IF(ISBLANK('06. Phan tich tai chinh_RG'!C25),0,'06. Phan tich tai chinh_RG'!C25))</f>
        <v/>
      </c>
      <c r="E44" s="789">
        <f>IF('01. Thong tin chung'!$B$9="Đầy đủ", IF(ISBLANK('06. Phan tich tai chinh_DD'!D39),0,'06. Phan tich tai chinh_DD'!D39),IF(ISBLANK('06. Phan tich tai chinh_RG'!D25),0,'06. Phan tich tai chinh_RG'!D25))</f>
        <v/>
      </c>
      <c r="F44" s="789">
        <f>IF('01. Thong tin chung'!$B$9="Đầy đủ", IF(ISBLANK('06. Phan tich tai chinh_DD'!G39),0,'06. Phan tich tai chinh_DD'!G39),IF(ISBLANK('06. Phan tich tai chinh_RG'!G25),0,'06. Phan tich tai chinh_RG'!G25))</f>
        <v/>
      </c>
      <c r="G44" s="388" t="n"/>
    </row>
    <row r="45">
      <c r="A45" s="796" t="inlineStr">
        <is>
          <t>BS047</t>
        </is>
      </c>
      <c r="B45" s="796" t="inlineStr">
        <is>
          <t>11. Hàng tồn kho (trong trường hợp báo cáo không có thông tin chi tiết)</t>
        </is>
      </c>
      <c r="C45" s="789">
        <f>IF('01. Thong tin chung'!$B$9="Đầy đủ", IF(ISBLANK('06. Phan tich tai chinh_DD'!B40),0,'06. Phan tich tai chinh_DD'!B40),IF(ISBLANK('06. Phan tich tai chinh_RG'!B24),0,'06. Phan tich tai chinh_RG'!B24))</f>
        <v/>
      </c>
      <c r="D45" s="789">
        <f>IF('01. Thong tin chung'!$B$9="Đầy đủ", IF(ISBLANK('06. Phan tich tai chinh_DD'!C40),0,'06. Phan tich tai chinh_DD'!C40),IF(ISBLANK('06. Phan tich tai chinh_RG'!C24),0,'06. Phan tich tai chinh_RG'!C24))</f>
        <v/>
      </c>
      <c r="E45" s="789">
        <f>IF('01. Thong tin chung'!$B$9="Đầy đủ", IF(ISBLANK('06. Phan tich tai chinh_DD'!D40),0,'06. Phan tich tai chinh_DD'!D40),IF(ISBLANK('06. Phan tich tai chinh_RG'!D24),0,'06. Phan tich tai chinh_RG'!D24))</f>
        <v/>
      </c>
      <c r="F45" s="789">
        <f>IF('01. Thong tin chung'!$B$9="Đầy đủ", IF(ISBLANK('06. Phan tich tai chinh_DD'!G40),0,'06. Phan tich tai chinh_DD'!G40),IF(ISBLANK('06. Phan tich tai chinh_RG'!G24),0,'06. Phan tich tai chinh_RG'!G24))</f>
        <v/>
      </c>
      <c r="G45" s="388" t="n"/>
    </row>
    <row r="46">
      <c r="A46" s="795" t="inlineStr">
        <is>
          <t>BS007</t>
        </is>
      </c>
      <c r="B46" s="795" t="inlineStr">
        <is>
          <t xml:space="preserve">V. Tài sản ngắn hạn khác </t>
        </is>
      </c>
      <c r="C46" s="789">
        <f>IF('01. Thong tin chung'!$B$9="Đầy đủ",'06. Phan tich tai chinh_DD'!B41,-99999)</f>
        <v/>
      </c>
      <c r="D46" s="789">
        <f>IF('01. Thong tin chung'!$B$9="Đầy đủ",'06. Phan tich tai chinh_DD'!C41,-99999)</f>
        <v/>
      </c>
      <c r="E46" s="789">
        <f>IF('01. Thong tin chung'!$B$9="Đầy đủ",'06. Phan tich tai chinh_DD'!D41,-99999)</f>
        <v/>
      </c>
      <c r="F46" s="789">
        <f>IF('01. Thong tin chung'!$B$9="Đầy đủ",'06. Phan tich tai chinh_DD'!G41,-99999)</f>
        <v/>
      </c>
      <c r="G46" s="388" t="n"/>
    </row>
    <row r="47">
      <c r="A47" s="796" t="inlineStr">
        <is>
          <t>BS048</t>
        </is>
      </c>
      <c r="B47" s="796" t="inlineStr">
        <is>
          <t>1. Chi phí trả trước ngắn hạn</t>
        </is>
      </c>
      <c r="C47" s="789">
        <f>IF('01. Thong tin chung'!$B$9="Đầy đủ",'06. Phan tich tai chinh_DD'!B42,-99999)</f>
        <v/>
      </c>
      <c r="D47" s="789">
        <f>IF('01. Thong tin chung'!$B$9="Đầy đủ",'06. Phan tich tai chinh_DD'!C42,-99999)</f>
        <v/>
      </c>
      <c r="E47" s="789">
        <f>IF('01. Thong tin chung'!$B$9="Đầy đủ",'06. Phan tich tai chinh_DD'!D42,-99999)</f>
        <v/>
      </c>
      <c r="F47" s="789">
        <f>IF('01. Thong tin chung'!$B$9="Đầy đủ",'06. Phan tich tai chinh_DD'!G42,-99999)</f>
        <v/>
      </c>
      <c r="G47" s="388" t="n"/>
    </row>
    <row r="48">
      <c r="A48" s="796" t="inlineStr">
        <is>
          <t>BS049</t>
        </is>
      </c>
      <c r="B48" s="796" t="inlineStr">
        <is>
          <t>2. Thuế GTGT được khấu trừ</t>
        </is>
      </c>
      <c r="C48" s="789">
        <f>IF('01. Thong tin chung'!$B$9="Đầy đủ",'06. Phan tich tai chinh_DD'!B43,-99999)</f>
        <v/>
      </c>
      <c r="D48" s="789">
        <f>IF('01. Thong tin chung'!$B$9="Đầy đủ",'06. Phan tich tai chinh_DD'!C43,-99999)</f>
        <v/>
      </c>
      <c r="E48" s="789">
        <f>IF('01. Thong tin chung'!$B$9="Đầy đủ",'06. Phan tich tai chinh_DD'!D43,-99999)</f>
        <v/>
      </c>
      <c r="F48" s="789">
        <f>IF('01. Thong tin chung'!$B$9="Đầy đủ",'06. Phan tich tai chinh_DD'!G43,-99999)</f>
        <v/>
      </c>
      <c r="G48" s="388" t="n"/>
    </row>
    <row r="49">
      <c r="A49" s="796" t="inlineStr">
        <is>
          <t>BS050</t>
        </is>
      </c>
      <c r="B49" s="796" t="inlineStr">
        <is>
          <t>3. Thuế và các khoản khác phải thu Nhà nước</t>
        </is>
      </c>
      <c r="C49" s="789">
        <f>IF('01. Thong tin chung'!$B$9="Đầy đủ",'06. Phan tich tai chinh_DD'!B44,-99999)</f>
        <v/>
      </c>
      <c r="D49" s="789">
        <f>IF('01. Thong tin chung'!$B$9="Đầy đủ",'06. Phan tich tai chinh_DD'!C44,-99999)</f>
        <v/>
      </c>
      <c r="E49" s="789">
        <f>IF('01. Thong tin chung'!$B$9="Đầy đủ",'06. Phan tich tai chinh_DD'!D44,-99999)</f>
        <v/>
      </c>
      <c r="F49" s="789">
        <f>IF('01. Thong tin chung'!$B$9="Đầy đủ",'06. Phan tich tai chinh_DD'!G44,-99999)</f>
        <v/>
      </c>
      <c r="G49" s="388" t="n"/>
    </row>
    <row r="50">
      <c r="A50" s="796" t="inlineStr">
        <is>
          <t>BS051</t>
        </is>
      </c>
      <c r="B50" s="796" t="inlineStr">
        <is>
          <t>4. Giao dịch mua bán lại trái phiếu chính phủ</t>
        </is>
      </c>
      <c r="C50" s="789">
        <f>IF('01. Thong tin chung'!$B$9="Đầy đủ",'06. Phan tich tai chinh_DD'!B45,-99999)</f>
        <v/>
      </c>
      <c r="D50" s="789">
        <f>IF('01. Thong tin chung'!$B$9="Đầy đủ",'06. Phan tich tai chinh_DD'!C45,-99999)</f>
        <v/>
      </c>
      <c r="E50" s="789">
        <f>IF('01. Thong tin chung'!$B$9="Đầy đủ",'06. Phan tich tai chinh_DD'!D45,-99999)</f>
        <v/>
      </c>
      <c r="F50" s="789">
        <f>IF('01. Thong tin chung'!$B$9="Đầy đủ",'06. Phan tich tai chinh_DD'!G45,-99999)</f>
        <v/>
      </c>
      <c r="G50" s="388" t="n"/>
    </row>
    <row r="51">
      <c r="A51" s="796" t="inlineStr">
        <is>
          <t>BS052</t>
        </is>
      </c>
      <c r="B51" s="796" t="inlineStr">
        <is>
          <t>5. Tài sản ngắn hạn khác</t>
        </is>
      </c>
      <c r="C51" s="789">
        <f>IF('01. Thong tin chung'!$B$9="Đầy đủ",'06. Phan tich tai chinh_DD'!B46,-99999)</f>
        <v/>
      </c>
      <c r="D51" s="789">
        <f>IF('01. Thong tin chung'!$B$9="Đầy đủ",'06. Phan tich tai chinh_DD'!C46,-99999)</f>
        <v/>
      </c>
      <c r="E51" s="789">
        <f>IF('01. Thong tin chung'!$B$9="Đầy đủ",'06. Phan tich tai chinh_DD'!D46,-99999)</f>
        <v/>
      </c>
      <c r="F51" s="789">
        <f>IF('01. Thong tin chung'!$B$9="Đầy đủ",'06. Phan tich tai chinh_DD'!G46,-99999)</f>
        <v/>
      </c>
      <c r="G51" s="388" t="n"/>
    </row>
    <row r="52">
      <c r="A52" s="795" t="inlineStr">
        <is>
          <t>BS008</t>
        </is>
      </c>
      <c r="B52" s="795" t="inlineStr">
        <is>
          <t>B. TÀI SẢN DÀI HẠN</t>
        </is>
      </c>
      <c r="C52" s="789">
        <f>IF('01. Thong tin chung'!$B$9="Đầy đủ",'06. Phan tich tai chinh_DD'!B47,-99999)</f>
        <v/>
      </c>
      <c r="D52" s="789">
        <f>IF('01. Thong tin chung'!$B$9="Đầy đủ",'06. Phan tich tai chinh_DD'!C47,-99999)</f>
        <v/>
      </c>
      <c r="E52" s="789">
        <f>IF('01. Thong tin chung'!$B$9="Đầy đủ",'06. Phan tich tai chinh_DD'!D47,-99999)</f>
        <v/>
      </c>
      <c r="F52" s="789">
        <f>IF('01. Thong tin chung'!$B$9="Đầy đủ",'06. Phan tich tai chinh_DD'!G47,-99999)</f>
        <v/>
      </c>
      <c r="G52" s="388" t="n"/>
    </row>
    <row r="53">
      <c r="A53" s="795" t="inlineStr">
        <is>
          <t>BS009</t>
        </is>
      </c>
      <c r="B53" s="795" t="inlineStr">
        <is>
          <t>I. Các khoản phải thu dài hạn</t>
        </is>
      </c>
      <c r="C53" s="789">
        <f>IF('01. Thong tin chung'!$B$9="Đầy đủ",'06. Phan tich tai chinh_DD'!B48,-99999)</f>
        <v/>
      </c>
      <c r="D53" s="789">
        <f>IF('01. Thong tin chung'!$B$9="Đầy đủ",'06. Phan tich tai chinh_DD'!C48,-99999)</f>
        <v/>
      </c>
      <c r="E53" s="789">
        <f>IF('01. Thong tin chung'!$B$9="Đầy đủ",'06. Phan tich tai chinh_DD'!D48,-99999)</f>
        <v/>
      </c>
      <c r="F53" s="789">
        <f>IF('01. Thong tin chung'!$B$9="Đầy đủ",'06. Phan tich tai chinh_DD'!G48,-99999)</f>
        <v/>
      </c>
      <c r="G53" s="388" t="n"/>
    </row>
    <row r="54">
      <c r="A54" s="796" t="inlineStr">
        <is>
          <t>BS053</t>
        </is>
      </c>
      <c r="B54" s="796" t="inlineStr">
        <is>
          <t>1. Phải thu dài hạn của khách hàng</t>
        </is>
      </c>
      <c r="C54" s="789">
        <f>IF('01. Thong tin chung'!$B$9="Đầy đủ",'06. Phan tich tai chinh_DD'!B49,-99999)</f>
        <v/>
      </c>
      <c r="D54" s="789">
        <f>IF('01. Thong tin chung'!$B$9="Đầy đủ",'06. Phan tich tai chinh_DD'!C49,-99999)</f>
        <v/>
      </c>
      <c r="E54" s="789">
        <f>IF('01. Thong tin chung'!$B$9="Đầy đủ",'06. Phan tich tai chinh_DD'!D49,-99999)</f>
        <v/>
      </c>
      <c r="F54" s="789">
        <f>IF('01. Thong tin chung'!$B$9="Đầy đủ",'06. Phan tich tai chinh_DD'!G49,-99999)</f>
        <v/>
      </c>
      <c r="G54" s="388" t="n"/>
    </row>
    <row r="55">
      <c r="A55" s="796" t="inlineStr">
        <is>
          <t>BS054</t>
        </is>
      </c>
      <c r="B55" s="796" t="inlineStr">
        <is>
          <t>2. Vốn kinh doanh ở đơn vị trực thuộc</t>
        </is>
      </c>
      <c r="C55" s="789">
        <f>IF('01. Thong tin chung'!$B$9="Đầy đủ",'06. Phan tich tai chinh_DD'!B50,-99999)</f>
        <v/>
      </c>
      <c r="D55" s="789">
        <f>IF('01. Thong tin chung'!$B$9="Đầy đủ",'06. Phan tich tai chinh_DD'!C50,-99999)</f>
        <v/>
      </c>
      <c r="E55" s="789">
        <f>IF('01. Thong tin chung'!$B$9="Đầy đủ",'06. Phan tich tai chinh_DD'!D50,-99999)</f>
        <v/>
      </c>
      <c r="F55" s="789">
        <f>IF('01. Thong tin chung'!$B$9="Đầy đủ",'06. Phan tich tai chinh_DD'!G50,-99999)</f>
        <v/>
      </c>
      <c r="G55" s="388" t="n"/>
    </row>
    <row r="56">
      <c r="A56" s="796" t="inlineStr">
        <is>
          <t>BS055</t>
        </is>
      </c>
      <c r="B56" s="796" t="inlineStr">
        <is>
          <t>3. Phải thu dài hạn nội bộ</t>
        </is>
      </c>
      <c r="C56" s="789">
        <f>IF('01. Thong tin chung'!$B$9="Đầy đủ",'06. Phan tich tai chinh_DD'!B51,-99999)</f>
        <v/>
      </c>
      <c r="D56" s="789">
        <f>IF('01. Thong tin chung'!$B$9="Đầy đủ",'06. Phan tich tai chinh_DD'!C51,-99999)</f>
        <v/>
      </c>
      <c r="E56" s="789">
        <f>IF('01. Thong tin chung'!$B$9="Đầy đủ",'06. Phan tich tai chinh_DD'!D51,-99999)</f>
        <v/>
      </c>
      <c r="F56" s="789">
        <f>IF('01. Thong tin chung'!$B$9="Đầy đủ",'06. Phan tich tai chinh_DD'!G51,-99999)</f>
        <v/>
      </c>
      <c r="G56" s="388" t="n"/>
    </row>
    <row r="57">
      <c r="A57" s="796" t="inlineStr">
        <is>
          <t>BS056</t>
        </is>
      </c>
      <c r="B57" s="796" t="inlineStr">
        <is>
          <t>4. Phải thu dài hạn khác</t>
        </is>
      </c>
      <c r="C57" s="789">
        <f>IF('01. Thong tin chung'!$B$9="Đầy đủ",'06. Phan tich tai chinh_DD'!B52,-99999)</f>
        <v/>
      </c>
      <c r="D57" s="789">
        <f>IF('01. Thong tin chung'!$B$9="Đầy đủ",'06. Phan tich tai chinh_DD'!C52,-99999)</f>
        <v/>
      </c>
      <c r="E57" s="789">
        <f>IF('01. Thong tin chung'!$B$9="Đầy đủ",'06. Phan tich tai chinh_DD'!D52,-99999)</f>
        <v/>
      </c>
      <c r="F57" s="789">
        <f>IF('01. Thong tin chung'!$B$9="Đầy đủ",'06. Phan tich tai chinh_DD'!G52,-99999)</f>
        <v/>
      </c>
      <c r="G57" s="388" t="n"/>
    </row>
    <row r="58">
      <c r="A58" s="796" t="inlineStr">
        <is>
          <t>BS057</t>
        </is>
      </c>
      <c r="B58" s="796" t="inlineStr">
        <is>
          <t>5. Dự phòng phải thu dài hạn khó đòi</t>
        </is>
      </c>
      <c r="C58" s="789">
        <f>IF('01. Thong tin chung'!$B$9="Đầy đủ",'06. Phan tich tai chinh_DD'!B53,-99999)</f>
        <v/>
      </c>
      <c r="D58" s="789">
        <f>IF('01. Thong tin chung'!$B$9="Đầy đủ",'06. Phan tich tai chinh_DD'!C53,-99999)</f>
        <v/>
      </c>
      <c r="E58" s="789">
        <f>IF('01. Thong tin chung'!$B$9="Đầy đủ",'06. Phan tich tai chinh_DD'!D53,-99999)</f>
        <v/>
      </c>
      <c r="F58" s="789">
        <f>IF('01. Thong tin chung'!$B$9="Đầy đủ",'06. Phan tich tai chinh_DD'!G53,-99999)</f>
        <v/>
      </c>
      <c r="G58" s="388" t="n"/>
    </row>
    <row r="59">
      <c r="A59" s="795" t="inlineStr">
        <is>
          <t>BS010</t>
        </is>
      </c>
      <c r="B59" s="795" t="inlineStr">
        <is>
          <t>II. Tài sản cố định</t>
        </is>
      </c>
      <c r="C59" s="789">
        <f>IF('01. Thong tin chung'!$B$9="Đầy đủ", IF(ISBLANK('06. Phan tich tai chinh_DD'!B54),0,'06. Phan tich tai chinh_DD'!B54),IF(ISBLANK('06. Phan tich tai chinh_RG'!B26),0,'06. Phan tich tai chinh_RG'!B26))</f>
        <v/>
      </c>
      <c r="D59" s="789">
        <f>IF('01. Thong tin chung'!$B$9="Đầy đủ", IF(ISBLANK('06. Phan tich tai chinh_DD'!C54),0,'06. Phan tich tai chinh_DD'!C54),IF(ISBLANK('06. Phan tich tai chinh_RG'!C26),0,'06. Phan tich tai chinh_RG'!C26))</f>
        <v/>
      </c>
      <c r="E59" s="789">
        <f>IF('01. Thong tin chung'!$B$9="Đầy đủ", IF(ISBLANK('06. Phan tich tai chinh_DD'!D54),0,'06. Phan tich tai chinh_DD'!D54),IF(ISBLANK('06. Phan tich tai chinh_RG'!D26),0,'06. Phan tich tai chinh_RG'!D26))</f>
        <v/>
      </c>
      <c r="F59" s="789">
        <f>IF('01. Thong tin chung'!$B$9="Đầy đủ", IF(ISBLANK('06. Phan tich tai chinh_DD'!G54),0,'06. Phan tich tai chinh_DD'!G54),IF(ISBLANK('06. Phan tich tai chinh_RG'!G26),0,'06. Phan tich tai chinh_RG'!G26))</f>
        <v/>
      </c>
      <c r="G59" s="388" t="n"/>
    </row>
    <row r="60">
      <c r="A60" s="796" t="inlineStr">
        <is>
          <t>BS058</t>
        </is>
      </c>
      <c r="B60" s="796" t="inlineStr">
        <is>
          <t>1. Tài sản cố định hữu hình</t>
        </is>
      </c>
      <c r="C60" s="789">
        <f>IF('01. Thong tin chung'!$B$9="Đầy đủ",'06. Phan tich tai chinh_DD'!B55,-99999)</f>
        <v/>
      </c>
      <c r="D60" s="789">
        <f>IF('01. Thong tin chung'!$B$9="Đầy đủ",'06. Phan tich tai chinh_DD'!C55,-99999)</f>
        <v/>
      </c>
      <c r="E60" s="789">
        <f>IF('01. Thong tin chung'!$B$9="Đầy đủ",'06. Phan tich tai chinh_DD'!D55,-99999)</f>
        <v/>
      </c>
      <c r="F60" s="789">
        <f>IF('01. Thong tin chung'!$B$9="Đầy đủ",'06. Phan tich tai chinh_DD'!G55,-99999)</f>
        <v/>
      </c>
      <c r="G60" s="388" t="n"/>
    </row>
    <row r="61">
      <c r="A61" s="795" t="inlineStr">
        <is>
          <t>BS059</t>
        </is>
      </c>
      <c r="B61" s="795" t="inlineStr">
        <is>
          <t>- Nguyên giá</t>
        </is>
      </c>
      <c r="C61" s="789">
        <f>IF('01. Thong tin chung'!$B$9="Đầy đủ", IF(ISBLANK('06. Phan tich tai chinh_DD'!B56),0,'06. Phan tich tai chinh_DD'!B56),IF(ISBLANK('06. Phan tich tai chinh_RG'!B27),0,'06. Phan tich tai chinh_RG'!B27))</f>
        <v/>
      </c>
      <c r="D61" s="789">
        <f>IF('01. Thong tin chung'!$B$9="Đầy đủ", IF(ISBLANK('06. Phan tich tai chinh_DD'!C56),0,'06. Phan tich tai chinh_DD'!C56),IF(ISBLANK('06. Phan tich tai chinh_RG'!C27),0,'06. Phan tich tai chinh_RG'!C27))</f>
        <v/>
      </c>
      <c r="E61" s="789">
        <f>IF('01. Thong tin chung'!$B$9="Đầy đủ", IF(ISBLANK('06. Phan tich tai chinh_DD'!D56),0,'06. Phan tich tai chinh_DD'!D56),IF(ISBLANK('06. Phan tich tai chinh_RG'!D27),0,'06. Phan tich tai chinh_RG'!D27))</f>
        <v/>
      </c>
      <c r="F61" s="789">
        <f>IF('01. Thong tin chung'!$B$9="Đầy đủ", IF(ISBLANK('06. Phan tich tai chinh_DD'!G56),0,'06. Phan tich tai chinh_DD'!G56),IF(ISBLANK('06. Phan tich tai chinh_RG'!G27),0,'06. Phan tich tai chinh_RG'!G27))</f>
        <v/>
      </c>
      <c r="G61" s="388" t="n"/>
    </row>
    <row r="62">
      <c r="A62" s="795" t="inlineStr">
        <is>
          <t>BS060</t>
        </is>
      </c>
      <c r="B62" s="795" t="inlineStr">
        <is>
          <t>- Giá trị hao mòn lũy kế</t>
        </is>
      </c>
      <c r="C62" s="789">
        <f>IF('01. Thong tin chung'!$B$9="Đầy đủ", IF(ISBLANK('06. Phan tich tai chinh_DD'!B57),0,'06. Phan tich tai chinh_DD'!B57),IF(ISBLANK('06. Phan tich tai chinh_RG'!B28),0,'06. Phan tich tai chinh_RG'!B28))</f>
        <v/>
      </c>
      <c r="D62" s="789">
        <f>IF('01. Thong tin chung'!$B$9="Đầy đủ", IF(ISBLANK('06. Phan tich tai chinh_DD'!C57),0,'06. Phan tich tai chinh_DD'!C57),IF(ISBLANK('06. Phan tich tai chinh_RG'!C28),0,'06. Phan tich tai chinh_RG'!C28))</f>
        <v/>
      </c>
      <c r="E62" s="789">
        <f>IF('01. Thong tin chung'!$B$9="Đầy đủ", IF(ISBLANK('06. Phan tich tai chinh_DD'!D57),0,'06. Phan tich tai chinh_DD'!D57),IF(ISBLANK('06. Phan tich tai chinh_RG'!D28),0,'06. Phan tich tai chinh_RG'!D28))</f>
        <v/>
      </c>
      <c r="F62" s="789">
        <f>IF('01. Thong tin chung'!$B$9="Đầy đủ", IF(ISBLANK('06. Phan tich tai chinh_DD'!G57),0,'06. Phan tich tai chinh_DD'!G57),IF(ISBLANK('06. Phan tich tai chinh_RG'!G28),0,'06. Phan tich tai chinh_RG'!G28))</f>
        <v/>
      </c>
      <c r="G62" s="388" t="n"/>
    </row>
    <row r="63">
      <c r="A63" s="796" t="inlineStr">
        <is>
          <t>BS061</t>
        </is>
      </c>
      <c r="B63" s="796" t="inlineStr">
        <is>
          <t>2. Tài sản cố định thuê tài chính</t>
        </is>
      </c>
      <c r="C63" s="789">
        <f>IF('01. Thong tin chung'!$B$9="Đầy đủ",'06. Phan tich tai chinh_DD'!B58,-99999)</f>
        <v/>
      </c>
      <c r="D63" s="789">
        <f>IF('01. Thong tin chung'!$B$9="Đầy đủ",'06. Phan tich tai chinh_DD'!C58,-99999)</f>
        <v/>
      </c>
      <c r="E63" s="789">
        <f>IF('01. Thong tin chung'!$B$9="Đầy đủ",'06. Phan tich tai chinh_DD'!D58,-99999)</f>
        <v/>
      </c>
      <c r="F63" s="789">
        <f>IF('01. Thong tin chung'!$B$9="Đầy đủ",'06. Phan tich tai chinh_DD'!G58,-99999)</f>
        <v/>
      </c>
      <c r="G63" s="388" t="n"/>
    </row>
    <row r="64">
      <c r="A64" s="795" t="inlineStr">
        <is>
          <t>BS062</t>
        </is>
      </c>
      <c r="B64" s="795" t="inlineStr">
        <is>
          <t>- Nguyên giá</t>
        </is>
      </c>
      <c r="C64" s="789">
        <f>IF('01. Thong tin chung'!$B$9="Đầy đủ",'06. Phan tich tai chinh_DD'!B59,-99999)</f>
        <v/>
      </c>
      <c r="D64" s="789">
        <f>IF('01. Thong tin chung'!$B$9="Đầy đủ",'06. Phan tich tai chinh_DD'!C59,-99999)</f>
        <v/>
      </c>
      <c r="E64" s="789">
        <f>IF('01. Thong tin chung'!$B$9="Đầy đủ",'06. Phan tich tai chinh_DD'!D59,-99999)</f>
        <v/>
      </c>
      <c r="F64" s="789">
        <f>IF('01. Thong tin chung'!$B$9="Đầy đủ",'06. Phan tich tai chinh_DD'!G59,-99999)</f>
        <v/>
      </c>
      <c r="G64" s="388" t="n"/>
    </row>
    <row r="65">
      <c r="A65" s="795" t="inlineStr">
        <is>
          <t>BS063</t>
        </is>
      </c>
      <c r="B65" s="795" t="inlineStr">
        <is>
          <t>- Giá trị hao mòn lũy kế</t>
        </is>
      </c>
      <c r="C65" s="789">
        <f>IF('01. Thong tin chung'!$B$9="Đầy đủ",'06. Phan tich tai chinh_DD'!B60,-99999)</f>
        <v/>
      </c>
      <c r="D65" s="789">
        <f>IF('01. Thong tin chung'!$B$9="Đầy đủ",'06. Phan tich tai chinh_DD'!C60,-99999)</f>
        <v/>
      </c>
      <c r="E65" s="789">
        <f>IF('01. Thong tin chung'!$B$9="Đầy đủ",'06. Phan tich tai chinh_DD'!D60,-99999)</f>
        <v/>
      </c>
      <c r="F65" s="789">
        <f>IF('01. Thong tin chung'!$B$9="Đầy đủ",'06. Phan tich tai chinh_DD'!G60,-99999)</f>
        <v/>
      </c>
      <c r="G65" s="388" t="n"/>
    </row>
    <row r="66">
      <c r="A66" s="796" t="inlineStr">
        <is>
          <t>BS064</t>
        </is>
      </c>
      <c r="B66" s="796" t="inlineStr">
        <is>
          <t>3. Tài sản cố định vô hình</t>
        </is>
      </c>
      <c r="C66" s="789">
        <f>IF('01. Thong tin chung'!$B$9="Đầy đủ",'06. Phan tich tai chinh_DD'!B61,-99999)</f>
        <v/>
      </c>
      <c r="D66" s="789">
        <f>IF('01. Thong tin chung'!$B$9="Đầy đủ",'06. Phan tich tai chinh_DD'!C61,-99999)</f>
        <v/>
      </c>
      <c r="E66" s="789">
        <f>IF('01. Thong tin chung'!$B$9="Đầy đủ",'06. Phan tich tai chinh_DD'!D61,-99999)</f>
        <v/>
      </c>
      <c r="F66" s="789">
        <f>IF('01. Thong tin chung'!$B$9="Đầy đủ",'06. Phan tich tai chinh_DD'!G61,-99999)</f>
        <v/>
      </c>
      <c r="G66" s="388" t="n"/>
    </row>
    <row r="67">
      <c r="A67" s="795" t="inlineStr">
        <is>
          <t>BS065</t>
        </is>
      </c>
      <c r="B67" s="795" t="inlineStr">
        <is>
          <t>- Nguyên giá</t>
        </is>
      </c>
      <c r="C67" s="789">
        <f>IF('01. Thong tin chung'!$B$9="Đầy đủ",'06. Phan tich tai chinh_DD'!B62,-99999)</f>
        <v/>
      </c>
      <c r="D67" s="789">
        <f>IF('01. Thong tin chung'!$B$9="Đầy đủ",'06. Phan tich tai chinh_DD'!C62,-99999)</f>
        <v/>
      </c>
      <c r="E67" s="789">
        <f>IF('01. Thong tin chung'!$B$9="Đầy đủ",'06. Phan tich tai chinh_DD'!D62,-99999)</f>
        <v/>
      </c>
      <c r="F67" s="789">
        <f>IF('01. Thong tin chung'!$B$9="Đầy đủ",'06. Phan tich tai chinh_DD'!G62,-99999)</f>
        <v/>
      </c>
      <c r="G67" s="388" t="n"/>
    </row>
    <row r="68">
      <c r="A68" s="795" t="inlineStr">
        <is>
          <t>BS066</t>
        </is>
      </c>
      <c r="B68" s="795" t="inlineStr">
        <is>
          <t>- Giá trị hao mòn lũy kế</t>
        </is>
      </c>
      <c r="C68" s="789">
        <f>IF('01. Thong tin chung'!$B$9="Đầy đủ",'06. Phan tich tai chinh_DD'!B63,-99999)</f>
        <v/>
      </c>
      <c r="D68" s="789">
        <f>IF('01. Thong tin chung'!$B$9="Đầy đủ",'06. Phan tich tai chinh_DD'!C63,-99999)</f>
        <v/>
      </c>
      <c r="E68" s="789">
        <f>IF('01. Thong tin chung'!$B$9="Đầy đủ",'06. Phan tich tai chinh_DD'!D63,-99999)</f>
        <v/>
      </c>
      <c r="F68" s="789">
        <f>IF('01. Thong tin chung'!$B$9="Đầy đủ",'06. Phan tich tai chinh_DD'!G63,-99999)</f>
        <v/>
      </c>
      <c r="G68" s="388" t="n"/>
    </row>
    <row r="69">
      <c r="A69" s="796" t="inlineStr">
        <is>
          <t>BS067</t>
        </is>
      </c>
      <c r="B69" s="796" t="inlineStr">
        <is>
          <t>4. Chi phí xây dựng cơ bản dở dang</t>
        </is>
      </c>
      <c r="C69" s="789">
        <f>IF('01. Thong tin chung'!$B$9="Đầy đủ", IF(ISBLANK('06. Phan tich tai chinh_DD'!B64),0,'06. Phan tich tai chinh_DD'!B64),IF(ISBLANK('06. Phan tich tai chinh_RG'!B32),0,'06. Phan tich tai chinh_RG'!B32))</f>
        <v/>
      </c>
      <c r="D69" s="789">
        <f>IF('01. Thong tin chung'!$B$9="Đầy đủ", IF(ISBLANK('06. Phan tich tai chinh_DD'!C64),0,'06. Phan tich tai chinh_DD'!C64),IF(ISBLANK('06. Phan tich tai chinh_RG'!C32),0,'06. Phan tich tai chinh_RG'!C32))</f>
        <v/>
      </c>
      <c r="E69" s="789">
        <f>IF('01. Thong tin chung'!$B$9="Đầy đủ", IF(ISBLANK('06. Phan tich tai chinh_DD'!D64),0,'06. Phan tich tai chinh_DD'!D64),IF(ISBLANK('06. Phan tich tai chinh_RG'!D32),0,'06. Phan tich tai chinh_RG'!D32))</f>
        <v/>
      </c>
      <c r="F69" s="789">
        <f>IF('01. Thong tin chung'!$B$9="Đầy đủ", IF(ISBLANK('06. Phan tich tai chinh_DD'!G64),0,'06. Phan tich tai chinh_DD'!G64),IF(ISBLANK('06. Phan tich tai chinh_RG'!G32),0,'06. Phan tich tai chinh_RG'!G32))</f>
        <v/>
      </c>
      <c r="G69" s="388" t="n"/>
    </row>
    <row r="70">
      <c r="A70" s="795" t="inlineStr">
        <is>
          <t>BS011</t>
        </is>
      </c>
      <c r="B70" s="795" t="inlineStr">
        <is>
          <t>III. Bất động sản đầu tư</t>
        </is>
      </c>
      <c r="C70" s="789">
        <f>IF('01. Thong tin chung'!$B$9="Đầy đủ", IF(ISBLANK('06. Phan tich tai chinh_DD'!B65),0,'06. Phan tich tai chinh_DD'!B65),IF(ISBLANK('06. Phan tich tai chinh_RG'!B29),0,'06. Phan tich tai chinh_RG'!B29))</f>
        <v/>
      </c>
      <c r="D70" s="789">
        <f>IF('01. Thong tin chung'!$B$9="Đầy đủ", IF(ISBLANK('06. Phan tich tai chinh_DD'!C65),0,'06. Phan tich tai chinh_DD'!C65),IF(ISBLANK('06. Phan tich tai chinh_RG'!C29),0,'06. Phan tich tai chinh_RG'!C29))</f>
        <v/>
      </c>
      <c r="E70" s="789">
        <f>IF('01. Thong tin chung'!$B$9="Đầy đủ", IF(ISBLANK('06. Phan tich tai chinh_DD'!D65),0,'06. Phan tich tai chinh_DD'!D65),IF(ISBLANK('06. Phan tich tai chinh_RG'!D29),0,'06. Phan tich tai chinh_RG'!D29))</f>
        <v/>
      </c>
      <c r="F70" s="789">
        <f>IF('01. Thong tin chung'!$B$9="Đầy đủ", IF(ISBLANK('06. Phan tich tai chinh_DD'!G65),0,'06. Phan tich tai chinh_DD'!G65),IF(ISBLANK('06. Phan tich tai chinh_RG'!G29),0,'06. Phan tich tai chinh_RG'!G29))</f>
        <v/>
      </c>
      <c r="G70" s="388" t="n"/>
    </row>
    <row r="71">
      <c r="A71" s="795" t="inlineStr">
        <is>
          <t>BS068</t>
        </is>
      </c>
      <c r="B71" s="795" t="inlineStr">
        <is>
          <t>- Nguyên giá</t>
        </is>
      </c>
      <c r="C71" s="789">
        <f>IF('01. Thong tin chung'!$B$9="Đầy đủ", IF(ISBLANK('06. Phan tich tai chinh_DD'!B66),0,'06. Phan tich tai chinh_DD'!B66),IF(ISBLANK('06. Phan tich tai chinh_RG'!B30),0,'06. Phan tich tai chinh_RG'!B30))</f>
        <v/>
      </c>
      <c r="D71" s="789">
        <f>IF('01. Thong tin chung'!$B$9="Đầy đủ", IF(ISBLANK('06. Phan tich tai chinh_DD'!C66),0,'06. Phan tich tai chinh_DD'!C66),IF(ISBLANK('06. Phan tich tai chinh_RG'!C30),0,'06. Phan tich tai chinh_RG'!C30))</f>
        <v/>
      </c>
      <c r="E71" s="789">
        <f>IF('01. Thong tin chung'!$B$9="Đầy đủ", IF(ISBLANK('06. Phan tich tai chinh_DD'!D66),0,'06. Phan tich tai chinh_DD'!D66),IF(ISBLANK('06. Phan tich tai chinh_RG'!D30),0,'06. Phan tich tai chinh_RG'!D30))</f>
        <v/>
      </c>
      <c r="F71" s="789">
        <f>IF('01. Thong tin chung'!$B$9="Đầy đủ", IF(ISBLANK('06. Phan tich tai chinh_DD'!G66),0,'06. Phan tich tai chinh_DD'!G66),IF(ISBLANK('06. Phan tich tai chinh_RG'!G30),0,'06. Phan tich tai chinh_RG'!G30))</f>
        <v/>
      </c>
      <c r="G71" s="388" t="n"/>
    </row>
    <row r="72">
      <c r="A72" s="795" t="inlineStr">
        <is>
          <t>BS069</t>
        </is>
      </c>
      <c r="B72" s="795" t="inlineStr">
        <is>
          <t>- Giá trị hao mòn lũy kế</t>
        </is>
      </c>
      <c r="C72" s="789">
        <f>IF('01. Thong tin chung'!$B$9="Đầy đủ", IF(ISBLANK('06. Phan tich tai chinh_DD'!B67),0,'06. Phan tich tai chinh_DD'!B67),IF(ISBLANK('06. Phan tich tai chinh_RG'!B31),0,'06. Phan tich tai chinh_RG'!B31))</f>
        <v/>
      </c>
      <c r="D72" s="789">
        <f>IF('01. Thong tin chung'!$B$9="Đầy đủ", IF(ISBLANK('06. Phan tich tai chinh_DD'!C67),0,'06. Phan tich tai chinh_DD'!C67),IF(ISBLANK('06. Phan tich tai chinh_RG'!C31),0,'06. Phan tich tai chinh_RG'!C31))</f>
        <v/>
      </c>
      <c r="E72" s="789">
        <f>IF('01. Thong tin chung'!$B$9="Đầy đủ", IF(ISBLANK('06. Phan tich tai chinh_DD'!D67),0,'06. Phan tich tai chinh_DD'!D67),IF(ISBLANK('06. Phan tich tai chinh_RG'!D31),0,'06. Phan tich tai chinh_RG'!D31))</f>
        <v/>
      </c>
      <c r="F72" s="789">
        <f>IF('01. Thong tin chung'!$B$9="Đầy đủ", IF(ISBLANK('06. Phan tich tai chinh_DD'!G67),0,'06. Phan tich tai chinh_DD'!G67),IF(ISBLANK('06. Phan tich tai chinh_RG'!G31),0,'06. Phan tich tai chinh_RG'!G31))</f>
        <v/>
      </c>
      <c r="G72" s="388" t="n"/>
    </row>
    <row r="73">
      <c r="A73" s="795" t="inlineStr">
        <is>
          <t>BS012</t>
        </is>
      </c>
      <c r="B73" s="795" t="inlineStr">
        <is>
          <t>IV. Các khoản đầu tư tài chính dài hạn</t>
        </is>
      </c>
      <c r="C73" s="789">
        <f>IF('01. Thong tin chung'!$B$9="Đầy đủ",'06. Phan tich tai chinh_DD'!B68,-99999)</f>
        <v/>
      </c>
      <c r="D73" s="789">
        <f>IF('01. Thong tin chung'!$B$9="Đầy đủ",'06. Phan tich tai chinh_DD'!C68,-99999)</f>
        <v/>
      </c>
      <c r="E73" s="789">
        <f>IF('01. Thong tin chung'!$B$9="Đầy đủ",'06. Phan tich tai chinh_DD'!D68,-99999)</f>
        <v/>
      </c>
      <c r="F73" s="789">
        <f>IF('01. Thong tin chung'!$B$9="Đầy đủ",'06. Phan tich tai chinh_DD'!G68,-99999)</f>
        <v/>
      </c>
      <c r="G73" s="388" t="n"/>
    </row>
    <row r="74">
      <c r="A74" s="796" t="inlineStr">
        <is>
          <t>BS070</t>
        </is>
      </c>
      <c r="B74" s="796" t="inlineStr">
        <is>
          <t>1. Đầu tư vào công ty con</t>
        </is>
      </c>
      <c r="C74" s="789">
        <f>IF('01. Thong tin chung'!$B$9="Đầy đủ",'06. Phan tich tai chinh_DD'!B69,-99999)</f>
        <v/>
      </c>
      <c r="D74" s="789">
        <f>IF('01. Thong tin chung'!$B$9="Đầy đủ",'06. Phan tich tai chinh_DD'!C69,-99999)</f>
        <v/>
      </c>
      <c r="E74" s="789">
        <f>IF('01. Thong tin chung'!$B$9="Đầy đủ",'06. Phan tich tai chinh_DD'!D69,-99999)</f>
        <v/>
      </c>
      <c r="F74" s="789">
        <f>IF('01. Thong tin chung'!$B$9="Đầy đủ",'06. Phan tich tai chinh_DD'!G69,-99999)</f>
        <v/>
      </c>
      <c r="G74" s="388" t="n"/>
    </row>
    <row r="75">
      <c r="A75" s="796" t="inlineStr">
        <is>
          <t>BS071</t>
        </is>
      </c>
      <c r="B75" s="796" t="inlineStr">
        <is>
          <t>2. Đầu tư vào công ty liên kết, liên doanh</t>
        </is>
      </c>
      <c r="C75" s="789">
        <f>IF('01. Thong tin chung'!$B$9="Đầy đủ",'06. Phan tich tai chinh_DD'!B70,-99999)</f>
        <v/>
      </c>
      <c r="D75" s="789">
        <f>IF('01. Thong tin chung'!$B$9="Đầy đủ",'06. Phan tich tai chinh_DD'!C70,-99999)</f>
        <v/>
      </c>
      <c r="E75" s="789">
        <f>IF('01. Thong tin chung'!$B$9="Đầy đủ",'06. Phan tich tai chinh_DD'!D70,-99999)</f>
        <v/>
      </c>
      <c r="F75" s="789">
        <f>IF('01. Thong tin chung'!$B$9="Đầy đủ",'06. Phan tich tai chinh_DD'!G70,-99999)</f>
        <v/>
      </c>
      <c r="G75" s="388" t="n"/>
    </row>
    <row r="76">
      <c r="A76" s="796" t="inlineStr">
        <is>
          <t>BS072</t>
        </is>
      </c>
      <c r="B76" s="796" t="inlineStr">
        <is>
          <t>3. Đầu tư dài hạn khác</t>
        </is>
      </c>
      <c r="C76" s="789">
        <f>IF('01. Thong tin chung'!$B$9="Đầy đủ",'06. Phan tich tai chinh_DD'!B71,-99999)</f>
        <v/>
      </c>
      <c r="D76" s="789">
        <f>IF('01. Thong tin chung'!$B$9="Đầy đủ",'06. Phan tich tai chinh_DD'!C71,-99999)</f>
        <v/>
      </c>
      <c r="E76" s="789">
        <f>IF('01. Thong tin chung'!$B$9="Đầy đủ",'06. Phan tich tai chinh_DD'!D71,-99999)</f>
        <v/>
      </c>
      <c r="F76" s="789">
        <f>IF('01. Thong tin chung'!$B$9="Đầy đủ",'06. Phan tich tai chinh_DD'!G71,-99999)</f>
        <v/>
      </c>
      <c r="G76" s="388" t="n"/>
    </row>
    <row r="77">
      <c r="A77" s="796" t="inlineStr">
        <is>
          <t>BS073</t>
        </is>
      </c>
      <c r="B77" s="796" t="inlineStr">
        <is>
          <t>4. Dự phòng giảm giá đầu tư tài chính dài hạn</t>
        </is>
      </c>
      <c r="C77" s="789">
        <f>IF('01. Thong tin chung'!$B$9="Đầy đủ",'06. Phan tich tai chinh_DD'!B72,-99999)</f>
        <v/>
      </c>
      <c r="D77" s="789">
        <f>IF('01. Thong tin chung'!$B$9="Đầy đủ",'06. Phan tich tai chinh_DD'!C72,-99999)</f>
        <v/>
      </c>
      <c r="E77" s="789">
        <f>IF('01. Thong tin chung'!$B$9="Đầy đủ",'06. Phan tich tai chinh_DD'!D72,-99999)</f>
        <v/>
      </c>
      <c r="F77" s="789">
        <f>IF('01. Thong tin chung'!$B$9="Đầy đủ",'06. Phan tich tai chinh_DD'!G72,-99999)</f>
        <v/>
      </c>
      <c r="G77" s="388" t="n"/>
    </row>
    <row r="78">
      <c r="A78" s="796" t="inlineStr">
        <is>
          <t>BS074</t>
        </is>
      </c>
      <c r="B78" s="796" t="inlineStr">
        <is>
          <t>5. Đầu tư tài chính dài hạn (trong trường hợp báo cáo không có thông tin)</t>
        </is>
      </c>
      <c r="C78" s="789">
        <f>IF('01. Thong tin chung'!$B$9="Đầy đủ",'06. Phan tich tai chinh_DD'!B73,-99999)</f>
        <v/>
      </c>
      <c r="D78" s="789">
        <f>IF('01. Thong tin chung'!$B$9="Đầy đủ",'06. Phan tich tai chinh_DD'!C73,-99999)</f>
        <v/>
      </c>
      <c r="E78" s="789">
        <f>IF('01. Thong tin chung'!$B$9="Đầy đủ",'06. Phan tich tai chinh_DD'!D73,-99999)</f>
        <v/>
      </c>
      <c r="F78" s="789">
        <f>IF('01. Thong tin chung'!$B$9="Đầy đủ",'06. Phan tich tai chinh_DD'!G73,-99999)</f>
        <v/>
      </c>
      <c r="G78" s="388" t="n"/>
    </row>
    <row r="79">
      <c r="A79" s="796" t="inlineStr">
        <is>
          <t>BS131</t>
        </is>
      </c>
      <c r="B79" s="798" t="inlineStr">
        <is>
          <t>VIII. Tài sản khác</t>
        </is>
      </c>
      <c r="C79" s="789">
        <f>IF('01. Thong tin chung'!$B$9="Rút gọn",'06. Phan tich tai chinh_RG'!B33,-99999)</f>
        <v/>
      </c>
      <c r="D79" s="789">
        <f>IF('01. Thong tin chung'!$B$9="Rút gọn",'06. Phan tich tai chinh_RG'!C33,-99999)</f>
        <v/>
      </c>
      <c r="E79" s="789">
        <f>IF('01. Thong tin chung'!$B$9="Rút gọn",'06. Phan tich tai chinh_RG'!D33,-99999)</f>
        <v/>
      </c>
      <c r="F79" s="789">
        <f>IF('01. Thong tin chung'!$B$9="Rút gọn",'06. Phan tich tai chinh_RG'!G33,-99999)</f>
        <v/>
      </c>
      <c r="G79" s="388" t="n"/>
    </row>
    <row r="80">
      <c r="A80" s="796" t="inlineStr">
        <is>
          <t>BS132</t>
        </is>
      </c>
      <c r="B80" s="799" t="inlineStr">
        <is>
          <t>1. Thuế GTGT được khấu trừ</t>
        </is>
      </c>
      <c r="C80" s="789">
        <f>IF('01. Thong tin chung'!$B$9="Rút gọn",'06. Phan tich tai chinh_RG'!B34,-99999)</f>
        <v/>
      </c>
      <c r="D80" s="789">
        <f>IF('01. Thong tin chung'!$B$9="Rút gọn",'06. Phan tich tai chinh_RG'!C34,-99999)</f>
        <v/>
      </c>
      <c r="E80" s="789">
        <f>IF('01. Thong tin chung'!$B$9="Rút gọn",'06. Phan tich tai chinh_RG'!D34,-99999)</f>
        <v/>
      </c>
      <c r="F80" s="789">
        <f>IF('01. Thong tin chung'!$B$9="Rút gọn",'06. Phan tich tai chinh_RG'!G34,-99999)</f>
        <v/>
      </c>
      <c r="G80" s="388" t="n"/>
    </row>
    <row r="81">
      <c r="A81" s="796" t="inlineStr">
        <is>
          <t>BS133</t>
        </is>
      </c>
      <c r="B81" s="799" t="inlineStr">
        <is>
          <t>2. Tài sản khác</t>
        </is>
      </c>
      <c r="C81" s="789">
        <f>IF('01. Thong tin chung'!$B$9="Rút gọn",'06. Phan tich tai chinh_RG'!B35,-99999)</f>
        <v/>
      </c>
      <c r="D81" s="789">
        <f>IF('01. Thong tin chung'!$B$9="Rút gọn",'06. Phan tich tai chinh_RG'!C35,-99999)</f>
        <v/>
      </c>
      <c r="E81" s="789">
        <f>IF('01. Thong tin chung'!$B$9="Rút gọn",'06. Phan tich tai chinh_RG'!D35,-99999)</f>
        <v/>
      </c>
      <c r="F81" s="789">
        <f>IF('01. Thong tin chung'!$B$9="Rút gọn",'06. Phan tich tai chinh_RG'!G35,-99999)</f>
        <v/>
      </c>
      <c r="G81" s="388" t="n"/>
    </row>
    <row r="82">
      <c r="A82" s="795" t="inlineStr">
        <is>
          <t>BS013</t>
        </is>
      </c>
      <c r="B82" s="795" t="inlineStr">
        <is>
          <t>V. Tài sản dài hạn khác</t>
        </is>
      </c>
      <c r="C82" s="789">
        <f>IF('01. Thong tin chung'!$B$9="Đầy đủ",'06. Phan tich tai chinh_DD'!B74,-99999)</f>
        <v/>
      </c>
      <c r="D82" s="789">
        <f>IF('01. Thong tin chung'!$B$9="Đầy đủ",'06. Phan tich tai chinh_DD'!C74,-99999)</f>
        <v/>
      </c>
      <c r="E82" s="789">
        <f>IF('01. Thong tin chung'!$B$9="Đầy đủ",'06. Phan tich tai chinh_DD'!D74,-99999)</f>
        <v/>
      </c>
      <c r="F82" s="789">
        <f>IF('01. Thong tin chung'!$B$9="Đầy đủ",'06. Phan tich tai chinh_DD'!G74,-99999)</f>
        <v/>
      </c>
      <c r="G82" s="388" t="n"/>
    </row>
    <row r="83">
      <c r="A83" s="796" t="inlineStr">
        <is>
          <t>BS075</t>
        </is>
      </c>
      <c r="B83" s="796" t="inlineStr">
        <is>
          <t>1. Chi phí trả trước dài hạn</t>
        </is>
      </c>
      <c r="C83" s="789">
        <f>IF('01. Thong tin chung'!$B$9="Đầy đủ",'06. Phan tich tai chinh_DD'!B75,-99999)</f>
        <v/>
      </c>
      <c r="D83" s="789">
        <f>IF('01. Thong tin chung'!$B$9="Đầy đủ",'06. Phan tich tai chinh_DD'!C75,-99999)</f>
        <v/>
      </c>
      <c r="E83" s="789">
        <f>IF('01. Thong tin chung'!$B$9="Đầy đủ",'06. Phan tich tai chinh_DD'!D75,-99999)</f>
        <v/>
      </c>
      <c r="F83" s="789">
        <f>IF('01. Thong tin chung'!$B$9="Đầy đủ",'06. Phan tich tai chinh_DD'!G75,-99999)</f>
        <v/>
      </c>
      <c r="G83" s="388" t="n"/>
    </row>
    <row r="84">
      <c r="A84" s="796" t="inlineStr">
        <is>
          <t>BS076</t>
        </is>
      </c>
      <c r="B84" s="796" t="inlineStr">
        <is>
          <t>2. Tài sản thuế thu nhập hoãn lại</t>
        </is>
      </c>
      <c r="C84" s="789">
        <f>IF('01. Thong tin chung'!$B$9="Đầy đủ",'06. Phan tich tai chinh_DD'!B76,-99999)</f>
        <v/>
      </c>
      <c r="D84" s="789">
        <f>IF('01. Thong tin chung'!$B$9="Đầy đủ",'06. Phan tich tai chinh_DD'!C76,-99999)</f>
        <v/>
      </c>
      <c r="E84" s="789">
        <f>IF('01. Thong tin chung'!$B$9="Đầy đủ",'06. Phan tich tai chinh_DD'!D76,-99999)</f>
        <v/>
      </c>
      <c r="F84" s="789">
        <f>IF('01. Thong tin chung'!$B$9="Đầy đủ",'06. Phan tich tai chinh_DD'!G76,-99999)</f>
        <v/>
      </c>
      <c r="G84" s="388" t="n"/>
    </row>
    <row r="85">
      <c r="A85" s="796" t="inlineStr">
        <is>
          <t>BS077</t>
        </is>
      </c>
      <c r="B85" s="796" t="inlineStr">
        <is>
          <t>3. Phải thu dài hạn</t>
        </is>
      </c>
      <c r="C85" s="789">
        <f>IF('01. Thong tin chung'!$B$9="Đầy đủ",'06. Phan tich tai chinh_DD'!B77,-99999)</f>
        <v/>
      </c>
      <c r="D85" s="789">
        <f>IF('01. Thong tin chung'!$B$9="Đầy đủ",'06. Phan tich tai chinh_DD'!C77,-99999)</f>
        <v/>
      </c>
      <c r="E85" s="789">
        <f>IF('01. Thong tin chung'!$B$9="Đầy đủ",'06. Phan tich tai chinh_DD'!D77,-99999)</f>
        <v/>
      </c>
      <c r="F85" s="789">
        <f>IF('01. Thong tin chung'!$B$9="Đầy đủ",'06. Phan tich tai chinh_DD'!G77,-99999)</f>
        <v/>
      </c>
      <c r="G85" s="388" t="n"/>
    </row>
    <row r="86">
      <c r="A86" s="796" t="inlineStr">
        <is>
          <t>BS078</t>
        </is>
      </c>
      <c r="B86" s="796" t="inlineStr">
        <is>
          <t>4. Tài sản dài hạn khác</t>
        </is>
      </c>
      <c r="C86" s="789">
        <f>IF('01. Thong tin chung'!$B$9="Đầy đủ",'06. Phan tich tai chinh_DD'!B78,-99999)</f>
        <v/>
      </c>
      <c r="D86" s="789">
        <f>IF('01. Thong tin chung'!$B$9="Đầy đủ",'06. Phan tich tai chinh_DD'!C78,-99999)</f>
        <v/>
      </c>
      <c r="E86" s="789">
        <f>IF('01. Thong tin chung'!$B$9="Đầy đủ",'06. Phan tich tai chinh_DD'!D78,-99999)</f>
        <v/>
      </c>
      <c r="F86" s="789">
        <f>IF('01. Thong tin chung'!$B$9="Đầy đủ",'06. Phan tich tai chinh_DD'!G78,-99999)</f>
        <v/>
      </c>
      <c r="G86" s="388" t="n"/>
    </row>
    <row r="87">
      <c r="A87" s="796" t="inlineStr">
        <is>
          <t>BS079</t>
        </is>
      </c>
      <c r="B87" s="796" t="inlineStr">
        <is>
          <t>5. Dự phòng phải thu dài hạn khó đòi</t>
        </is>
      </c>
      <c r="C87" s="789">
        <f>IF('01. Thong tin chung'!$B$9="Đầy đủ",'06. Phan tich tai chinh_DD'!B79,-99999)</f>
        <v/>
      </c>
      <c r="D87" s="789">
        <f>IF('01. Thong tin chung'!$B$9="Đầy đủ",'06. Phan tich tai chinh_DD'!C79,-99999)</f>
        <v/>
      </c>
      <c r="E87" s="789">
        <f>IF('01. Thong tin chung'!$B$9="Đầy đủ",'06. Phan tich tai chinh_DD'!D79,-99999)</f>
        <v/>
      </c>
      <c r="F87" s="789">
        <f>IF('01. Thong tin chung'!$B$9="Đầy đủ",'06. Phan tich tai chinh_DD'!G79,-99999)</f>
        <v/>
      </c>
      <c r="G87" s="388" t="n"/>
    </row>
    <row r="88">
      <c r="A88" s="795" t="inlineStr">
        <is>
          <t>BS014</t>
        </is>
      </c>
      <c r="B88" s="795" t="inlineStr">
        <is>
          <t>VI. Lợi thế thương mại</t>
        </is>
      </c>
      <c r="C88" s="789">
        <f>IF('01. Thong tin chung'!$B$9="Đầy đủ",'06. Phan tich tai chinh_DD'!B80,-99999)</f>
        <v/>
      </c>
      <c r="D88" s="789">
        <f>IF('01. Thong tin chung'!$B$9="Đầy đủ",'06. Phan tich tai chinh_DD'!C80,-99999)</f>
        <v/>
      </c>
      <c r="E88" s="789">
        <f>IF('01. Thong tin chung'!$B$9="Đầy đủ",'06. Phan tich tai chinh_DD'!D80,-99999)</f>
        <v/>
      </c>
      <c r="F88" s="789">
        <f>IF('01. Thong tin chung'!$B$9="Đầy đủ",'06. Phan tich tai chinh_DD'!G80,-99999)</f>
        <v/>
      </c>
      <c r="G88" s="388" t="n"/>
    </row>
    <row r="89">
      <c r="A89" s="795" t="inlineStr">
        <is>
          <t>BS015</t>
        </is>
      </c>
      <c r="B89" s="795" t="inlineStr">
        <is>
          <t>TỔNG NGUỒN VỐN</t>
        </is>
      </c>
      <c r="C89" s="789">
        <f>IF('01. Thong tin chung'!$B$9="Đầy đủ", IF(ISBLANK('06. Phan tich tai chinh_DD'!B81),0,'06. Phan tich tai chinh_DD'!B81),IF(ISBLANK('06. Phan tich tai chinh_RG'!B36),0,'06. Phan tich tai chinh_RG'!B36))</f>
        <v/>
      </c>
      <c r="D89" s="789">
        <f>IF('01. Thong tin chung'!$B$9="Đầy đủ", IF(ISBLANK('06. Phan tich tai chinh_DD'!C81),0,'06. Phan tich tai chinh_DD'!C81),IF(ISBLANK('06. Phan tich tai chinh_RG'!C36),0,'06. Phan tich tai chinh_RG'!C36))</f>
        <v/>
      </c>
      <c r="E89" s="789">
        <f>IF('01. Thong tin chung'!$B$9="Đầy đủ", IF(ISBLANK('06. Phan tich tai chinh_DD'!D81),0,'06. Phan tich tai chinh_DD'!D81),IF(ISBLANK('06. Phan tich tai chinh_RG'!D36),0,'06. Phan tich tai chinh_RG'!D36))</f>
        <v/>
      </c>
      <c r="F89" s="789">
        <f>IF('01. Thong tin chung'!$B$9="Đầy đủ", IF(ISBLANK('06. Phan tich tai chinh_DD'!G81),0,'06. Phan tich tai chinh_DD'!G81),IF(ISBLANK('06. Phan tich tai chinh_RG'!G36),0,'06. Phan tich tai chinh_RG'!G36))</f>
        <v/>
      </c>
      <c r="G89" s="388" t="n"/>
    </row>
    <row r="90">
      <c r="A90" s="795" t="inlineStr">
        <is>
          <t>BS016</t>
        </is>
      </c>
      <c r="B90" s="795" t="inlineStr">
        <is>
          <t>A. NỢ PHẢI TRẢ</t>
        </is>
      </c>
      <c r="C90" s="789">
        <f>IF('01. Thong tin chung'!$B$9="Đầy đủ", IF(ISBLANK('06. Phan tich tai chinh_DD'!B82),0,'06. Phan tich tai chinh_DD'!B82),IF(ISBLANK('06. Phan tich tai chinh_RG'!B37),0,'06. Phan tich tai chinh_RG'!B37))</f>
        <v/>
      </c>
      <c r="D90" s="789">
        <f>IF('01. Thong tin chung'!$B$9="Đầy đủ", IF(ISBLANK('06. Phan tich tai chinh_DD'!C82),0,'06. Phan tich tai chinh_DD'!C82),IF(ISBLANK('06. Phan tich tai chinh_RG'!C37),0,'06. Phan tich tai chinh_RG'!C37))</f>
        <v/>
      </c>
      <c r="E90" s="789">
        <f>IF('01. Thong tin chung'!$B$9="Đầy đủ", IF(ISBLANK('06. Phan tich tai chinh_DD'!D82),0,'06. Phan tich tai chinh_DD'!D82),IF(ISBLANK('06. Phan tich tai chinh_RG'!D37),0,'06. Phan tich tai chinh_RG'!D37))</f>
        <v/>
      </c>
      <c r="F90" s="789">
        <f>IF('01. Thong tin chung'!$B$9="Đầy đủ", IF(ISBLANK('06. Phan tich tai chinh_DD'!G82),0,'06. Phan tich tai chinh_DD'!G82),IF(ISBLANK('06. Phan tich tai chinh_RG'!G37),0,'06. Phan tich tai chinh_RG'!G37))</f>
        <v/>
      </c>
      <c r="G90" s="388" t="n"/>
    </row>
    <row r="91">
      <c r="A91" s="800" t="inlineStr">
        <is>
          <t>BS134</t>
        </is>
      </c>
      <c r="B91" s="799" t="inlineStr">
        <is>
          <t>1. Phải trả người bán</t>
        </is>
      </c>
      <c r="C91" s="789">
        <f>IF('01. Thong tin chung'!$B$9="Rút gọn",'06. Phan tich tai chinh_RG'!B38,-99999)</f>
        <v/>
      </c>
      <c r="D91" s="789">
        <f>IF('01. Thong tin chung'!$B$9="Rút gọn",'06. Phan tich tai chinh_RG'!C38,-99999)</f>
        <v/>
      </c>
      <c r="E91" s="789">
        <f>IF('01. Thong tin chung'!$B$9="Rút gọn",'06. Phan tich tai chinh_RG'!D38,-99999)</f>
        <v/>
      </c>
      <c r="F91" s="789">
        <f>IF('01. Thong tin chung'!$B$9="Rút gọn",'06. Phan tich tai chinh_RG'!G38,-99999)</f>
        <v/>
      </c>
      <c r="G91" s="388" t="n"/>
    </row>
    <row r="92">
      <c r="A92" s="800" t="inlineStr">
        <is>
          <t>BS135</t>
        </is>
      </c>
      <c r="B92" s="799" t="inlineStr">
        <is>
          <t>2. Người mua trả tiền trước</t>
        </is>
      </c>
      <c r="C92" s="789">
        <f>IF('01. Thong tin chung'!$B$9="Rút gọn",'06. Phan tich tai chinh_RG'!B39,-99999)</f>
        <v/>
      </c>
      <c r="D92" s="789">
        <f>IF('01. Thong tin chung'!$B$9="Rút gọn",'06. Phan tich tai chinh_RG'!C39,-99999)</f>
        <v/>
      </c>
      <c r="E92" s="789">
        <f>IF('01. Thong tin chung'!$B$9="Rút gọn",'06. Phan tich tai chinh_RG'!D39,-99999)</f>
        <v/>
      </c>
      <c r="F92" s="789">
        <f>IF('01. Thong tin chung'!$B$9="Rút gọn",'06. Phan tich tai chinh_RG'!G39,-99999)</f>
        <v/>
      </c>
      <c r="G92" s="388" t="n"/>
    </row>
    <row r="93">
      <c r="A93" s="800" t="inlineStr">
        <is>
          <t>BS136</t>
        </is>
      </c>
      <c r="B93" s="799" t="inlineStr">
        <is>
          <t>3. Thuế và các khoản phải nộp Nhà nước</t>
        </is>
      </c>
      <c r="C93" s="789">
        <f>IF('01. Thong tin chung'!$B$9="Rút gọn",'06. Phan tich tai chinh_RG'!B40,-99999)</f>
        <v/>
      </c>
      <c r="D93" s="789">
        <f>IF('01. Thong tin chung'!$B$9="Rút gọn",'06. Phan tich tai chinh_RG'!C40,-99999)</f>
        <v/>
      </c>
      <c r="E93" s="789">
        <f>IF('01. Thong tin chung'!$B$9="Rút gọn",'06. Phan tich tai chinh_RG'!D40,-99999)</f>
        <v/>
      </c>
      <c r="F93" s="789">
        <f>IF('01. Thong tin chung'!$B$9="Rút gọn",'06. Phan tich tai chinh_RG'!G40,-99999)</f>
        <v/>
      </c>
      <c r="G93" s="388" t="n"/>
    </row>
    <row r="94">
      <c r="A94" s="800" t="inlineStr">
        <is>
          <t>BS137</t>
        </is>
      </c>
      <c r="B94" s="799" t="inlineStr">
        <is>
          <t>4. Phải trả người lao động</t>
        </is>
      </c>
      <c r="C94" s="789">
        <f>IF('01. Thong tin chung'!$B$9="Rút gọn",'06. Phan tich tai chinh_RG'!B41,-99999)</f>
        <v/>
      </c>
      <c r="D94" s="789">
        <f>IF('01. Thong tin chung'!$B$9="Rút gọn",'06. Phan tich tai chinh_RG'!C41,-99999)</f>
        <v/>
      </c>
      <c r="E94" s="789">
        <f>IF('01. Thong tin chung'!$B$9="Rút gọn",'06. Phan tich tai chinh_RG'!D41,-99999)</f>
        <v/>
      </c>
      <c r="F94" s="789">
        <f>IF('01. Thong tin chung'!$B$9="Rút gọn",'06. Phan tich tai chinh_RG'!G41,-99999)</f>
        <v/>
      </c>
      <c r="G94" s="388" t="n"/>
    </row>
    <row r="95">
      <c r="A95" s="800" t="inlineStr">
        <is>
          <t>BS138</t>
        </is>
      </c>
      <c r="B95" s="799" t="inlineStr">
        <is>
          <t>5. Phải trả khác</t>
        </is>
      </c>
      <c r="C95" s="789">
        <f>IF('01. Thong tin chung'!$B$9="Rút gọn",'06. Phan tich tai chinh_RG'!B42,-99999)</f>
        <v/>
      </c>
      <c r="D95" s="789">
        <f>IF('01. Thong tin chung'!$B$9="Rút gọn",'06. Phan tich tai chinh_RG'!C42,-99999)</f>
        <v/>
      </c>
      <c r="E95" s="789">
        <f>IF('01. Thong tin chung'!$B$9="Rút gọn",'06. Phan tich tai chinh_RG'!D42,-99999)</f>
        <v/>
      </c>
      <c r="F95" s="789">
        <f>IF('01. Thong tin chung'!$B$9="Rút gọn",'06. Phan tich tai chinh_RG'!G42,-99999)</f>
        <v/>
      </c>
      <c r="G95" s="388" t="n"/>
    </row>
    <row r="96">
      <c r="A96" s="800" t="inlineStr">
        <is>
          <t>BS139</t>
        </is>
      </c>
      <c r="B96" s="799" t="inlineStr">
        <is>
          <t>6. Vay và nợ thuê tài chính</t>
        </is>
      </c>
      <c r="C96" s="789">
        <f>IF('01. Thong tin chung'!$B$9="Rút gọn",'06. Phan tich tai chinh_RG'!B43,-99999)</f>
        <v/>
      </c>
      <c r="D96" s="789">
        <f>IF('01. Thong tin chung'!$B$9="Rút gọn",'06. Phan tich tai chinh_RG'!C43,-99999)</f>
        <v/>
      </c>
      <c r="E96" s="789">
        <f>IF('01. Thong tin chung'!$B$9="Rút gọn",'06. Phan tich tai chinh_RG'!D43,-99999)</f>
        <v/>
      </c>
      <c r="F96" s="789">
        <f>IF('01. Thong tin chung'!$B$9="Rút gọn",'06. Phan tich tai chinh_RG'!G43,-99999)</f>
        <v/>
      </c>
      <c r="G96" s="388" t="n"/>
    </row>
    <row r="97">
      <c r="A97" s="800" t="inlineStr">
        <is>
          <t>BS140</t>
        </is>
      </c>
      <c r="B97" s="799" t="inlineStr">
        <is>
          <t>7. Phải trả nội bộ về vốn kinh doanh</t>
        </is>
      </c>
      <c r="C97" s="789">
        <f>IF('01. Thong tin chung'!$B$9="Rút gọn",'06. Phan tich tai chinh_RG'!B44,-99999)</f>
        <v/>
      </c>
      <c r="D97" s="789">
        <f>IF('01. Thong tin chung'!$B$9="Rút gọn",'06. Phan tich tai chinh_RG'!C44,-99999)</f>
        <v/>
      </c>
      <c r="E97" s="789">
        <f>IF('01. Thong tin chung'!$B$9="Rút gọn",'06. Phan tich tai chinh_RG'!D44,-99999)</f>
        <v/>
      </c>
      <c r="F97" s="789">
        <f>IF('01. Thong tin chung'!$B$9="Rút gọn",'06. Phan tich tai chinh_RG'!G44,-99999)</f>
        <v/>
      </c>
      <c r="G97" s="388" t="n"/>
    </row>
    <row r="98">
      <c r="A98" s="800" t="inlineStr">
        <is>
          <t>BS141</t>
        </is>
      </c>
      <c r="B98" s="799" t="inlineStr">
        <is>
          <t>8. Dự phòng phải trả</t>
        </is>
      </c>
      <c r="C98" s="789">
        <f>IF('01. Thong tin chung'!$B$9="Rút gọn",'06. Phan tich tai chinh_RG'!B45,-99999)</f>
        <v/>
      </c>
      <c r="D98" s="789">
        <f>IF('01. Thong tin chung'!$B$9="Rút gọn",'06. Phan tich tai chinh_RG'!C45,-99999)</f>
        <v/>
      </c>
      <c r="E98" s="789">
        <f>IF('01. Thong tin chung'!$B$9="Rút gọn",'06. Phan tich tai chinh_RG'!D45,-99999)</f>
        <v/>
      </c>
      <c r="F98" s="789">
        <f>IF('01. Thong tin chung'!$B$9="Rút gọn",'06. Phan tich tai chinh_RG'!G45,-99999)</f>
        <v/>
      </c>
      <c r="G98" s="388" t="n"/>
    </row>
    <row r="99">
      <c r="A99" s="800" t="inlineStr">
        <is>
          <t>BS142</t>
        </is>
      </c>
      <c r="B99" s="799" t="inlineStr">
        <is>
          <t>9. Quỹ khen thưởng, phúc lợi</t>
        </is>
      </c>
      <c r="C99" s="789">
        <f>IF('01. Thong tin chung'!$B$9="Rút gọn",'06. Phan tich tai chinh_RG'!B46,-99999)</f>
        <v/>
      </c>
      <c r="D99" s="789">
        <f>IF('01. Thong tin chung'!$B$9="Rút gọn",'06. Phan tich tai chinh_RG'!C46,-99999)</f>
        <v/>
      </c>
      <c r="E99" s="789">
        <f>IF('01. Thong tin chung'!$B$9="Rút gọn",'06. Phan tich tai chinh_RG'!D46,-99999)</f>
        <v/>
      </c>
      <c r="F99" s="789">
        <f>IF('01. Thong tin chung'!$B$9="Rút gọn",'06. Phan tich tai chinh_RG'!G46,-99999)</f>
        <v/>
      </c>
      <c r="G99" s="388" t="n"/>
    </row>
    <row r="100">
      <c r="A100" s="800" t="inlineStr">
        <is>
          <t>BS143</t>
        </is>
      </c>
      <c r="B100" s="801" t="inlineStr">
        <is>
          <t>10. Quỹ phát triển khoa học và công nghệ</t>
        </is>
      </c>
      <c r="C100" s="789">
        <f>IF('01. Thong tin chung'!$B$9="Rút gọn",'06. Phan tich tai chinh_RG'!B47,-99999)</f>
        <v/>
      </c>
      <c r="D100" s="789">
        <f>IF('01. Thong tin chung'!$B$9="Rút gọn",'06. Phan tich tai chinh_RG'!C47,-99999)</f>
        <v/>
      </c>
      <c r="E100" s="789">
        <f>IF('01. Thong tin chung'!$B$9="Rút gọn",'06. Phan tich tai chinh_RG'!D47,-99999)</f>
        <v/>
      </c>
      <c r="F100" s="789">
        <f>IF('01. Thong tin chung'!$B$9="Rút gọn",'06. Phan tich tai chinh_RG'!G47,-99999)</f>
        <v/>
      </c>
      <c r="G100" s="388" t="n"/>
    </row>
    <row r="101">
      <c r="A101" s="795" t="inlineStr">
        <is>
          <t>BS017</t>
        </is>
      </c>
      <c r="B101" s="795" t="inlineStr">
        <is>
          <t>I. Nợ ngắn hạn</t>
        </is>
      </c>
      <c r="C101" s="789">
        <f>IF('01. Thong tin chung'!$B$9="Đầy đủ",'06. Phan tich tai chinh_DD'!B83,-99999)</f>
        <v/>
      </c>
      <c r="D101" s="789">
        <f>IF('01. Thong tin chung'!$B$9="Đầy đủ",'06. Phan tich tai chinh_DD'!C83,-99999)</f>
        <v/>
      </c>
      <c r="E101" s="789">
        <f>IF('01. Thong tin chung'!$B$9="Đầy đủ",'06. Phan tich tai chinh_DD'!D83,-99999)</f>
        <v/>
      </c>
      <c r="F101" s="789">
        <f>IF('01. Thong tin chung'!$B$9="Đầy đủ",'06. Phan tich tai chinh_DD'!G83,-99999)</f>
        <v/>
      </c>
      <c r="G101" s="388" t="n"/>
    </row>
    <row r="102">
      <c r="A102" s="796" t="inlineStr">
        <is>
          <t>BS080</t>
        </is>
      </c>
      <c r="B102" s="796" t="inlineStr">
        <is>
          <t>1. Vay và nợ ngắn hạn</t>
        </is>
      </c>
      <c r="C102" s="789">
        <f>IF('01. Thong tin chung'!$B$9="Đầy đủ",'06. Phan tich tai chinh_DD'!B84,-99999)</f>
        <v/>
      </c>
      <c r="D102" s="789">
        <f>IF('01. Thong tin chung'!$B$9="Đầy đủ",'06. Phan tich tai chinh_DD'!C84,-99999)</f>
        <v/>
      </c>
      <c r="E102" s="789">
        <f>IF('01. Thong tin chung'!$B$9="Đầy đủ",'06. Phan tich tai chinh_DD'!D84,-99999)</f>
        <v/>
      </c>
      <c r="F102" s="789">
        <f>IF('01. Thong tin chung'!$B$9="Đầy đủ",'06. Phan tich tai chinh_DD'!G84,-99999)</f>
        <v/>
      </c>
      <c r="G102" s="388" t="n"/>
    </row>
    <row r="103">
      <c r="A103" s="795" t="inlineStr">
        <is>
          <t>BS081</t>
        </is>
      </c>
      <c r="B103" s="795" t="inlineStr">
        <is>
          <t>- Tr/đó: vay MSB</t>
        </is>
      </c>
      <c r="C103" s="789">
        <f>IF('01. Thong tin chung'!$B$9="Đầy đủ",'06. Phan tich tai chinh_DD'!B85,-99999)</f>
        <v/>
      </c>
      <c r="D103" s="789">
        <f>IF('01. Thong tin chung'!$B$9="Đầy đủ",'06. Phan tich tai chinh_DD'!C85,-99999)</f>
        <v/>
      </c>
      <c r="E103" s="789">
        <f>IF('01. Thong tin chung'!$B$9="Đầy đủ",'06. Phan tich tai chinh_DD'!D85,-99999)</f>
        <v/>
      </c>
      <c r="F103" s="789">
        <f>IF('01. Thong tin chung'!$B$9="Đầy đủ",'06. Phan tich tai chinh_DD'!G85,-99999)</f>
        <v/>
      </c>
      <c r="G103" s="388" t="n"/>
    </row>
    <row r="104">
      <c r="A104" s="796" t="inlineStr">
        <is>
          <t>BS082</t>
        </is>
      </c>
      <c r="B104" s="796" t="inlineStr">
        <is>
          <t>2. Phải trả người bán</t>
        </is>
      </c>
      <c r="C104" s="789">
        <f>IF('01. Thong tin chung'!$B$9="Đầy đủ",'06. Phan tich tai chinh_DD'!B86,-99999)</f>
        <v/>
      </c>
      <c r="D104" s="789">
        <f>IF('01. Thong tin chung'!$B$9="Đầy đủ",'06. Phan tich tai chinh_DD'!C86,-99999)</f>
        <v/>
      </c>
      <c r="E104" s="789">
        <f>IF('01. Thong tin chung'!$B$9="Đầy đủ",'06. Phan tich tai chinh_DD'!D86,-99999)</f>
        <v/>
      </c>
      <c r="F104" s="789">
        <f>IF('01. Thong tin chung'!$B$9="Đầy đủ",'06. Phan tich tai chinh_DD'!G86,-99999)</f>
        <v/>
      </c>
      <c r="G104" s="388" t="n"/>
    </row>
    <row r="105">
      <c r="A105" s="796" t="inlineStr">
        <is>
          <t>BS083</t>
        </is>
      </c>
      <c r="B105" s="796" t="inlineStr">
        <is>
          <t>3. Người mua trả tiền trước</t>
        </is>
      </c>
      <c r="C105" s="789">
        <f>IF('01. Thong tin chung'!$B$9="Đầy đủ",'06. Phan tich tai chinh_DD'!B87,-99999)</f>
        <v/>
      </c>
      <c r="D105" s="789">
        <f>IF('01. Thong tin chung'!$B$9="Đầy đủ",'06. Phan tich tai chinh_DD'!C87,-99999)</f>
        <v/>
      </c>
      <c r="E105" s="789">
        <f>IF('01. Thong tin chung'!$B$9="Đầy đủ",'06. Phan tich tai chinh_DD'!D87,-99999)</f>
        <v/>
      </c>
      <c r="F105" s="789">
        <f>IF('01. Thong tin chung'!$B$9="Đầy đủ",'06. Phan tich tai chinh_DD'!G87,-99999)</f>
        <v/>
      </c>
      <c r="G105" s="388" t="n"/>
    </row>
    <row r="106">
      <c r="A106" s="796" t="inlineStr">
        <is>
          <t>BS084</t>
        </is>
      </c>
      <c r="B106" s="796" t="inlineStr">
        <is>
          <t>4. Thuế và các khoản phải nộp Nhà nước</t>
        </is>
      </c>
      <c r="C106" s="789">
        <f>IF('01. Thong tin chung'!$B$9="Đầy đủ",'06. Phan tich tai chinh_DD'!B88,-99999)</f>
        <v/>
      </c>
      <c r="D106" s="789">
        <f>IF('01. Thong tin chung'!$B$9="Đầy đủ",'06. Phan tich tai chinh_DD'!C88,-99999)</f>
        <v/>
      </c>
      <c r="E106" s="789">
        <f>IF('01. Thong tin chung'!$B$9="Đầy đủ",'06. Phan tich tai chinh_DD'!D88,-99999)</f>
        <v/>
      </c>
      <c r="F106" s="789">
        <f>IF('01. Thong tin chung'!$B$9="Đầy đủ",'06. Phan tich tai chinh_DD'!G88,-99999)</f>
        <v/>
      </c>
      <c r="G106" s="388" t="n"/>
    </row>
    <row r="107">
      <c r="A107" s="796" t="inlineStr">
        <is>
          <t>BS085</t>
        </is>
      </c>
      <c r="B107" s="796" t="inlineStr">
        <is>
          <t>5. Phải trả người lao động</t>
        </is>
      </c>
      <c r="C107" s="789">
        <f>IF('01. Thong tin chung'!$B$9="Đầy đủ",'06. Phan tich tai chinh_DD'!B89,-99999)</f>
        <v/>
      </c>
      <c r="D107" s="789">
        <f>IF('01. Thong tin chung'!$B$9="Đầy đủ",'06. Phan tich tai chinh_DD'!C89,-99999)</f>
        <v/>
      </c>
      <c r="E107" s="789">
        <f>IF('01. Thong tin chung'!$B$9="Đầy đủ",'06. Phan tich tai chinh_DD'!D89,-99999)</f>
        <v/>
      </c>
      <c r="F107" s="789">
        <f>IF('01. Thong tin chung'!$B$9="Đầy đủ",'06. Phan tich tai chinh_DD'!G89,-99999)</f>
        <v/>
      </c>
      <c r="G107" s="388" t="n"/>
    </row>
    <row r="108">
      <c r="A108" s="796" t="inlineStr">
        <is>
          <t>BS086</t>
        </is>
      </c>
      <c r="B108" s="796" t="inlineStr">
        <is>
          <t>6. Chi phí phải trả</t>
        </is>
      </c>
      <c r="C108" s="789">
        <f>IF('01. Thong tin chung'!$B$9="Đầy đủ",'06. Phan tich tai chinh_DD'!B90,-99999)</f>
        <v/>
      </c>
      <c r="D108" s="789">
        <f>IF('01. Thong tin chung'!$B$9="Đầy đủ",'06. Phan tich tai chinh_DD'!C90,-99999)</f>
        <v/>
      </c>
      <c r="E108" s="789">
        <f>IF('01. Thong tin chung'!$B$9="Đầy đủ",'06. Phan tich tai chinh_DD'!D90,-99999)</f>
        <v/>
      </c>
      <c r="F108" s="789">
        <f>IF('01. Thong tin chung'!$B$9="Đầy đủ",'06. Phan tich tai chinh_DD'!G90,-99999)</f>
        <v/>
      </c>
      <c r="G108" s="388" t="n"/>
    </row>
    <row r="109">
      <c r="A109" s="796" t="inlineStr">
        <is>
          <t>BS087</t>
        </is>
      </c>
      <c r="B109" s="796" t="inlineStr">
        <is>
          <t>7. Phải trả nội bộ</t>
        </is>
      </c>
      <c r="C109" s="789">
        <f>IF('01. Thong tin chung'!$B$9="Đầy đủ",'06. Phan tich tai chinh_DD'!B91,-99999)</f>
        <v/>
      </c>
      <c r="D109" s="789">
        <f>IF('01. Thong tin chung'!$B$9="Đầy đủ",'06. Phan tich tai chinh_DD'!C91,-99999)</f>
        <v/>
      </c>
      <c r="E109" s="789">
        <f>IF('01. Thong tin chung'!$B$9="Đầy đủ",'06. Phan tich tai chinh_DD'!D91,-99999)</f>
        <v/>
      </c>
      <c r="F109" s="789">
        <f>IF('01. Thong tin chung'!$B$9="Đầy đủ",'06. Phan tich tai chinh_DD'!G91,-99999)</f>
        <v/>
      </c>
      <c r="G109" s="388" t="n"/>
    </row>
    <row r="110">
      <c r="A110" s="796" t="inlineStr">
        <is>
          <t>BS088</t>
        </is>
      </c>
      <c r="B110" s="796" t="inlineStr">
        <is>
          <t>8. Phải trả theo tiến độ kế hoạch hợp đồng xây dựng</t>
        </is>
      </c>
      <c r="C110" s="789">
        <f>IF('01. Thong tin chung'!$B$9="Đầy đủ",'06. Phan tich tai chinh_DD'!B92,-99999)</f>
        <v/>
      </c>
      <c r="D110" s="789">
        <f>IF('01. Thong tin chung'!$B$9="Đầy đủ",'06. Phan tich tai chinh_DD'!C92,-99999)</f>
        <v/>
      </c>
      <c r="E110" s="789">
        <f>IF('01. Thong tin chung'!$B$9="Đầy đủ",'06. Phan tich tai chinh_DD'!D92,-99999)</f>
        <v/>
      </c>
      <c r="F110" s="789">
        <f>IF('01. Thong tin chung'!$B$9="Đầy đủ",'06. Phan tich tai chinh_DD'!G92,-99999)</f>
        <v/>
      </c>
      <c r="G110" s="388" t="n"/>
    </row>
    <row r="111">
      <c r="A111" s="796" t="inlineStr">
        <is>
          <t>BS089</t>
        </is>
      </c>
      <c r="B111" s="796" t="inlineStr">
        <is>
          <t>9. Các khoản phải trả, phải nộp ngắn hạn khác</t>
        </is>
      </c>
      <c r="C111" s="789">
        <f>IF('01. Thong tin chung'!$B$9="Đầy đủ",'06. Phan tich tai chinh_DD'!B93,-99999)</f>
        <v/>
      </c>
      <c r="D111" s="789">
        <f>IF('01. Thong tin chung'!$B$9="Đầy đủ",'06. Phan tich tai chinh_DD'!C93,-99999)</f>
        <v/>
      </c>
      <c r="E111" s="789">
        <f>IF('01. Thong tin chung'!$B$9="Đầy đủ",'06. Phan tich tai chinh_DD'!D93,-99999)</f>
        <v/>
      </c>
      <c r="F111" s="789">
        <f>IF('01. Thong tin chung'!$B$9="Đầy đủ",'06. Phan tich tai chinh_DD'!G93,-99999)</f>
        <v/>
      </c>
      <c r="G111" s="388" t="n"/>
    </row>
    <row r="112">
      <c r="A112" s="796" t="inlineStr">
        <is>
          <t>BS090</t>
        </is>
      </c>
      <c r="B112" s="796" t="inlineStr">
        <is>
          <t>10. Dự phòng phải trả ngắn hạn</t>
        </is>
      </c>
      <c r="C112" s="789">
        <f>IF('01. Thong tin chung'!$B$9="Đầy đủ",'06. Phan tich tai chinh_DD'!B94,-99999)</f>
        <v/>
      </c>
      <c r="D112" s="789">
        <f>IF('01. Thong tin chung'!$B$9="Đầy đủ",'06. Phan tich tai chinh_DD'!C94,-99999)</f>
        <v/>
      </c>
      <c r="E112" s="789">
        <f>IF('01. Thong tin chung'!$B$9="Đầy đủ",'06. Phan tich tai chinh_DD'!D94,-99999)</f>
        <v/>
      </c>
      <c r="F112" s="789">
        <f>IF('01. Thong tin chung'!$B$9="Đầy đủ",'06. Phan tich tai chinh_DD'!G94,-99999)</f>
        <v/>
      </c>
      <c r="G112" s="388" t="n"/>
    </row>
    <row r="113">
      <c r="A113" s="796" t="inlineStr">
        <is>
          <t>BS091</t>
        </is>
      </c>
      <c r="B113" s="796" t="inlineStr">
        <is>
          <t>11. Quỹ khen thưởng, phúc lợi</t>
        </is>
      </c>
      <c r="C113" s="789">
        <f>IF('01. Thong tin chung'!$B$9="Đầy đủ",'06. Phan tich tai chinh_DD'!B95,-99999)</f>
        <v/>
      </c>
      <c r="D113" s="789">
        <f>IF('01. Thong tin chung'!$B$9="Đầy đủ",'06. Phan tich tai chinh_DD'!C95,-99999)</f>
        <v/>
      </c>
      <c r="E113" s="789">
        <f>IF('01. Thong tin chung'!$B$9="Đầy đủ",'06. Phan tich tai chinh_DD'!D95,-99999)</f>
        <v/>
      </c>
      <c r="F113" s="789">
        <f>IF('01. Thong tin chung'!$B$9="Đầy đủ",'06. Phan tich tai chinh_DD'!G95,-99999)</f>
        <v/>
      </c>
      <c r="G113" s="388" t="n"/>
    </row>
    <row r="114">
      <c r="A114" s="796" t="inlineStr">
        <is>
          <t>BS092</t>
        </is>
      </c>
      <c r="B114" s="796" t="inlineStr">
        <is>
          <t>12. Giao dịch mua bán lại trái phiếu chính phủ</t>
        </is>
      </c>
      <c r="C114" s="789">
        <f>IF('01. Thong tin chung'!$B$9="Đầy đủ",'06. Phan tich tai chinh_DD'!B96,-99999)</f>
        <v/>
      </c>
      <c r="D114" s="789">
        <f>IF('01. Thong tin chung'!$B$9="Đầy đủ",'06. Phan tich tai chinh_DD'!C96,-99999)</f>
        <v/>
      </c>
      <c r="E114" s="789">
        <f>IF('01. Thong tin chung'!$B$9="Đầy đủ",'06. Phan tich tai chinh_DD'!D96,-99999)</f>
        <v/>
      </c>
      <c r="F114" s="789">
        <f>IF('01. Thong tin chung'!$B$9="Đầy đủ",'06. Phan tich tai chinh_DD'!G96,-99999)</f>
        <v/>
      </c>
      <c r="G114" s="388" t="n"/>
    </row>
    <row r="115">
      <c r="A115" s="796" t="inlineStr">
        <is>
          <t>BS093</t>
        </is>
      </c>
      <c r="B115" s="796" t="inlineStr">
        <is>
          <t>13. Doanh thu chưa thực hiện ngắn hạn</t>
        </is>
      </c>
      <c r="C115" s="789">
        <f>IF('01. Thong tin chung'!$B$9="Đầy đủ",'06. Phan tich tai chinh_DD'!B97,-99999)</f>
        <v/>
      </c>
      <c r="D115" s="789">
        <f>IF('01. Thong tin chung'!$B$9="Đầy đủ",'06. Phan tich tai chinh_DD'!C97,-99999)</f>
        <v/>
      </c>
      <c r="E115" s="789">
        <f>IF('01. Thong tin chung'!$B$9="Đầy đủ",'06. Phan tich tai chinh_DD'!D97,-99999)</f>
        <v/>
      </c>
      <c r="F115" s="789">
        <f>IF('01. Thong tin chung'!$B$9="Đầy đủ",'06. Phan tich tai chinh_DD'!G97,-99999)</f>
        <v/>
      </c>
      <c r="G115" s="388" t="n"/>
    </row>
    <row r="116">
      <c r="A116" s="795" t="inlineStr">
        <is>
          <t>BS018</t>
        </is>
      </c>
      <c r="B116" s="795" t="inlineStr">
        <is>
          <t>II. Nợ dài hạn</t>
        </is>
      </c>
      <c r="C116" s="789">
        <f>IF('01. Thong tin chung'!$B$9="Đầy đủ",'06. Phan tich tai chinh_DD'!B98,-99999)</f>
        <v/>
      </c>
      <c r="D116" s="789">
        <f>IF('01. Thong tin chung'!$B$9="Đầy đủ",'06. Phan tich tai chinh_DD'!C98,-99999)</f>
        <v/>
      </c>
      <c r="E116" s="789">
        <f>IF('01. Thong tin chung'!$B$9="Đầy đủ",'06. Phan tich tai chinh_DD'!D98,-99999)</f>
        <v/>
      </c>
      <c r="F116" s="789">
        <f>IF('01. Thong tin chung'!$B$9="Đầy đủ",'06. Phan tich tai chinh_DD'!G98,-99999)</f>
        <v/>
      </c>
      <c r="G116" s="388" t="n"/>
    </row>
    <row r="117">
      <c r="A117" s="796" t="inlineStr">
        <is>
          <t>BS094</t>
        </is>
      </c>
      <c r="B117" s="796" t="inlineStr">
        <is>
          <t>1. Phải trả dài hạn người bán</t>
        </is>
      </c>
      <c r="C117" s="789">
        <f>IF('01. Thong tin chung'!$B$9="Đầy đủ",'06. Phan tich tai chinh_DD'!B99,-99999)</f>
        <v/>
      </c>
      <c r="D117" s="789">
        <f>IF('01. Thong tin chung'!$B$9="Đầy đủ",'06. Phan tich tai chinh_DD'!C99,-99999)</f>
        <v/>
      </c>
      <c r="E117" s="789">
        <f>IF('01. Thong tin chung'!$B$9="Đầy đủ",'06. Phan tich tai chinh_DD'!D99,-99999)</f>
        <v/>
      </c>
      <c r="F117" s="789">
        <f>IF('01. Thong tin chung'!$B$9="Đầy đủ",'06. Phan tich tai chinh_DD'!G99,-99999)</f>
        <v/>
      </c>
      <c r="G117" s="388" t="n"/>
    </row>
    <row r="118">
      <c r="A118" s="796" t="inlineStr">
        <is>
          <t>BS095</t>
        </is>
      </c>
      <c r="B118" s="796" t="inlineStr">
        <is>
          <t>2. Phải trả dài hạn nội bộ</t>
        </is>
      </c>
      <c r="C118" s="789">
        <f>IF('01. Thong tin chung'!$B$9="Đầy đủ",'06. Phan tich tai chinh_DD'!B100,-99999)</f>
        <v/>
      </c>
      <c r="D118" s="789">
        <f>IF('01. Thong tin chung'!$B$9="Đầy đủ",'06. Phan tich tai chinh_DD'!C100,-99999)</f>
        <v/>
      </c>
      <c r="E118" s="789">
        <f>IF('01. Thong tin chung'!$B$9="Đầy đủ",'06. Phan tich tai chinh_DD'!D100,-99999)</f>
        <v/>
      </c>
      <c r="F118" s="789">
        <f>IF('01. Thong tin chung'!$B$9="Đầy đủ",'06. Phan tich tai chinh_DD'!G100,-99999)</f>
        <v/>
      </c>
      <c r="G118" s="388" t="n"/>
    </row>
    <row r="119">
      <c r="A119" s="796" t="inlineStr">
        <is>
          <t>BS096</t>
        </is>
      </c>
      <c r="B119" s="796" t="inlineStr">
        <is>
          <t>3. Phải trả dài hạn khác</t>
        </is>
      </c>
      <c r="C119" s="789">
        <f>IF('01. Thong tin chung'!$B$9="Đầy đủ",'06. Phan tich tai chinh_DD'!B101,-99999)</f>
        <v/>
      </c>
      <c r="D119" s="789">
        <f>IF('01. Thong tin chung'!$B$9="Đầy đủ",'06. Phan tich tai chinh_DD'!C101,-99999)</f>
        <v/>
      </c>
      <c r="E119" s="789">
        <f>IF('01. Thong tin chung'!$B$9="Đầy đủ",'06. Phan tich tai chinh_DD'!D101,-99999)</f>
        <v/>
      </c>
      <c r="F119" s="789">
        <f>IF('01. Thong tin chung'!$B$9="Đầy đủ",'06. Phan tich tai chinh_DD'!G101,-99999)</f>
        <v/>
      </c>
      <c r="G119" s="388" t="n"/>
    </row>
    <row r="120">
      <c r="A120" s="796" t="inlineStr">
        <is>
          <t>BS097</t>
        </is>
      </c>
      <c r="B120" s="796" t="inlineStr">
        <is>
          <t>4. Vay và nợ dài hạn</t>
        </is>
      </c>
      <c r="C120" s="789">
        <f>IF('01. Thong tin chung'!$B$9="Đầy đủ",'06. Phan tich tai chinh_DD'!B102,-99999)</f>
        <v/>
      </c>
      <c r="D120" s="789">
        <f>IF('01. Thong tin chung'!$B$9="Đầy đủ",'06. Phan tich tai chinh_DD'!C102,-99999)</f>
        <v/>
      </c>
      <c r="E120" s="789">
        <f>IF('01. Thong tin chung'!$B$9="Đầy đủ",'06. Phan tich tai chinh_DD'!D102,-99999)</f>
        <v/>
      </c>
      <c r="F120" s="789">
        <f>IF('01. Thong tin chung'!$B$9="Đầy đủ",'06. Phan tich tai chinh_DD'!G102,-99999)</f>
        <v/>
      </c>
      <c r="G120" s="388" t="n"/>
    </row>
    <row r="121">
      <c r="A121" s="795" t="inlineStr">
        <is>
          <t>BS098</t>
        </is>
      </c>
      <c r="B121" s="795" t="inlineStr">
        <is>
          <t>- Tr/đó: vay MSB</t>
        </is>
      </c>
      <c r="C121" s="789">
        <f>IF('01. Thong tin chung'!$B$9="Đầy đủ",'06. Phan tich tai chinh_DD'!B103,-99999)</f>
        <v/>
      </c>
      <c r="D121" s="789">
        <f>IF('01. Thong tin chung'!$B$9="Đầy đủ",'06. Phan tich tai chinh_DD'!C103,-99999)</f>
        <v/>
      </c>
      <c r="E121" s="789">
        <f>IF('01. Thong tin chung'!$B$9="Đầy đủ",'06. Phan tich tai chinh_DD'!D103,-99999)</f>
        <v/>
      </c>
      <c r="F121" s="789">
        <f>IF('01. Thong tin chung'!$B$9="Đầy đủ",'06. Phan tich tai chinh_DD'!G103,-99999)</f>
        <v/>
      </c>
      <c r="G121" s="388" t="n"/>
    </row>
    <row r="122">
      <c r="A122" s="796" t="inlineStr">
        <is>
          <t>BS099</t>
        </is>
      </c>
      <c r="B122" s="796" t="inlineStr">
        <is>
          <t>5. Thuế thu nhập hoãn lại phải trả</t>
        </is>
      </c>
      <c r="C122" s="789">
        <f>IF('01. Thong tin chung'!$B$9="Đầy đủ",'06. Phan tich tai chinh_DD'!B104,-99999)</f>
        <v/>
      </c>
      <c r="D122" s="789">
        <f>IF('01. Thong tin chung'!$B$9="Đầy đủ",'06. Phan tich tai chinh_DD'!C104,-99999)</f>
        <v/>
      </c>
      <c r="E122" s="789">
        <f>IF('01. Thong tin chung'!$B$9="Đầy đủ",'06. Phan tich tai chinh_DD'!D104,-99999)</f>
        <v/>
      </c>
      <c r="F122" s="789">
        <f>IF('01. Thong tin chung'!$B$9="Đầy đủ",'06. Phan tich tai chinh_DD'!G104,-99999)</f>
        <v/>
      </c>
      <c r="G122" s="388" t="n"/>
    </row>
    <row r="123">
      <c r="A123" s="796" t="inlineStr">
        <is>
          <t>BS100</t>
        </is>
      </c>
      <c r="B123" s="796" t="inlineStr">
        <is>
          <t>6. Dự phòng trợ cấp mất việc làm</t>
        </is>
      </c>
      <c r="C123" s="789">
        <f>IF('01. Thong tin chung'!$B$9="Đầy đủ",'06. Phan tich tai chinh_DD'!B105,-99999)</f>
        <v/>
      </c>
      <c r="D123" s="789">
        <f>IF('01. Thong tin chung'!$B$9="Đầy đủ",'06. Phan tich tai chinh_DD'!C105,-99999)</f>
        <v/>
      </c>
      <c r="E123" s="789">
        <f>IF('01. Thong tin chung'!$B$9="Đầy đủ",'06. Phan tich tai chinh_DD'!D105,-99999)</f>
        <v/>
      </c>
      <c r="F123" s="789">
        <f>IF('01. Thong tin chung'!$B$9="Đầy đủ",'06. Phan tich tai chinh_DD'!G105,-99999)</f>
        <v/>
      </c>
      <c r="G123" s="388" t="n"/>
    </row>
    <row r="124">
      <c r="A124" s="796" t="inlineStr">
        <is>
          <t>BS101</t>
        </is>
      </c>
      <c r="B124" s="796" t="inlineStr">
        <is>
          <t>7. Dự phòng phải trả người bán</t>
        </is>
      </c>
      <c r="C124" s="789">
        <f>IF('01. Thong tin chung'!$B$9="Đầy đủ",'06. Phan tich tai chinh_DD'!B106,-99999)</f>
        <v/>
      </c>
      <c r="D124" s="789">
        <f>IF('01. Thong tin chung'!$B$9="Đầy đủ",'06. Phan tich tai chinh_DD'!C106,-99999)</f>
        <v/>
      </c>
      <c r="E124" s="789">
        <f>IF('01. Thong tin chung'!$B$9="Đầy đủ",'06. Phan tich tai chinh_DD'!D106,-99999)</f>
        <v/>
      </c>
      <c r="F124" s="789">
        <f>IF('01. Thong tin chung'!$B$9="Đầy đủ",'06. Phan tich tai chinh_DD'!G106,-99999)</f>
        <v/>
      </c>
      <c r="G124" s="388" t="n"/>
    </row>
    <row r="125">
      <c r="A125" s="796" t="inlineStr">
        <is>
          <t>BS102</t>
        </is>
      </c>
      <c r="B125" s="796" t="inlineStr">
        <is>
          <t>8. Doanh thu chưa thực hiện</t>
        </is>
      </c>
      <c r="C125" s="789">
        <f>IF('01. Thong tin chung'!$B$9="Đầy đủ",'06. Phan tich tai chinh_DD'!B107,-99999)</f>
        <v/>
      </c>
      <c r="D125" s="789">
        <f>IF('01. Thong tin chung'!$B$9="Đầy đủ",'06. Phan tich tai chinh_DD'!C107,-99999)</f>
        <v/>
      </c>
      <c r="E125" s="789">
        <f>IF('01. Thong tin chung'!$B$9="Đầy đủ",'06. Phan tich tai chinh_DD'!D107,-99999)</f>
        <v/>
      </c>
      <c r="F125" s="789">
        <f>IF('01. Thong tin chung'!$B$9="Đầy đủ",'06. Phan tich tai chinh_DD'!G107,-99999)</f>
        <v/>
      </c>
      <c r="G125" s="388" t="n"/>
    </row>
    <row r="126">
      <c r="A126" s="796" t="inlineStr">
        <is>
          <t>BS103</t>
        </is>
      </c>
      <c r="B126" s="796" t="inlineStr">
        <is>
          <t>9. Quỹ phát triển khoa học công nghệ</t>
        </is>
      </c>
      <c r="C126" s="789">
        <f>IF('01. Thong tin chung'!$B$9="Đầy đủ",'06. Phan tich tai chinh_DD'!B108,-99999)</f>
        <v/>
      </c>
      <c r="D126" s="789">
        <f>IF('01. Thong tin chung'!$B$9="Đầy đủ",'06. Phan tich tai chinh_DD'!C108,-99999)</f>
        <v/>
      </c>
      <c r="E126" s="789">
        <f>IF('01. Thong tin chung'!$B$9="Đầy đủ",'06. Phan tich tai chinh_DD'!D108,-99999)</f>
        <v/>
      </c>
      <c r="F126" s="789">
        <f>IF('01. Thong tin chung'!$B$9="Đầy đủ",'06. Phan tich tai chinh_DD'!G108,-99999)</f>
        <v/>
      </c>
      <c r="G126" s="388" t="n"/>
    </row>
    <row r="127">
      <c r="A127" s="796" t="inlineStr">
        <is>
          <t>BS104</t>
        </is>
      </c>
      <c r="B127" s="796" t="inlineStr">
        <is>
          <t>10. Phải trả, phải nộp dài hạn khác</t>
        </is>
      </c>
      <c r="C127" s="789">
        <f>IF('01. Thong tin chung'!$B$9="Đầy đủ",'06. Phan tich tai chinh_DD'!B109,-99999)</f>
        <v/>
      </c>
      <c r="D127" s="789">
        <f>IF('01. Thong tin chung'!$B$9="Đầy đủ",'06. Phan tich tai chinh_DD'!C109,-99999)</f>
        <v/>
      </c>
      <c r="E127" s="789">
        <f>IF('01. Thong tin chung'!$B$9="Đầy đủ",'06. Phan tich tai chinh_DD'!D109,-99999)</f>
        <v/>
      </c>
      <c r="F127" s="789">
        <f>IF('01. Thong tin chung'!$B$9="Đầy đủ",'06. Phan tich tai chinh_DD'!G109,-99999)</f>
        <v/>
      </c>
      <c r="G127" s="388" t="n"/>
    </row>
    <row r="128">
      <c r="A128" s="795" t="inlineStr">
        <is>
          <t>BS019</t>
        </is>
      </c>
      <c r="B128" s="795" t="inlineStr">
        <is>
          <t>B. VỐN CHỦ SỞ HỮU</t>
        </is>
      </c>
      <c r="C128" s="789">
        <f>IF('01. Thong tin chung'!$B$9="Đầy đủ", IF(ISBLANK('06. Phan tich tai chinh_DD'!B110),0,'06. Phan tich tai chinh_DD'!B110),IF(ISBLANK('06. Phan tich tai chinh_RG'!B48),0,'06. Phan tich tai chinh_RG'!B48))</f>
        <v/>
      </c>
      <c r="D128" s="789">
        <f>IF('01. Thong tin chung'!$B$9="Đầy đủ", IF(ISBLANK('06. Phan tich tai chinh_DD'!C110),0,'06. Phan tich tai chinh_DD'!C110),IF(ISBLANK('06. Phan tich tai chinh_RG'!C48),0,'06. Phan tich tai chinh_RG'!C48))</f>
        <v/>
      </c>
      <c r="E128" s="789">
        <f>IF('01. Thong tin chung'!$B$9="Đầy đủ", IF(ISBLANK('06. Phan tich tai chinh_DD'!D110),0,'06. Phan tich tai chinh_DD'!D110),IF(ISBLANK('06. Phan tich tai chinh_RG'!D48),0,'06. Phan tich tai chinh_RG'!D48))</f>
        <v/>
      </c>
      <c r="F128" s="789">
        <f>IF('01. Thong tin chung'!$B$9="Đầy đủ", IF(ISBLANK('06. Phan tich tai chinh_DD'!G110),0,'06. Phan tich tai chinh_DD'!G110),IF(ISBLANK('06. Phan tich tai chinh_RG'!G48),0,'06. Phan tich tai chinh_RG'!G48))</f>
        <v/>
      </c>
      <c r="G128" s="388" t="n"/>
    </row>
    <row r="129">
      <c r="A129" s="795" t="inlineStr">
        <is>
          <t>BS020</t>
        </is>
      </c>
      <c r="B129" s="795" t="inlineStr">
        <is>
          <t>I. Vốn chủ sở hữu</t>
        </is>
      </c>
      <c r="C129" s="789">
        <f>IF('01. Thong tin chung'!$B$9="Đầy đủ", IF(ISBLANK('06. Phan tich tai chinh_DD'!B111),0,'06. Phan tich tai chinh_DD'!B111),IF(ISBLANK('06. Phan tich tai chinh_RG'!B48),0,'06. Phan tich tai chinh_RG'!B48))</f>
        <v/>
      </c>
      <c r="D129" s="789">
        <f>IF('01. Thong tin chung'!$B$9="Đầy đủ", IF(ISBLANK('06. Phan tich tai chinh_DD'!C111),0,'06. Phan tich tai chinh_DD'!C111),IF(ISBLANK('06. Phan tich tai chinh_RG'!C48),0,'06. Phan tich tai chinh_RG'!C48))</f>
        <v/>
      </c>
      <c r="E129" s="789">
        <f>IF('01. Thong tin chung'!$B$9="Đầy đủ", IF(ISBLANK('06. Phan tich tai chinh_DD'!D111),0,'06. Phan tich tai chinh_DD'!D111),IF(ISBLANK('06. Phan tich tai chinh_RG'!D48),0,'06. Phan tich tai chinh_RG'!D48))</f>
        <v/>
      </c>
      <c r="F129" s="789">
        <f>IF('01. Thong tin chung'!$B$9="Đầy đủ", IF(ISBLANK('06. Phan tich tai chinh_DD'!G111),0,'06. Phan tich tai chinh_DD'!G111),IF(ISBLANK('06. Phan tich tai chinh_RG'!G48),0,'06. Phan tich tai chinh_RG'!G48))</f>
        <v/>
      </c>
      <c r="G129" s="388" t="n"/>
    </row>
    <row r="130">
      <c r="A130" s="796" t="inlineStr">
        <is>
          <t>BS105</t>
        </is>
      </c>
      <c r="B130" s="796" t="inlineStr">
        <is>
          <t>1. Vốn đầu tư của chủ sở hữu</t>
        </is>
      </c>
      <c r="C130" s="789">
        <f>IF('01. Thong tin chung'!$B$9="Đầy đủ", IF(ISBLANK('06. Phan tich tai chinh_DD'!B112),0,'06. Phan tich tai chinh_DD'!B112),IF(ISBLANK('06. Phan tich tai chinh_RG'!B49),0,'06. Phan tich tai chinh_RG'!B49))</f>
        <v/>
      </c>
      <c r="D130" s="789">
        <f>IF('01. Thong tin chung'!$B$9="Đầy đủ", IF(ISBLANK('06. Phan tich tai chinh_DD'!C112),0,'06. Phan tich tai chinh_DD'!C112),IF(ISBLANK('06. Phan tich tai chinh_RG'!C49),0,'06. Phan tich tai chinh_RG'!C49))</f>
        <v/>
      </c>
      <c r="E130" s="789">
        <f>IF('01. Thong tin chung'!$B$9="Đầy đủ", IF(ISBLANK('06. Phan tich tai chinh_DD'!D112),0,'06. Phan tich tai chinh_DD'!D112),IF(ISBLANK('06. Phan tich tai chinh_RG'!D49),0,'06. Phan tich tai chinh_RG'!D49))</f>
        <v/>
      </c>
      <c r="F130" s="789">
        <f>IF('01. Thong tin chung'!$B$9="Đầy đủ", IF(ISBLANK('06. Phan tich tai chinh_DD'!G112),0,'06. Phan tich tai chinh_DD'!G112),IF(ISBLANK('06. Phan tich tai chinh_RG'!G49),0,'06. Phan tich tai chinh_RG'!G49))</f>
        <v/>
      </c>
      <c r="G130" s="388" t="n"/>
    </row>
    <row r="131">
      <c r="A131" s="796" t="inlineStr">
        <is>
          <t>BS106</t>
        </is>
      </c>
      <c r="B131" s="796" t="inlineStr">
        <is>
          <t>2. Thặng dư vốn cổ phần</t>
        </is>
      </c>
      <c r="C131" s="789">
        <f>IF('01. Thong tin chung'!$B$9="Đầy đủ", IF(ISBLANK('06. Phan tich tai chinh_DD'!B113),0,'06. Phan tich tai chinh_DD'!B113),IF(ISBLANK('06. Phan tich tai chinh_RG'!B50),0,'06. Phan tich tai chinh_RG'!B50))</f>
        <v/>
      </c>
      <c r="D131" s="789">
        <f>IF('01. Thong tin chung'!$B$9="Đầy đủ", IF(ISBLANK('06. Phan tich tai chinh_DD'!C113),0,'06. Phan tich tai chinh_DD'!C113),IF(ISBLANK('06. Phan tich tai chinh_RG'!C50),0,'06. Phan tich tai chinh_RG'!C50))</f>
        <v/>
      </c>
      <c r="E131" s="789">
        <f>IF('01. Thong tin chung'!$B$9="Đầy đủ", IF(ISBLANK('06. Phan tich tai chinh_DD'!D113),0,'06. Phan tich tai chinh_DD'!D113),IF(ISBLANK('06. Phan tich tai chinh_RG'!D50),0,'06. Phan tich tai chinh_RG'!D50))</f>
        <v/>
      </c>
      <c r="F131" s="789">
        <f>IF('01. Thong tin chung'!$B$9="Đầy đủ", IF(ISBLANK('06. Phan tich tai chinh_DD'!G113),0,'06. Phan tich tai chinh_DD'!G113),IF(ISBLANK('06. Phan tich tai chinh_RG'!G50),0,'06. Phan tich tai chinh_RG'!G50))</f>
        <v/>
      </c>
      <c r="G131" s="388" t="n"/>
    </row>
    <row r="132">
      <c r="A132" s="796" t="inlineStr">
        <is>
          <t>BS107</t>
        </is>
      </c>
      <c r="B132" s="796" t="inlineStr">
        <is>
          <t>3. Vốn khác của chủ sở hữu</t>
        </is>
      </c>
      <c r="C132" s="789">
        <f>IF('01. Thong tin chung'!$B$9="Đầy đủ", IF(ISBLANK('06. Phan tich tai chinh_DD'!B114),0,'06. Phan tich tai chinh_DD'!B114),IF(ISBLANK('06. Phan tich tai chinh_RG'!B51),0,'06. Phan tich tai chinh_RG'!B51))</f>
        <v/>
      </c>
      <c r="D132" s="789">
        <f>IF('01. Thong tin chung'!$B$9="Đầy đủ", IF(ISBLANK('06. Phan tich tai chinh_DD'!C114),0,'06. Phan tich tai chinh_DD'!C114),IF(ISBLANK('06. Phan tich tai chinh_RG'!C51),0,'06. Phan tich tai chinh_RG'!C51))</f>
        <v/>
      </c>
      <c r="E132" s="789">
        <f>IF('01. Thong tin chung'!$B$9="Đầy đủ", IF(ISBLANK('06. Phan tich tai chinh_DD'!D114),0,'06. Phan tich tai chinh_DD'!D114),IF(ISBLANK('06. Phan tich tai chinh_RG'!D51),0,'06. Phan tich tai chinh_RG'!D51))</f>
        <v/>
      </c>
      <c r="F132" s="789">
        <f>IF('01. Thong tin chung'!$B$9="Đầy đủ", IF(ISBLANK('06. Phan tich tai chinh_DD'!G114),0,'06. Phan tich tai chinh_DD'!G114),IF(ISBLANK('06. Phan tich tai chinh_RG'!G51),0,'06. Phan tich tai chinh_RG'!G51))</f>
        <v/>
      </c>
      <c r="G132" s="388" t="n"/>
    </row>
    <row r="133">
      <c r="A133" s="796" t="inlineStr">
        <is>
          <t>BS108</t>
        </is>
      </c>
      <c r="B133" s="796" t="inlineStr">
        <is>
          <t>4. Cổ phiếu quỹ</t>
        </is>
      </c>
      <c r="C133" s="789">
        <f>IF('01. Thong tin chung'!$B$9="Đầy đủ", IF(ISBLANK('06. Phan tich tai chinh_DD'!B115),0,'06. Phan tich tai chinh_DD'!B115),IF(ISBLANK('06. Phan tich tai chinh_RG'!B52),0,'06. Phan tich tai chinh_RG'!B52))</f>
        <v/>
      </c>
      <c r="D133" s="789">
        <f>IF('01. Thong tin chung'!$B$9="Đầy đủ", IF(ISBLANK('06. Phan tich tai chinh_DD'!C115),0,'06. Phan tich tai chinh_DD'!C115),IF(ISBLANK('06. Phan tich tai chinh_RG'!C52),0,'06. Phan tich tai chinh_RG'!C52))</f>
        <v/>
      </c>
      <c r="E133" s="789">
        <f>IF('01. Thong tin chung'!$B$9="Đầy đủ", IF(ISBLANK('06. Phan tich tai chinh_DD'!D115),0,'06. Phan tich tai chinh_DD'!D115),IF(ISBLANK('06. Phan tich tai chinh_RG'!D52),0,'06. Phan tich tai chinh_RG'!D52))</f>
        <v/>
      </c>
      <c r="F133" s="789">
        <f>IF('01. Thong tin chung'!$B$9="Đầy đủ", IF(ISBLANK('06. Phan tich tai chinh_DD'!G115),0,'06. Phan tich tai chinh_DD'!G115),IF(ISBLANK('06. Phan tich tai chinh_RG'!G52),0,'06. Phan tich tai chinh_RG'!G52))</f>
        <v/>
      </c>
      <c r="G133" s="388" t="n"/>
    </row>
    <row r="134">
      <c r="A134" s="796" t="inlineStr">
        <is>
          <t>BS109</t>
        </is>
      </c>
      <c r="B134" s="796" t="inlineStr">
        <is>
          <t>5. Chênh lệch đánh giá lại tài sản</t>
        </is>
      </c>
      <c r="C134" s="789">
        <f>IF('01. Thong tin chung'!$B$9="Đầy đủ",'06. Phan tich tai chinh_DD'!B116,-99999)</f>
        <v/>
      </c>
      <c r="D134" s="789">
        <f>IF('01. Thong tin chung'!$B$9="Đầy đủ",'06. Phan tich tai chinh_DD'!C116,-99999)</f>
        <v/>
      </c>
      <c r="E134" s="789">
        <f>IF('01. Thong tin chung'!$B$9="Đầy đủ",'06. Phan tich tai chinh_DD'!D116,-99999)</f>
        <v/>
      </c>
      <c r="F134" s="789">
        <f>IF('01. Thong tin chung'!$B$9="Đầy đủ",'06. Phan tich tai chinh_DD'!G116,-99999)</f>
        <v/>
      </c>
      <c r="G134" s="388" t="n"/>
    </row>
    <row r="135">
      <c r="A135" s="796" t="inlineStr">
        <is>
          <t>BS110</t>
        </is>
      </c>
      <c r="B135" s="796" t="inlineStr">
        <is>
          <t>6. Chênh lệch tỷ giá hối đoái</t>
        </is>
      </c>
      <c r="C135" s="789">
        <f>IF('01. Thong tin chung'!$B$9="Đầy đủ", IF(ISBLANK('06. Phan tich tai chinh_DD'!B117),0,'06. Phan tich tai chinh_DD'!B117),IF(ISBLANK('06. Phan tich tai chinh_RG'!B53),0,'06. Phan tich tai chinh_RG'!B53))</f>
        <v/>
      </c>
      <c r="D135" s="789">
        <f>IF('01. Thong tin chung'!$B$9="Đầy đủ", IF(ISBLANK('06. Phan tich tai chinh_DD'!C117),0,'06. Phan tich tai chinh_DD'!C117),IF(ISBLANK('06. Phan tich tai chinh_RG'!C53),0,'06. Phan tich tai chinh_RG'!C53))</f>
        <v/>
      </c>
      <c r="E135" s="789">
        <f>IF('01. Thong tin chung'!$B$9="Đầy đủ", IF(ISBLANK('06. Phan tich tai chinh_DD'!D117),0,'06. Phan tich tai chinh_DD'!D117),IF(ISBLANK('06. Phan tich tai chinh_RG'!D53),0,'06. Phan tich tai chinh_RG'!D53))</f>
        <v/>
      </c>
      <c r="F135" s="789">
        <f>IF('01. Thong tin chung'!$B$9="Đầy đủ", IF(ISBLANK('06. Phan tich tai chinh_DD'!G117),0,'06. Phan tich tai chinh_DD'!G117),IF(ISBLANK('06. Phan tich tai chinh_RG'!G53),0,'06. Phan tich tai chinh_RG'!G53))</f>
        <v/>
      </c>
      <c r="G135" s="388" t="n"/>
    </row>
    <row r="136">
      <c r="A136" s="796" t="inlineStr">
        <is>
          <t>BS111</t>
        </is>
      </c>
      <c r="B136" s="796" t="inlineStr">
        <is>
          <t>7. Quỹ đầu tư phát triển</t>
        </is>
      </c>
      <c r="C136" s="789">
        <f>IF('01. Thong tin chung'!$B$9="Đầy đủ",'06. Phan tich tai chinh_DD'!B118,-99999)</f>
        <v/>
      </c>
      <c r="D136" s="789">
        <f>IF('01. Thong tin chung'!$B$9="Đầy đủ",'06. Phan tich tai chinh_DD'!C118,-99999)</f>
        <v/>
      </c>
      <c r="E136" s="789">
        <f>IF('01. Thong tin chung'!$B$9="Đầy đủ",'06. Phan tich tai chinh_DD'!D118,-99999)</f>
        <v/>
      </c>
      <c r="F136" s="789">
        <f>IF('01. Thong tin chung'!$B$9="Đầy đủ",'06. Phan tich tai chinh_DD'!G118,-99999)</f>
        <v/>
      </c>
      <c r="G136" s="388" t="n"/>
    </row>
    <row r="137">
      <c r="A137" s="796" t="inlineStr">
        <is>
          <t>BS112</t>
        </is>
      </c>
      <c r="B137" s="796" t="inlineStr">
        <is>
          <t>8. Quỹ dự phòng tài chính</t>
        </is>
      </c>
      <c r="C137" s="789">
        <f>IF('01. Thong tin chung'!$B$9="Đầy đủ",'06. Phan tich tai chinh_DD'!B119,-99999)</f>
        <v/>
      </c>
      <c r="D137" s="789">
        <f>IF('01. Thong tin chung'!$B$9="Đầy đủ",'06. Phan tich tai chinh_DD'!C119,-99999)</f>
        <v/>
      </c>
      <c r="E137" s="789">
        <f>IF('01. Thong tin chung'!$B$9="Đầy đủ",'06. Phan tich tai chinh_DD'!D119,-99999)</f>
        <v/>
      </c>
      <c r="F137" s="789">
        <f>IF('01. Thong tin chung'!$B$9="Đầy đủ",'06. Phan tich tai chinh_DD'!G119,-99999)</f>
        <v/>
      </c>
      <c r="G137" s="388" t="n"/>
    </row>
    <row r="138">
      <c r="A138" s="796" t="inlineStr">
        <is>
          <t>BS113</t>
        </is>
      </c>
      <c r="B138" s="796" t="inlineStr">
        <is>
          <t>9. Quỹ khác thuộc vốn chủ sở hữu</t>
        </is>
      </c>
      <c r="C138" s="789">
        <f>IF('01. Thong tin chung'!$B$9="Đầy đủ", IF(ISBLANK('06. Phan tich tai chinh_DD'!B120),0,'06. Phan tich tai chinh_DD'!B120),IF(ISBLANK('06. Phan tich tai chinh_RG'!B54),0,'06. Phan tich tai chinh_RG'!B54))</f>
        <v/>
      </c>
      <c r="D138" s="789">
        <f>IF('01. Thong tin chung'!$B$9="Đầy đủ", IF(ISBLANK('06. Phan tich tai chinh_DD'!C120),0,'06. Phan tich tai chinh_DD'!C120),IF(ISBLANK('06. Phan tich tai chinh_RG'!C54),0,'06. Phan tich tai chinh_RG'!C54))</f>
        <v/>
      </c>
      <c r="E138" s="789">
        <f>IF('01. Thong tin chung'!$B$9="Đầy đủ", IF(ISBLANK('06. Phan tich tai chinh_DD'!D120),0,'06. Phan tich tai chinh_DD'!D120),IF(ISBLANK('06. Phan tich tai chinh_RG'!D54),0,'06. Phan tich tai chinh_RG'!D54))</f>
        <v/>
      </c>
      <c r="F138" s="789">
        <f>IF('01. Thong tin chung'!$B$9="Đầy đủ", IF(ISBLANK('06. Phan tich tai chinh_DD'!G120),0,'06. Phan tich tai chinh_DD'!G120),IF(ISBLANK('06. Phan tich tai chinh_RG'!G54),0,'06. Phan tich tai chinh_RG'!G54))</f>
        <v/>
      </c>
      <c r="G138" s="388" t="n"/>
    </row>
    <row r="139">
      <c r="A139" s="796" t="inlineStr">
        <is>
          <t>BS114</t>
        </is>
      </c>
      <c r="B139" s="796" t="inlineStr">
        <is>
          <t>10. Lợi nhuận sau thuế chưa phân phối</t>
        </is>
      </c>
      <c r="C139" s="789">
        <f>IF('01. Thong tin chung'!$B$9="Đầy đủ", IF(ISBLANK('06. Phan tich tai chinh_DD'!B121),0,'06. Phan tich tai chinh_DD'!B121),IF(ISBLANK('06. Phan tich tai chinh_RG'!B55),0,'06. Phan tich tai chinh_RG'!B55))</f>
        <v/>
      </c>
      <c r="D139" s="789">
        <f>IF('01. Thong tin chung'!$B$9="Đầy đủ", IF(ISBLANK('06. Phan tich tai chinh_DD'!C121),0,'06. Phan tich tai chinh_DD'!C121),IF(ISBLANK('06. Phan tich tai chinh_RG'!C55),0,'06. Phan tich tai chinh_RG'!C55))</f>
        <v/>
      </c>
      <c r="E139" s="789">
        <f>IF('01. Thong tin chung'!$B$9="Đầy đủ", IF(ISBLANK('06. Phan tich tai chinh_DD'!D121),0,'06. Phan tich tai chinh_DD'!D121),IF(ISBLANK('06. Phan tich tai chinh_RG'!D55),0,'06. Phan tich tai chinh_RG'!D55))</f>
        <v/>
      </c>
      <c r="F139" s="789">
        <f>IF('01. Thong tin chung'!$B$9="Đầy đủ", IF(ISBLANK('06. Phan tich tai chinh_DD'!G121),0,'06. Phan tich tai chinh_DD'!G121),IF(ISBLANK('06. Phan tich tai chinh_RG'!G55),0,'06. Phan tich tai chinh_RG'!G55))</f>
        <v/>
      </c>
      <c r="G139" s="388" t="n"/>
    </row>
    <row r="140">
      <c r="A140" s="796" t="inlineStr">
        <is>
          <t>BS115</t>
        </is>
      </c>
      <c r="B140" s="796" t="inlineStr">
        <is>
          <t>11. Nguồn vốn đầu tư XDCB</t>
        </is>
      </c>
      <c r="C140" s="789">
        <f>IF('01. Thong tin chung'!$B$9="Đầy đủ",'06. Phan tich tai chinh_DD'!B122,-99999)</f>
        <v/>
      </c>
      <c r="D140" s="789">
        <f>IF('01. Thong tin chung'!$B$9="Đầy đủ",'06. Phan tich tai chinh_DD'!C122,-99999)</f>
        <v/>
      </c>
      <c r="E140" s="789">
        <f>IF('01. Thong tin chung'!$B$9="Đầy đủ",'06. Phan tich tai chinh_DD'!D122,-99999)</f>
        <v/>
      </c>
      <c r="F140" s="789">
        <f>IF('01. Thong tin chung'!$B$9="Đầy đủ",'06. Phan tich tai chinh_DD'!G122,-99999)</f>
        <v/>
      </c>
      <c r="G140" s="388" t="n"/>
    </row>
    <row r="141">
      <c r="A141" s="796" t="inlineStr">
        <is>
          <t>BS116</t>
        </is>
      </c>
      <c r="B141" s="796" t="inlineStr">
        <is>
          <t>12. Quỹ hỗ trợ sắp xếp doanh nghiệp</t>
        </is>
      </c>
      <c r="C141" s="789">
        <f>IF('01. Thong tin chung'!$B$9="Đầy đủ",'06. Phan tich tai chinh_DD'!B123,-99999)</f>
        <v/>
      </c>
      <c r="D141" s="789">
        <f>IF('01. Thong tin chung'!$B$9="Đầy đủ",'06. Phan tich tai chinh_DD'!C123,-99999)</f>
        <v/>
      </c>
      <c r="E141" s="789">
        <f>IF('01. Thong tin chung'!$B$9="Đầy đủ",'06. Phan tich tai chinh_DD'!D123,-99999)</f>
        <v/>
      </c>
      <c r="F141" s="789">
        <f>IF('01. Thong tin chung'!$B$9="Đầy đủ",'06. Phan tich tai chinh_DD'!G123,-99999)</f>
        <v/>
      </c>
      <c r="G141" s="388" t="n"/>
    </row>
    <row r="142">
      <c r="A142" s="795" t="inlineStr">
        <is>
          <t>BS021</t>
        </is>
      </c>
      <c r="B142" s="795" t="inlineStr">
        <is>
          <t xml:space="preserve">II. Nguồn kinh phí </t>
        </is>
      </c>
      <c r="C142" s="789">
        <f>IF('01. Thong tin chung'!$B$9="Đầy đủ",'06. Phan tich tai chinh_DD'!B124,-99999)</f>
        <v/>
      </c>
      <c r="D142" s="789">
        <f>IF('01. Thong tin chung'!$B$9="Đầy đủ",'06. Phan tich tai chinh_DD'!C124,-99999)</f>
        <v/>
      </c>
      <c r="E142" s="789">
        <f>IF('01. Thong tin chung'!$B$9="Đầy đủ",'06. Phan tich tai chinh_DD'!D124,-99999)</f>
        <v/>
      </c>
      <c r="F142" s="789">
        <f>IF('01. Thong tin chung'!$B$9="Đầy đủ",'06. Phan tich tai chinh_DD'!G124,-99999)</f>
        <v/>
      </c>
      <c r="G142" s="388" t="n"/>
    </row>
    <row r="143">
      <c r="A143" s="796" t="inlineStr">
        <is>
          <t>BS117</t>
        </is>
      </c>
      <c r="B143" s="796" t="inlineStr">
        <is>
          <t>1. Nguồn kinh phí</t>
        </is>
      </c>
      <c r="C143" s="789">
        <f>IF('01. Thong tin chung'!$B$9="Đầy đủ",'06. Phan tich tai chinh_DD'!B125,-99999)</f>
        <v/>
      </c>
      <c r="D143" s="789">
        <f>IF('01. Thong tin chung'!$B$9="Đầy đủ",'06. Phan tich tai chinh_DD'!C125,-99999)</f>
        <v/>
      </c>
      <c r="E143" s="789">
        <f>IF('01. Thong tin chung'!$B$9="Đầy đủ",'06. Phan tich tai chinh_DD'!D125,-99999)</f>
        <v/>
      </c>
      <c r="F143" s="789">
        <f>IF('01. Thong tin chung'!$B$9="Đầy đủ",'06. Phan tich tai chinh_DD'!G125,-99999)</f>
        <v/>
      </c>
      <c r="G143" s="388" t="n"/>
    </row>
    <row r="144">
      <c r="A144" s="796" t="inlineStr">
        <is>
          <t>BS118</t>
        </is>
      </c>
      <c r="B144" s="796" t="inlineStr">
        <is>
          <t>2. Nguồn kinh phí đã hình thành TSCĐ</t>
        </is>
      </c>
      <c r="C144" s="789">
        <f>IF('01. Thong tin chung'!$B$9="Đầy đủ",'06. Phan tich tai chinh_DD'!B126,-99999)</f>
        <v/>
      </c>
      <c r="D144" s="789">
        <f>IF('01. Thong tin chung'!$B$9="Đầy đủ",'06. Phan tich tai chinh_DD'!C126,-99999)</f>
        <v/>
      </c>
      <c r="E144" s="789">
        <f>IF('01. Thong tin chung'!$B$9="Đầy đủ",'06. Phan tich tai chinh_DD'!D126,-99999)</f>
        <v/>
      </c>
      <c r="F144" s="789">
        <f>IF('01. Thong tin chung'!$B$9="Đầy đủ",'06. Phan tich tai chinh_DD'!G126,-99999)</f>
        <v/>
      </c>
      <c r="G144" s="388" t="n"/>
    </row>
    <row r="145">
      <c r="A145" s="796" t="inlineStr">
        <is>
          <t>IS002</t>
        </is>
      </c>
      <c r="B145" s="796" t="inlineStr">
        <is>
          <t>Doanh thu bán hàng và cung cấp dịch vụ</t>
        </is>
      </c>
      <c r="C145" s="789">
        <f>IF('01. Thong tin chung'!$B$9="Đầy đủ", IF(ISBLANK('06. Phan tich tai chinh_DD'!B128),0,'06. Phan tich tai chinh_DD'!B128),IF(ISBLANK('06. Phan tich tai chinh_RG'!B57),0,'06. Phan tich tai chinh_RG'!B57))</f>
        <v/>
      </c>
      <c r="D145" s="789">
        <f>IF('01. Thong tin chung'!$B$9="Đầy đủ", IF(ISBLANK('06. Phan tich tai chinh_DD'!C128),0,'06. Phan tich tai chinh_DD'!C128),IF(ISBLANK('06. Phan tich tai chinh_RG'!C57),0,'06. Phan tich tai chinh_RG'!C57))</f>
        <v/>
      </c>
      <c r="E145" s="789">
        <f>IF('01. Thong tin chung'!$B$9="Đầy đủ", IF(ISBLANK('06. Phan tich tai chinh_DD'!D128),0,'06. Phan tich tai chinh_DD'!D128),IF(ISBLANK('06. Phan tich tai chinh_RG'!D57),0,'06. Phan tich tai chinh_RG'!D57))</f>
        <v/>
      </c>
      <c r="F145" s="789">
        <f>IF('01. Thong tin chung'!$B$9="Đầy đủ", IF(ISBLANK('06. Phan tich tai chinh_DD'!G128),0,'06. Phan tich tai chinh_DD'!G128),IF(ISBLANK('06. Phan tich tai chinh_RG'!G57),0,'06. Phan tich tai chinh_RG'!G57))</f>
        <v/>
      </c>
      <c r="G145" s="388" t="n"/>
    </row>
    <row r="146">
      <c r="A146" s="796" t="inlineStr">
        <is>
          <t>IS003</t>
        </is>
      </c>
      <c r="B146" s="796" t="inlineStr">
        <is>
          <t>Các khoản giảm trừ doanh thu</t>
        </is>
      </c>
      <c r="C146" s="789">
        <f>IF('01. Thong tin chung'!$B$9="Đầy đủ", IF(ISBLANK('06. Phan tich tai chinh_DD'!B129),0,'06. Phan tich tai chinh_DD'!B129),IF(ISBLANK('06. Phan tich tai chinh_RG'!B58),0,'06. Phan tich tai chinh_RG'!B58))</f>
        <v/>
      </c>
      <c r="D146" s="789">
        <f>IF('01. Thong tin chung'!$B$9="Đầy đủ", IF(ISBLANK('06. Phan tich tai chinh_DD'!C129),0,'06. Phan tich tai chinh_DD'!C129),IF(ISBLANK('06. Phan tich tai chinh_RG'!C58),0,'06. Phan tich tai chinh_RG'!C58))</f>
        <v/>
      </c>
      <c r="E146" s="789">
        <f>IF('01. Thong tin chung'!$B$9="Đầy đủ", IF(ISBLANK('06. Phan tich tai chinh_DD'!D129),0,'06. Phan tich tai chinh_DD'!D129),IF(ISBLANK('06. Phan tich tai chinh_RG'!D58),0,'06. Phan tich tai chinh_RG'!D58))</f>
        <v/>
      </c>
      <c r="F146" s="789">
        <f>IF('01. Thong tin chung'!$B$9="Đầy đủ", IF(ISBLANK('06. Phan tich tai chinh_DD'!G129),0,'06. Phan tich tai chinh_DD'!G129),IF(ISBLANK('06. Phan tich tai chinh_RG'!G58),0,'06. Phan tich tai chinh_RG'!G58))</f>
        <v/>
      </c>
      <c r="G146" s="388" t="n"/>
    </row>
    <row r="147">
      <c r="A147" s="795" t="inlineStr">
        <is>
          <t>IS020</t>
        </is>
      </c>
      <c r="B147" s="795" t="inlineStr">
        <is>
          <t xml:space="preserve">      - Chiết khấu</t>
        </is>
      </c>
      <c r="C147" s="789">
        <f>IF('01. Thong tin chung'!$B$9="Đầy đủ", IF(ISBLANK('06. Phan tich tai chinh_DD'!B130),0,'06. Phan tich tai chinh_DD'!B130),IF(ISBLANK('06. Phan tich tai chinh_RG'!B59),0,'06. Phan tich tai chinh_RG'!B59))</f>
        <v/>
      </c>
      <c r="D147" s="789">
        <f>IF('01. Thong tin chung'!$B$9="Đầy đủ", IF(ISBLANK('06. Phan tich tai chinh_DD'!C130),0,'06. Phan tich tai chinh_DD'!C130),IF(ISBLANK('06. Phan tich tai chinh_RG'!C59),0,'06. Phan tich tai chinh_RG'!C59))</f>
        <v/>
      </c>
      <c r="E147" s="789">
        <f>IF('01. Thong tin chung'!$B$9="Đầy đủ", IF(ISBLANK('06. Phan tich tai chinh_DD'!D130),0,'06. Phan tich tai chinh_DD'!D130),IF(ISBLANK('06. Phan tich tai chinh_RG'!D59),0,'06. Phan tich tai chinh_RG'!D59))</f>
        <v/>
      </c>
      <c r="F147" s="789">
        <f>IF('01. Thong tin chung'!$B$9="Đầy đủ", IF(ISBLANK('06. Phan tich tai chinh_DD'!G130),0,'06. Phan tich tai chinh_DD'!G130),IF(ISBLANK('06. Phan tich tai chinh_RG'!G59),0,'06. Phan tich tai chinh_RG'!G59))</f>
        <v/>
      </c>
      <c r="G147" s="388" t="n"/>
    </row>
    <row r="148">
      <c r="A148" s="795" t="inlineStr">
        <is>
          <t>IS021</t>
        </is>
      </c>
      <c r="B148" s="795" t="inlineStr">
        <is>
          <t xml:space="preserve">      - Giảm giá</t>
        </is>
      </c>
      <c r="C148" s="789">
        <f>IF('01. Thong tin chung'!$B$9="Đầy đủ", IF(ISBLANK('06. Phan tich tai chinh_DD'!B131),0,'06. Phan tich tai chinh_DD'!B131),IF(ISBLANK('06. Phan tich tai chinh_RG'!B60),0,'06. Phan tich tai chinh_RG'!B60))</f>
        <v/>
      </c>
      <c r="D148" s="789">
        <f>IF('01. Thong tin chung'!$B$9="Đầy đủ", IF(ISBLANK('06. Phan tich tai chinh_DD'!C131),0,'06. Phan tich tai chinh_DD'!C131),IF(ISBLANK('06. Phan tich tai chinh_RG'!C60),0,'06. Phan tich tai chinh_RG'!C60))</f>
        <v/>
      </c>
      <c r="E148" s="789">
        <f>IF('01. Thong tin chung'!$B$9="Đầy đủ", IF(ISBLANK('06. Phan tich tai chinh_DD'!D131),0,'06. Phan tich tai chinh_DD'!D131),IF(ISBLANK('06. Phan tich tai chinh_RG'!D60),0,'06. Phan tich tai chinh_RG'!D60))</f>
        <v/>
      </c>
      <c r="F148" s="789">
        <f>IF('01. Thong tin chung'!$B$9="Đầy đủ", IF(ISBLANK('06. Phan tich tai chinh_DD'!G131),0,'06. Phan tich tai chinh_DD'!G131),IF(ISBLANK('06. Phan tich tai chinh_RG'!G60),0,'06. Phan tich tai chinh_RG'!G60))</f>
        <v/>
      </c>
      <c r="G148" s="388" t="n"/>
    </row>
    <row r="149">
      <c r="A149" s="795" t="inlineStr">
        <is>
          <t>IS022</t>
        </is>
      </c>
      <c r="B149" s="795" t="inlineStr">
        <is>
          <t xml:space="preserve">      - Hàng bán bị trả lại</t>
        </is>
      </c>
      <c r="C149" s="789">
        <f>IF('01. Thong tin chung'!$B$9="Đầy đủ", IF(ISBLANK('06. Phan tich tai chinh_DD'!B132),0,'06. Phan tich tai chinh_DD'!B132),IF(ISBLANK('06. Phan tich tai chinh_RG'!B61),0,'06. Phan tich tai chinh_RG'!B61))</f>
        <v/>
      </c>
      <c r="D149" s="789">
        <f>IF('01. Thong tin chung'!$B$9="Đầy đủ", IF(ISBLANK('06. Phan tich tai chinh_DD'!C132),0,'06. Phan tich tai chinh_DD'!C132),IF(ISBLANK('06. Phan tich tai chinh_RG'!C61),0,'06. Phan tich tai chinh_RG'!C61))</f>
        <v/>
      </c>
      <c r="E149" s="789">
        <f>IF('01. Thong tin chung'!$B$9="Đầy đủ", IF(ISBLANK('06. Phan tich tai chinh_DD'!D132),0,'06. Phan tich tai chinh_DD'!D132),IF(ISBLANK('06. Phan tich tai chinh_RG'!D61),0,'06. Phan tich tai chinh_RG'!D61))</f>
        <v/>
      </c>
      <c r="F149" s="789">
        <f>IF('01. Thong tin chung'!$B$9="Đầy đủ", IF(ISBLANK('06. Phan tich tai chinh_DD'!G132),0,'06. Phan tich tai chinh_DD'!G132),IF(ISBLANK('06. Phan tich tai chinh_RG'!G61),0,'06. Phan tich tai chinh_RG'!G61))</f>
        <v/>
      </c>
      <c r="G149" s="388" t="n"/>
    </row>
    <row r="150">
      <c r="A150" s="795" t="inlineStr">
        <is>
          <t>IS023</t>
        </is>
      </c>
      <c r="B150" s="795" t="inlineStr">
        <is>
          <t xml:space="preserve">      - Thuế VAT, thuế xuất khẩu</t>
        </is>
      </c>
      <c r="C150" s="789">
        <f>IF('01. Thong tin chung'!$B$9="Đầy đủ", IF(ISBLANK('06. Phan tich tai chinh_DD'!B133),0,'06. Phan tich tai chinh_DD'!B133),IF(ISBLANK('06. Phan tich tai chinh_RG'!B62),0,'06. Phan tich tai chinh_RG'!B62))</f>
        <v/>
      </c>
      <c r="D150" s="789">
        <f>IF('01. Thong tin chung'!$B$9="Đầy đủ", IF(ISBLANK('06. Phan tich tai chinh_DD'!C133),0,'06. Phan tich tai chinh_DD'!C133),IF(ISBLANK('06. Phan tich tai chinh_RG'!C62),0,'06. Phan tich tai chinh_RG'!C62))</f>
        <v/>
      </c>
      <c r="E150" s="789">
        <f>IF('01. Thong tin chung'!$B$9="Đầy đủ", IF(ISBLANK('06. Phan tich tai chinh_DD'!D133),0,'06. Phan tich tai chinh_DD'!D133),IF(ISBLANK('06. Phan tich tai chinh_RG'!D62),0,'06. Phan tich tai chinh_RG'!D62))</f>
        <v/>
      </c>
      <c r="F150" s="789">
        <f>IF('01. Thong tin chung'!$B$9="Đầy đủ", IF(ISBLANK('06. Phan tich tai chinh_DD'!G133),0,'06. Phan tich tai chinh_DD'!G133),IF(ISBLANK('06. Phan tich tai chinh_RG'!G62),0,'06. Phan tich tai chinh_RG'!G62))</f>
        <v/>
      </c>
      <c r="G150" s="388" t="n"/>
    </row>
    <row r="151">
      <c r="A151" s="796" t="inlineStr">
        <is>
          <t>IS004</t>
        </is>
      </c>
      <c r="B151" s="796" t="inlineStr">
        <is>
          <t>Doanh thu thuần về bán hàng và cung cấp dịch vụ</t>
        </is>
      </c>
      <c r="C151" s="789">
        <f>IF('01. Thong tin chung'!$B$9="Đầy đủ", IF(ISBLANK('06. Phan tich tai chinh_DD'!B134),0,'06. Phan tich tai chinh_DD'!B134),IF(ISBLANK('06. Phan tich tai chinh_RG'!B63),0,'06. Phan tich tai chinh_RG'!B63))</f>
        <v/>
      </c>
      <c r="D151" s="789">
        <f>IF('01. Thong tin chung'!$B$9="Đầy đủ", IF(ISBLANK('06. Phan tich tai chinh_DD'!C134),0,'06. Phan tich tai chinh_DD'!C134),IF(ISBLANK('06. Phan tich tai chinh_RG'!C63),0,'06. Phan tich tai chinh_RG'!C63))</f>
        <v/>
      </c>
      <c r="E151" s="789">
        <f>IF('01. Thong tin chung'!$B$9="Đầy đủ", IF(ISBLANK('06. Phan tich tai chinh_DD'!D134),0,'06. Phan tich tai chinh_DD'!D134),IF(ISBLANK('06. Phan tich tai chinh_RG'!D63),0,'06. Phan tich tai chinh_RG'!D63))</f>
        <v/>
      </c>
      <c r="F151" s="789">
        <f>IF('01. Thong tin chung'!$B$9="Đầy đủ", IF(ISBLANK('06. Phan tich tai chinh_DD'!G134),0,'06. Phan tich tai chinh_DD'!G134),IF(ISBLANK('06. Phan tich tai chinh_RG'!G63),0,'06. Phan tich tai chinh_RG'!G63))</f>
        <v/>
      </c>
      <c r="G151" s="388" t="n"/>
    </row>
    <row r="152">
      <c r="A152" s="796" t="inlineStr">
        <is>
          <t>IS005</t>
        </is>
      </c>
      <c r="B152" s="796" t="inlineStr">
        <is>
          <t>Giá vốn hàng bán</t>
        </is>
      </c>
      <c r="C152" s="789">
        <f>IF('01. Thong tin chung'!$B$9="Đầy đủ", IF(ISBLANK('06. Phan tich tai chinh_DD'!B135),0,'06. Phan tich tai chinh_DD'!B135),IF(ISBLANK('06. Phan tich tai chinh_RG'!B64),0,'06. Phan tich tai chinh_RG'!B64))</f>
        <v/>
      </c>
      <c r="D152" s="789">
        <f>IF('01. Thong tin chung'!$B$9="Đầy đủ", IF(ISBLANK('06. Phan tich tai chinh_DD'!C135),0,'06. Phan tich tai chinh_DD'!C135),IF(ISBLANK('06. Phan tich tai chinh_RG'!C64),0,'06. Phan tich tai chinh_RG'!C64))</f>
        <v/>
      </c>
      <c r="E152" s="789">
        <f>IF('01. Thong tin chung'!$B$9="Đầy đủ", IF(ISBLANK('06. Phan tich tai chinh_DD'!D135),0,'06. Phan tich tai chinh_DD'!D135),IF(ISBLANK('06. Phan tich tai chinh_RG'!D64),0,'06. Phan tich tai chinh_RG'!D64))</f>
        <v/>
      </c>
      <c r="F152" s="789">
        <f>IF('01. Thong tin chung'!$B$9="Đầy đủ", IF(ISBLANK('06. Phan tich tai chinh_DD'!G135),0,'06. Phan tich tai chinh_DD'!G135),IF(ISBLANK('06. Phan tich tai chinh_RG'!G64),0,'06. Phan tich tai chinh_RG'!G64))</f>
        <v/>
      </c>
      <c r="G152" s="388" t="n"/>
    </row>
    <row r="153">
      <c r="A153" s="795" t="inlineStr">
        <is>
          <t>IS024</t>
        </is>
      </c>
      <c r="B153" s="795" t="inlineStr">
        <is>
          <t xml:space="preserve">     - Tr/đó: Khấu hao trong giá vốn hàng bán</t>
        </is>
      </c>
      <c r="C153" s="789">
        <f>IF('01. Thong tin chung'!$B$9="Đầy đủ", IF(ISBLANK('06. Phan tich tai chinh_DD'!B136),0,'06. Phan tich tai chinh_DD'!B136),IF(ISBLANK('06. Phan tich tai chinh_RG'!B65),0,'06. Phan tich tai chinh_RG'!B65))</f>
        <v/>
      </c>
      <c r="D153" s="789">
        <f>IF('01. Thong tin chung'!$B$9="Đầy đủ", IF(ISBLANK('06. Phan tich tai chinh_DD'!C136),0,'06. Phan tich tai chinh_DD'!C136),IF(ISBLANK('06. Phan tich tai chinh_RG'!C65),0,'06. Phan tich tai chinh_RG'!C65))</f>
        <v/>
      </c>
      <c r="E153" s="789">
        <f>IF('01. Thong tin chung'!$B$9="Đầy đủ", IF(ISBLANK('06. Phan tich tai chinh_DD'!D136),0,'06. Phan tich tai chinh_DD'!D136),IF(ISBLANK('06. Phan tich tai chinh_RG'!D65),0,'06. Phan tich tai chinh_RG'!D65))</f>
        <v/>
      </c>
      <c r="F153" s="789">
        <f>IF('01. Thong tin chung'!$B$9="Đầy đủ", IF(ISBLANK('06. Phan tich tai chinh_DD'!G136),0,'06. Phan tich tai chinh_DD'!G136),IF(ISBLANK('06. Phan tich tai chinh_RG'!G65),0,'06. Phan tich tai chinh_RG'!G65))</f>
        <v/>
      </c>
      <c r="G153" s="388" t="n"/>
    </row>
    <row r="154">
      <c r="A154" s="796" t="inlineStr">
        <is>
          <t>IS006</t>
        </is>
      </c>
      <c r="B154" s="796" t="inlineStr">
        <is>
          <t>Lợi nhuận gộp về bán hàng và cung cấp dịch vụ</t>
        </is>
      </c>
      <c r="C154" s="789">
        <f>IF('01. Thong tin chung'!$B$9="Đầy đủ", IF(ISBLANK('06. Phan tich tai chinh_DD'!B137),0,'06. Phan tich tai chinh_DD'!B137),IF(ISBLANK('06. Phan tich tai chinh_RG'!B66),0,'06. Phan tich tai chinh_RG'!B66))</f>
        <v/>
      </c>
      <c r="D154" s="789">
        <f>IF('01. Thong tin chung'!$B$9="Đầy đủ", IF(ISBLANK('06. Phan tich tai chinh_DD'!C137),0,'06. Phan tich tai chinh_DD'!C137),IF(ISBLANK('06. Phan tich tai chinh_RG'!C66),0,'06. Phan tich tai chinh_RG'!C66))</f>
        <v/>
      </c>
      <c r="E154" s="789">
        <f>IF('01. Thong tin chung'!$B$9="Đầy đủ", IF(ISBLANK('06. Phan tich tai chinh_DD'!D137),0,'06. Phan tich tai chinh_DD'!D137),IF(ISBLANK('06. Phan tich tai chinh_RG'!D66),0,'06. Phan tich tai chinh_RG'!D66))</f>
        <v/>
      </c>
      <c r="F154" s="789">
        <f>IF('01. Thong tin chung'!$B$9="Đầy đủ", IF(ISBLANK('06. Phan tich tai chinh_DD'!G137),0,'06. Phan tich tai chinh_DD'!G137),IF(ISBLANK('06. Phan tich tai chinh_RG'!G66),0,'06. Phan tich tai chinh_RG'!G66))</f>
        <v/>
      </c>
      <c r="G154" s="388" t="n"/>
    </row>
    <row r="155">
      <c r="A155" s="796" t="inlineStr">
        <is>
          <t>IS007</t>
        </is>
      </c>
      <c r="B155" s="796" t="inlineStr">
        <is>
          <t>Doanh thu hoạt động tài chính</t>
        </is>
      </c>
      <c r="C155" s="789">
        <f>IF('01. Thong tin chung'!$B$9="Đầy đủ", IF(ISBLANK('06. Phan tich tai chinh_DD'!B138),0,'06. Phan tich tai chinh_DD'!B138),IF(ISBLANK('06. Phan tich tai chinh_RG'!B67),0,'06. Phan tich tai chinh_RG'!B67))</f>
        <v/>
      </c>
      <c r="D155" s="789">
        <f>IF('01. Thong tin chung'!$B$9="Đầy đủ", IF(ISBLANK('06. Phan tich tai chinh_DD'!C138),0,'06. Phan tich tai chinh_DD'!C138),IF(ISBLANK('06. Phan tich tai chinh_RG'!C67),0,'06. Phan tich tai chinh_RG'!C67))</f>
        <v/>
      </c>
      <c r="E155" s="789">
        <f>IF('01. Thong tin chung'!$B$9="Đầy đủ", IF(ISBLANK('06. Phan tich tai chinh_DD'!D138),0,'06. Phan tich tai chinh_DD'!D138),IF(ISBLANK('06. Phan tich tai chinh_RG'!D67),0,'06. Phan tich tai chinh_RG'!D67))</f>
        <v/>
      </c>
      <c r="F155" s="789">
        <f>IF('01. Thong tin chung'!$B$9="Đầy đủ", IF(ISBLANK('06. Phan tich tai chinh_DD'!G138),0,'06. Phan tich tai chinh_DD'!G138),IF(ISBLANK('06. Phan tich tai chinh_RG'!G67),0,'06. Phan tich tai chinh_RG'!G67))</f>
        <v/>
      </c>
      <c r="G155" s="388" t="n"/>
    </row>
    <row r="156">
      <c r="A156" s="796" t="inlineStr">
        <is>
          <t>IS008</t>
        </is>
      </c>
      <c r="B156" s="796" t="inlineStr">
        <is>
          <t>Chi phí tài chính</t>
        </is>
      </c>
      <c r="C156" s="789">
        <f>IF('01. Thong tin chung'!$B$9="Đầy đủ", IF(ISBLANK('06. Phan tich tai chinh_DD'!B139),0,'06. Phan tich tai chinh_DD'!B139),IF(ISBLANK('06. Phan tich tai chinh_RG'!B68),0,'06. Phan tich tai chinh_RG'!B68))</f>
        <v/>
      </c>
      <c r="D156" s="789">
        <f>IF('01. Thong tin chung'!$B$9="Đầy đủ", IF(ISBLANK('06. Phan tich tai chinh_DD'!C139),0,'06. Phan tich tai chinh_DD'!C139),IF(ISBLANK('06. Phan tich tai chinh_RG'!C68),0,'06. Phan tich tai chinh_RG'!C68))</f>
        <v/>
      </c>
      <c r="E156" s="789">
        <f>IF('01. Thong tin chung'!$B$9="Đầy đủ", IF(ISBLANK('06. Phan tich tai chinh_DD'!D139),0,'06. Phan tich tai chinh_DD'!D139),IF(ISBLANK('06. Phan tich tai chinh_RG'!D68),0,'06. Phan tich tai chinh_RG'!D68))</f>
        <v/>
      </c>
      <c r="F156" s="789">
        <f>IF('01. Thong tin chung'!$B$9="Đầy đủ", IF(ISBLANK('06. Phan tich tai chinh_DD'!G139),0,'06. Phan tich tai chinh_DD'!G139),IF(ISBLANK('06. Phan tich tai chinh_RG'!G68),0,'06. Phan tich tai chinh_RG'!G68))</f>
        <v/>
      </c>
      <c r="G156" s="388" t="n"/>
    </row>
    <row r="157">
      <c r="A157" s="795" t="inlineStr">
        <is>
          <t>IS025</t>
        </is>
      </c>
      <c r="B157" s="795" t="inlineStr">
        <is>
          <t xml:space="preserve">     - Tr/đó: Chi phí lãi vay</t>
        </is>
      </c>
      <c r="C157" s="789">
        <f>IF('01. Thong tin chung'!$B$9="Đầy đủ", IF(ISBLANK('06. Phan tich tai chinh_DD'!B140),0,'06. Phan tich tai chinh_DD'!B140),IF(ISBLANK('06. Phan tich tai chinh_RG'!B69),0,'06. Phan tich tai chinh_RG'!B69))</f>
        <v/>
      </c>
      <c r="D157" s="789">
        <f>IF('01. Thong tin chung'!$B$9="Đầy đủ", IF(ISBLANK('06. Phan tich tai chinh_DD'!C140),0,'06. Phan tich tai chinh_DD'!C140),IF(ISBLANK('06. Phan tich tai chinh_RG'!C69),0,'06. Phan tich tai chinh_RG'!C69))</f>
        <v/>
      </c>
      <c r="E157" s="789">
        <f>IF('01. Thong tin chung'!$B$9="Đầy đủ", IF(ISBLANK('06. Phan tich tai chinh_DD'!D140),0,'06. Phan tich tai chinh_DD'!D140),IF(ISBLANK('06. Phan tich tai chinh_RG'!D69),0,'06. Phan tich tai chinh_RG'!D69))</f>
        <v/>
      </c>
      <c r="F157" s="789">
        <f>IF('01. Thong tin chung'!$B$9="Đầy đủ", IF(ISBLANK('06. Phan tich tai chinh_DD'!G140),0,'06. Phan tich tai chinh_DD'!G140),IF(ISBLANK('06. Phan tich tai chinh_RG'!G69),0,'06. Phan tich tai chinh_RG'!G69))</f>
        <v/>
      </c>
      <c r="G157" s="388" t="n"/>
    </row>
    <row r="158">
      <c r="A158" s="796" t="inlineStr">
        <is>
          <t>IS009</t>
        </is>
      </c>
      <c r="B158" s="796" t="inlineStr">
        <is>
          <t>Chi phí bán hàng</t>
        </is>
      </c>
      <c r="C158" s="789">
        <f>IF('01. Thong tin chung'!$B$9="Đầy đủ",'06. Phan tich tai chinh_DD'!B141,-99999)</f>
        <v/>
      </c>
      <c r="D158" s="789">
        <f>IF('01. Thong tin chung'!$B$9="Đầy đủ",'06. Phan tich tai chinh_DD'!C141,-99999)</f>
        <v/>
      </c>
      <c r="E158" s="789">
        <f>IF('01. Thong tin chung'!$B$9="Đầy đủ",'06. Phan tich tai chinh_DD'!D141,-99999)</f>
        <v/>
      </c>
      <c r="F158" s="789">
        <f>IF('01. Thong tin chung'!$B$9="Đầy đủ",'06. Phan tich tai chinh_DD'!G141,-99999)</f>
        <v/>
      </c>
      <c r="G158" s="388" t="n"/>
    </row>
    <row r="159">
      <c r="A159" s="795" t="inlineStr">
        <is>
          <t>IS026</t>
        </is>
      </c>
      <c r="B159" s="795" t="inlineStr">
        <is>
          <t xml:space="preserve">     - Tr/đó: Khấu hao trong giá vốn hàng bán</t>
        </is>
      </c>
      <c r="C159" s="789">
        <f>IF('01. Thong tin chung'!$B$9="Đầy đủ",'06. Phan tich tai chinh_DD'!B142,-99999)</f>
        <v/>
      </c>
      <c r="D159" s="789">
        <f>IF('01. Thong tin chung'!$B$9="Đầy đủ",'06. Phan tich tai chinh_DD'!C142,-99999)</f>
        <v/>
      </c>
      <c r="E159" s="789">
        <f>IF('01. Thong tin chung'!$B$9="Đầy đủ",'06. Phan tich tai chinh_DD'!D142,-99999)</f>
        <v/>
      </c>
      <c r="F159" s="789">
        <f>IF('01. Thong tin chung'!$B$9="Đầy đủ",'06. Phan tich tai chinh_DD'!G142,-99999)</f>
        <v/>
      </c>
      <c r="G159" s="388" t="n"/>
    </row>
    <row r="160">
      <c r="A160" s="796" t="inlineStr">
        <is>
          <t>IS010</t>
        </is>
      </c>
      <c r="B160" s="796" t="inlineStr">
        <is>
          <t>Chi phí quản lý doanh nghiệp</t>
        </is>
      </c>
      <c r="C160" s="789">
        <f>IF('01. Thong tin chung'!$B$9="Đầy đủ",'06. Phan tich tai chinh_DD'!B143,-99999)</f>
        <v/>
      </c>
      <c r="D160" s="789">
        <f>IF('01. Thong tin chung'!$B$9="Đầy đủ",'06. Phan tich tai chinh_DD'!C143,-99999)</f>
        <v/>
      </c>
      <c r="E160" s="789">
        <f>IF('01. Thong tin chung'!$B$9="Đầy đủ",'06. Phan tich tai chinh_DD'!D143,-99999)</f>
        <v/>
      </c>
      <c r="F160" s="789">
        <f>IF('01. Thong tin chung'!$B$9="Đầy đủ",'06. Phan tich tai chinh_DD'!G143,-99999)</f>
        <v/>
      </c>
      <c r="G160" s="388" t="n"/>
    </row>
    <row r="161">
      <c r="A161" s="795" t="inlineStr">
        <is>
          <t>IS027</t>
        </is>
      </c>
      <c r="B161" s="795" t="inlineStr">
        <is>
          <t xml:space="preserve">     - Tr/đó: Khấu hao trong giá vốn hàng bán</t>
        </is>
      </c>
      <c r="C161" s="789">
        <f>IF('01. Thong tin chung'!$B$9="Đầy đủ",'06. Phan tich tai chinh_DD'!B144,-99999)</f>
        <v/>
      </c>
      <c r="D161" s="789">
        <f>IF('01. Thong tin chung'!$B$9="Đầy đủ",'06. Phan tich tai chinh_DD'!C144,-99999)</f>
        <v/>
      </c>
      <c r="E161" s="789">
        <f>IF('01. Thong tin chung'!$B$9="Đầy đủ",'06. Phan tich tai chinh_DD'!D144,-99999)</f>
        <v/>
      </c>
      <c r="F161" s="789">
        <f>IF('01. Thong tin chung'!$B$9="Đầy đủ",'06. Phan tich tai chinh_DD'!G144,-99999)</f>
        <v/>
      </c>
      <c r="G161" s="388" t="n"/>
    </row>
    <row r="162">
      <c r="A162" s="800" t="inlineStr">
        <is>
          <t>IS028</t>
        </is>
      </c>
      <c r="B162" s="802" t="inlineStr">
        <is>
          <t>Chi phí quản lý kinh doanh</t>
        </is>
      </c>
      <c r="C162" s="789">
        <f>IF('01. Thong tin chung'!$B$9="Rút gọn",'06. Phan tich tai chinh_RG'!B70,-99999)</f>
        <v/>
      </c>
      <c r="D162" s="789">
        <f>IF('01. Thong tin chung'!$B$9="Rút gọn",'06. Phan tich tai chinh_RG'!C70,-99999)</f>
        <v/>
      </c>
      <c r="E162" s="789">
        <f>IF('01. Thong tin chung'!$B$9="Rút gọn",'06. Phan tich tai chinh_RG'!D70,-99999)</f>
        <v/>
      </c>
      <c r="F162" s="789">
        <f>IF('01. Thong tin chung'!$B$9="Rút gọn",'06. Phan tich tai chinh_RG'!G70,-99999)</f>
        <v/>
      </c>
      <c r="G162" s="388" t="n"/>
    </row>
    <row r="163">
      <c r="A163" s="796" t="inlineStr">
        <is>
          <t>IS011</t>
        </is>
      </c>
      <c r="B163" s="796" t="inlineStr">
        <is>
          <t>Lợi nhuận thuần từ HĐKD</t>
        </is>
      </c>
      <c r="C163" s="789">
        <f>IF('01. Thong tin chung'!$B$9="Đầy đủ", IF(ISBLANK('06. Phan tich tai chinh_DD'!B145),0,'06. Phan tich tai chinh_DD'!B145),IF(ISBLANK('06. Phan tich tai chinh_RG'!B71),0,'06. Phan tich tai chinh_RG'!B71))</f>
        <v/>
      </c>
      <c r="D163" s="789">
        <f>IF('01. Thong tin chung'!$B$9="Đầy đủ", IF(ISBLANK('06. Phan tich tai chinh_DD'!C145),0,'06. Phan tich tai chinh_DD'!C145),IF(ISBLANK('06. Phan tich tai chinh_RG'!C71),0,'06. Phan tich tai chinh_RG'!C71))</f>
        <v/>
      </c>
      <c r="E163" s="789">
        <f>IF('01. Thong tin chung'!$B$9="Đầy đủ", IF(ISBLANK('06. Phan tich tai chinh_DD'!D145),0,'06. Phan tich tai chinh_DD'!D145),IF(ISBLANK('06. Phan tich tai chinh_RG'!D71),0,'06. Phan tich tai chinh_RG'!D71))</f>
        <v/>
      </c>
      <c r="F163" s="789">
        <f>IF('01. Thong tin chung'!$B$9="Đầy đủ", IF(ISBLANK('06. Phan tich tai chinh_DD'!G145),0,'06. Phan tich tai chinh_DD'!G145),IF(ISBLANK('06. Phan tich tai chinh_RG'!G71),0,'06. Phan tich tai chinh_RG'!G71))</f>
        <v/>
      </c>
      <c r="G163" s="388" t="n"/>
    </row>
    <row r="164">
      <c r="A164" s="796" t="inlineStr">
        <is>
          <t>IS012</t>
        </is>
      </c>
      <c r="B164" s="796" t="inlineStr">
        <is>
          <t>Thu nhập khác</t>
        </is>
      </c>
      <c r="C164" s="789">
        <f>IF('01. Thong tin chung'!$B$9="Đầy đủ", IF(ISBLANK('06. Phan tich tai chinh_DD'!B146),0,'06. Phan tich tai chinh_DD'!B146),IF(ISBLANK('06. Phan tich tai chinh_RG'!B72),0,'06. Phan tich tai chinh_RG'!B72))</f>
        <v/>
      </c>
      <c r="D164" s="789">
        <f>IF('01. Thong tin chung'!$B$9="Đầy đủ", IF(ISBLANK('06. Phan tich tai chinh_DD'!C146),0,'06. Phan tich tai chinh_DD'!C146),IF(ISBLANK('06. Phan tich tai chinh_RG'!C72),0,'06. Phan tich tai chinh_RG'!C72))</f>
        <v/>
      </c>
      <c r="E164" s="789">
        <f>IF('01. Thong tin chung'!$B$9="Đầy đủ", IF(ISBLANK('06. Phan tich tai chinh_DD'!D146),0,'06. Phan tich tai chinh_DD'!D146),IF(ISBLANK('06. Phan tich tai chinh_RG'!D72),0,'06. Phan tich tai chinh_RG'!D72))</f>
        <v/>
      </c>
      <c r="F164" s="789">
        <f>IF('01. Thong tin chung'!$B$9="Đầy đủ", IF(ISBLANK('06. Phan tich tai chinh_DD'!G146),0,'06. Phan tich tai chinh_DD'!G146),IF(ISBLANK('06. Phan tich tai chinh_RG'!G72),0,'06. Phan tich tai chinh_RG'!G72))</f>
        <v/>
      </c>
      <c r="G164" s="388" t="n"/>
    </row>
    <row r="165">
      <c r="A165" s="796" t="inlineStr">
        <is>
          <t>IS013</t>
        </is>
      </c>
      <c r="B165" s="796" t="inlineStr">
        <is>
          <t>Chi phí khác</t>
        </is>
      </c>
      <c r="C165" s="789">
        <f>IF('01. Thong tin chung'!$B$9="Đầy đủ", IF(ISBLANK('06. Phan tich tai chinh_DD'!B147),0,'06. Phan tich tai chinh_DD'!B147),IF(ISBLANK('06. Phan tich tai chinh_RG'!B73),0,'06. Phan tich tai chinh_RG'!B73))</f>
        <v/>
      </c>
      <c r="D165" s="789">
        <f>IF('01. Thong tin chung'!$B$9="Đầy đủ", IF(ISBLANK('06. Phan tich tai chinh_DD'!C147),0,'06. Phan tich tai chinh_DD'!C147),IF(ISBLANK('06. Phan tich tai chinh_RG'!C73),0,'06. Phan tich tai chinh_RG'!C73))</f>
        <v/>
      </c>
      <c r="E165" s="789">
        <f>IF('01. Thong tin chung'!$B$9="Đầy đủ", IF(ISBLANK('06. Phan tich tai chinh_DD'!D147),0,'06. Phan tich tai chinh_DD'!D147),IF(ISBLANK('06. Phan tich tai chinh_RG'!D73),0,'06. Phan tich tai chinh_RG'!D73))</f>
        <v/>
      </c>
      <c r="F165" s="789">
        <f>IF('01. Thong tin chung'!$B$9="Đầy đủ", IF(ISBLANK('06. Phan tich tai chinh_DD'!G147),0,'06. Phan tich tai chinh_DD'!G147),IF(ISBLANK('06. Phan tich tai chinh_RG'!G73),0,'06. Phan tich tai chinh_RG'!G73))</f>
        <v/>
      </c>
      <c r="G165" s="388" t="n"/>
    </row>
    <row r="166">
      <c r="A166" s="796" t="inlineStr">
        <is>
          <t>IS014</t>
        </is>
      </c>
      <c r="B166" s="796" t="inlineStr">
        <is>
          <t>Lợi nhuận khác</t>
        </is>
      </c>
      <c r="C166" s="789">
        <f>IF('01. Thong tin chung'!$B$9="Đầy đủ", IF(ISBLANK('06. Phan tich tai chinh_DD'!B148),0,'06. Phan tich tai chinh_DD'!B148),IF(ISBLANK('06. Phan tich tai chinh_RG'!B74),0,'06. Phan tich tai chinh_RG'!B74))</f>
        <v/>
      </c>
      <c r="D166" s="789">
        <f>IF('01. Thong tin chung'!$B$9="Đầy đủ", IF(ISBLANK('06. Phan tich tai chinh_DD'!C148),0,'06. Phan tich tai chinh_DD'!C148),IF(ISBLANK('06. Phan tich tai chinh_RG'!C74),0,'06. Phan tich tai chinh_RG'!C74))</f>
        <v/>
      </c>
      <c r="E166" s="789">
        <f>IF('01. Thong tin chung'!$B$9="Đầy đủ", IF(ISBLANK('06. Phan tich tai chinh_DD'!D148),0,'06. Phan tich tai chinh_DD'!D148),IF(ISBLANK('06. Phan tich tai chinh_RG'!D74),0,'06. Phan tich tai chinh_RG'!D74))</f>
        <v/>
      </c>
      <c r="F166" s="789">
        <f>IF('01. Thong tin chung'!$B$9="Đầy đủ", IF(ISBLANK('06. Phan tich tai chinh_DD'!G148),0,'06. Phan tich tai chinh_DD'!G148),IF(ISBLANK('06. Phan tich tai chinh_RG'!G74),0,'06. Phan tich tai chinh_RG'!G74))</f>
        <v/>
      </c>
      <c r="G166" s="388" t="n"/>
    </row>
    <row r="167">
      <c r="A167" s="796" t="inlineStr">
        <is>
          <t>IS015</t>
        </is>
      </c>
      <c r="B167" s="796" t="inlineStr">
        <is>
          <t>Tổng lợi nhuận kế toán trước thuế</t>
        </is>
      </c>
      <c r="C167" s="789">
        <f>IF('01. Thong tin chung'!$B$9="Đầy đủ", IF(ISBLANK('06. Phan tich tai chinh_DD'!B149),0,'06. Phan tich tai chinh_DD'!B149),IF(ISBLANK('06. Phan tich tai chinh_RG'!B75),0,'06. Phan tich tai chinh_RG'!B75))</f>
        <v/>
      </c>
      <c r="D167" s="789">
        <f>IF('01. Thong tin chung'!$B$9="Đầy đủ", IF(ISBLANK('06. Phan tich tai chinh_DD'!C149),0,'06. Phan tich tai chinh_DD'!C149),IF(ISBLANK('06. Phan tich tai chinh_RG'!C75),0,'06. Phan tich tai chinh_RG'!C75))</f>
        <v/>
      </c>
      <c r="E167" s="789">
        <f>IF('01. Thong tin chung'!$B$9="Đầy đủ", IF(ISBLANK('06. Phan tich tai chinh_DD'!D149),0,'06. Phan tich tai chinh_DD'!D149),IF(ISBLANK('06. Phan tich tai chinh_RG'!D75),0,'06. Phan tich tai chinh_RG'!D75))</f>
        <v/>
      </c>
      <c r="F167" s="789">
        <f>IF('01. Thong tin chung'!$B$9="Đầy đủ", IF(ISBLANK('06. Phan tich tai chinh_DD'!G149),0,'06. Phan tich tai chinh_DD'!G149),IF(ISBLANK('06. Phan tich tai chinh_RG'!G75),0,'06. Phan tich tai chinh_RG'!G75))</f>
        <v/>
      </c>
      <c r="G167" s="388" t="n"/>
    </row>
    <row r="168">
      <c r="A168" s="796" t="inlineStr">
        <is>
          <t>IS029</t>
        </is>
      </c>
      <c r="B168" s="802" t="inlineStr">
        <is>
          <t>Chi phí thuế TNDN</t>
        </is>
      </c>
      <c r="C168" s="789">
        <f>IF('01. Thong tin chung'!$B$9="Rút gọn",'06. Phan tich tai chinh_RG'!B76,-99999)</f>
        <v/>
      </c>
      <c r="D168" s="789">
        <f>IF('01. Thong tin chung'!$B$9="Rút gọn",'06. Phan tich tai chinh_RG'!C76,-99999)</f>
        <v/>
      </c>
      <c r="E168" s="789">
        <f>IF('01. Thong tin chung'!$B$9="Rút gọn",'06. Phan tich tai chinh_RG'!D76,-99999)</f>
        <v/>
      </c>
      <c r="F168" s="789">
        <f>IF('01. Thong tin chung'!$B$9="Rút gọn",'06. Phan tich tai chinh_RG'!G76,-99999)</f>
        <v/>
      </c>
      <c r="G168" s="388" t="n"/>
    </row>
    <row r="169">
      <c r="A169" s="796" t="inlineStr">
        <is>
          <t>IS016</t>
        </is>
      </c>
      <c r="B169" s="796" t="inlineStr">
        <is>
          <t>Chi phí thuế TNDN hiện hành</t>
        </is>
      </c>
      <c r="C169" s="789">
        <f>IF('01. Thong tin chung'!$B$9="Đầy đủ",'06. Phan tich tai chinh_DD'!B150,-99999)</f>
        <v/>
      </c>
      <c r="D169" s="789">
        <f>IF('01. Thong tin chung'!$B$9="Đầy đủ",'06. Phan tich tai chinh_DD'!C150,-99999)</f>
        <v/>
      </c>
      <c r="E169" s="789">
        <f>IF('01. Thong tin chung'!$B$9="Đầy đủ",'06. Phan tich tai chinh_DD'!D150,-99999)</f>
        <v/>
      </c>
      <c r="F169" s="789">
        <f>IF('01. Thong tin chung'!$B$9="Đầy đủ",'06. Phan tich tai chinh_DD'!G150,-99999)</f>
        <v/>
      </c>
      <c r="G169" s="388" t="n"/>
    </row>
    <row r="170">
      <c r="A170" s="796" t="inlineStr">
        <is>
          <t>IS017</t>
        </is>
      </c>
      <c r="B170" s="796" t="inlineStr">
        <is>
          <t>Chi phí thuế TNDN hoãn lại</t>
        </is>
      </c>
      <c r="C170" s="789">
        <f>IF('01. Thong tin chung'!$B$9="Đầy đủ",'06. Phan tich tai chinh_DD'!B151,-99999)</f>
        <v/>
      </c>
      <c r="D170" s="789">
        <f>IF('01. Thong tin chung'!$B$9="Đầy đủ",'06. Phan tich tai chinh_DD'!C151,-99999)</f>
        <v/>
      </c>
      <c r="E170" s="789">
        <f>IF('01. Thong tin chung'!$B$9="Đầy đủ",'06. Phan tich tai chinh_DD'!D151,-99999)</f>
        <v/>
      </c>
      <c r="F170" s="789">
        <f>IF('01. Thong tin chung'!$B$9="Đầy đủ",'06. Phan tich tai chinh_DD'!G151,-99999)</f>
        <v/>
      </c>
      <c r="G170" s="388" t="n"/>
    </row>
    <row r="171">
      <c r="A171" s="796" t="inlineStr">
        <is>
          <t>IS018</t>
        </is>
      </c>
      <c r="B171" s="796" t="inlineStr">
        <is>
          <t>Lợi nhuận sau thuế TNDN</t>
        </is>
      </c>
      <c r="C171" s="789">
        <f>IF('01. Thong tin chung'!$B$9="Đầy đủ", IF(ISBLANK('06. Phan tich tai chinh_DD'!B152),0,'06. Phan tich tai chinh_DD'!B152),IF(ISBLANK('06. Phan tich tai chinh_RG'!B77),0,'06. Phan tich tai chinh_RG'!B77))</f>
        <v/>
      </c>
      <c r="D171" s="789">
        <f>IF('01. Thong tin chung'!$B$9="Đầy đủ", IF(ISBLANK('06. Phan tich tai chinh_DD'!C152),0,'06. Phan tich tai chinh_DD'!C152),IF(ISBLANK('06. Phan tich tai chinh_RG'!C77),0,'06. Phan tich tai chinh_RG'!C77))</f>
        <v/>
      </c>
      <c r="E171" s="789">
        <f>IF('01. Thong tin chung'!$B$9="Đầy đủ", IF(ISBLANK('06. Phan tich tai chinh_DD'!D152),0,'06. Phan tich tai chinh_DD'!D152),IF(ISBLANK('06. Phan tich tai chinh_RG'!D77),0,'06. Phan tich tai chinh_RG'!D77))</f>
        <v/>
      </c>
      <c r="F171" s="789">
        <f>IF('01. Thong tin chung'!$B$9="Đầy đủ", IF(ISBLANK('06. Phan tich tai chinh_DD'!G152),0,'06. Phan tich tai chinh_DD'!G152),IF(ISBLANK('06. Phan tich tai chinh_RG'!G77),0,'06. Phan tich tai chinh_RG'!G77))</f>
        <v/>
      </c>
      <c r="G171" s="388" t="n"/>
    </row>
    <row r="172">
      <c r="A172" s="796" t="inlineStr">
        <is>
          <t>IS019</t>
        </is>
      </c>
      <c r="B172" s="796" t="inlineStr">
        <is>
          <t>Lãi cơ bản trên cổ phiếu</t>
        </is>
      </c>
      <c r="C172" s="789">
        <f>IF('01. Thong tin chung'!$B$9="Đầy đủ", IF(ISBLANK('06. Phan tich tai chinh_DD'!B153),0,'06. Phan tich tai chinh_DD'!B153),IF(ISBLANK('06. Phan tich tai chinh_RG'!B78),0,'06. Phan tich tai chinh_RG'!B78))</f>
        <v/>
      </c>
      <c r="D172" s="789">
        <f>IF('01. Thong tin chung'!$B$9="Đầy đủ", IF(ISBLANK('06. Phan tich tai chinh_DD'!C153),0,'06. Phan tich tai chinh_DD'!C153),IF(ISBLANK('06. Phan tich tai chinh_RG'!C78),0,'06. Phan tich tai chinh_RG'!C78))</f>
        <v/>
      </c>
      <c r="E172" s="789">
        <f>IF('01. Thong tin chung'!$B$9="Đầy đủ", IF(ISBLANK('06. Phan tich tai chinh_DD'!D153),0,'06. Phan tich tai chinh_DD'!D153),IF(ISBLANK('06. Phan tich tai chinh_RG'!D78),0,'06. Phan tich tai chinh_RG'!D78))</f>
        <v/>
      </c>
      <c r="F172" s="789">
        <f>IF('01. Thong tin chung'!$B$9="Đầy đủ", IF(ISBLANK('06. Phan tich tai chinh_DD'!G153),0,'06. Phan tich tai chinh_DD'!G153),IF(ISBLANK('06. Phan tich tai chinh_RG'!G78),0,'06. Phan tich tai chinh_RG'!G78))</f>
        <v/>
      </c>
      <c r="G172" s="388" t="n"/>
    </row>
    <row r="173">
      <c r="A173" s="796" t="inlineStr">
        <is>
          <t>GI001</t>
        </is>
      </c>
      <c r="B173" s="796" t="inlineStr">
        <is>
          <t>Tổng Doanh thu</t>
        </is>
      </c>
      <c r="C173" s="789">
        <f>IF('01. Thong tin chung'!$B$9="Đầy đủ", IF(ISBLANK('06. Phan tich tai chinh_DD'!B159),0,'06. Phan tich tai chinh_DD'!B159),IF(ISBLANK('06. Phan tich tai chinh_RG'!B84),0,'06. Phan tich tai chinh_RG'!B84))</f>
        <v/>
      </c>
      <c r="D173" s="789">
        <f>IF('01. Thong tin chung'!$B$9="Đầy đủ", IF(ISBLANK('06. Phan tich tai chinh_DD'!C159),0,'06. Phan tich tai chinh_DD'!C159),IF(ISBLANK('06. Phan tich tai chinh_RG'!C84),0,'06. Phan tich tai chinh_RG'!C84))</f>
        <v/>
      </c>
      <c r="E173" s="789">
        <f>IF('01. Thong tin chung'!$B$9="Đầy đủ", IF(ISBLANK('06. Phan tich tai chinh_DD'!D159),0,'06. Phan tich tai chinh_DD'!D159),IF(ISBLANK('06. Phan tich tai chinh_RG'!D84),0,'06. Phan tich tai chinh_RG'!D84))</f>
        <v/>
      </c>
      <c r="F173" s="789">
        <f>IF('01. Thong tin chung'!$B$9="Đầy đủ", IF(ISBLANK('06. Phan tich tai chinh_DD'!E159),0,'06. Phan tich tai chinh_DD'!E159),IF(ISBLANK('06. Phan tich tai chinh_RG'!E84),0,'06. Phan tich tai chinh_RG'!E84))</f>
        <v/>
      </c>
      <c r="G173" s="388" t="n"/>
    </row>
    <row r="174">
      <c r="A174" s="796" t="inlineStr">
        <is>
          <t>GI002</t>
        </is>
      </c>
      <c r="B174" s="796" t="inlineStr">
        <is>
          <t>Tổng tài sản</t>
        </is>
      </c>
      <c r="C174" s="789">
        <f>IF('01. Thong tin chung'!$B$9="Đầy đủ", IF(ISBLANK('06. Phan tich tai chinh_DD'!B160),0,'06. Phan tich tai chinh_DD'!B160),IF(ISBLANK('06. Phan tich tai chinh_RG'!B85),0,'06. Phan tich tai chinh_RG'!B85))</f>
        <v/>
      </c>
      <c r="D174" s="789">
        <f>IF('01. Thong tin chung'!$B$9="Đầy đủ", IF(ISBLANK('06. Phan tich tai chinh_DD'!C160),0,'06. Phan tich tai chinh_DD'!C160),IF(ISBLANK('06. Phan tich tai chinh_RG'!C85),0,'06. Phan tich tai chinh_RG'!C85))</f>
        <v/>
      </c>
      <c r="E174" s="789">
        <f>IF('01. Thong tin chung'!$B$9="Đầy đủ", IF(ISBLANK('06. Phan tich tai chinh_DD'!D160),0,'06. Phan tich tai chinh_DD'!D160),IF(ISBLANK('06. Phan tich tai chinh_RG'!D85),0,'06. Phan tich tai chinh_RG'!D85))</f>
        <v/>
      </c>
      <c r="F174" s="789">
        <f>IF('01. Thong tin chung'!$B$9="Đầy đủ", IF(ISBLANK('06. Phan tich tai chinh_DD'!E160),0,'06. Phan tich tai chinh_DD'!E160),IF(ISBLANK('06. Phan tich tai chinh_RG'!E85),0,'06. Phan tich tai chinh_RG'!E85))</f>
        <v/>
      </c>
      <c r="G174" s="388" t="n"/>
    </row>
    <row r="175">
      <c r="A175" s="796" t="inlineStr">
        <is>
          <t>GI003</t>
        </is>
      </c>
      <c r="B175" s="796" t="inlineStr">
        <is>
          <t>Vốn CSH</t>
        </is>
      </c>
      <c r="C175" s="789">
        <f>IF('01. Thong tin chung'!$B$9="Đầy đủ", IF(ISBLANK('06. Phan tich tai chinh_DD'!B161),0,'06. Phan tich tai chinh_DD'!B161),IF(ISBLANK('06. Phan tich tai chinh_RG'!B86),0,'06. Phan tich tai chinh_RG'!B86))</f>
        <v/>
      </c>
      <c r="D175" s="789">
        <f>IF('01. Thong tin chung'!$B$9="Đầy đủ", IF(ISBLANK('06. Phan tich tai chinh_DD'!C161),0,'06. Phan tich tai chinh_DD'!C161),IF(ISBLANK('06. Phan tich tai chinh_RG'!C86),0,'06. Phan tich tai chinh_RG'!C86))</f>
        <v/>
      </c>
      <c r="E175" s="789">
        <f>IF('01. Thong tin chung'!$B$9="Đầy đủ", IF(ISBLANK('06. Phan tich tai chinh_DD'!D161),0,'06. Phan tich tai chinh_DD'!D161),IF(ISBLANK('06. Phan tich tai chinh_RG'!D86),0,'06. Phan tich tai chinh_RG'!D86))</f>
        <v/>
      </c>
      <c r="F175" s="789">
        <f>IF('01. Thong tin chung'!$B$9="Đầy đủ", IF(ISBLANK('06. Phan tich tai chinh_DD'!E161),0,'06. Phan tich tai chinh_DD'!E161),IF(ISBLANK('06. Phan tich tai chinh_RG'!E86),0,'06. Phan tich tai chinh_RG'!E86))</f>
        <v/>
      </c>
      <c r="G175" s="388" t="n"/>
    </row>
    <row r="176">
      <c r="A176" s="796" t="inlineStr">
        <is>
          <t>GI004</t>
        </is>
      </c>
      <c r="B176" s="796" t="inlineStr">
        <is>
          <t>Lợi nhuận sau thuế</t>
        </is>
      </c>
      <c r="C176" s="789">
        <f>IF('01. Thong tin chung'!$B$9="Đầy đủ", IF(ISBLANK('06. Phan tich tai chinh_DD'!B162),0,'06. Phan tich tai chinh_DD'!B162),IF(ISBLANK('06. Phan tich tai chinh_RG'!B87),0,'06. Phan tich tai chinh_RG'!B87))</f>
        <v/>
      </c>
      <c r="D176" s="789">
        <f>IF('01. Thong tin chung'!$B$9="Đầy đủ", IF(ISBLANK('06. Phan tich tai chinh_DD'!C162),0,'06. Phan tich tai chinh_DD'!C162),IF(ISBLANK('06. Phan tich tai chinh_RG'!C87),0,'06. Phan tich tai chinh_RG'!C87))</f>
        <v/>
      </c>
      <c r="E176" s="789">
        <f>IF('01. Thong tin chung'!$B$9="Đầy đủ", IF(ISBLANK('06. Phan tich tai chinh_DD'!D162),0,'06. Phan tich tai chinh_DD'!D162),IF(ISBLANK('06. Phan tich tai chinh_RG'!D87),0,'06. Phan tich tai chinh_RG'!D87))</f>
        <v/>
      </c>
      <c r="F176" s="789">
        <f>IF('01. Thong tin chung'!$B$9="Đầy đủ", IF(ISBLANK('06. Phan tich tai chinh_DD'!E162),0,'06. Phan tich tai chinh_DD'!E162),IF(ISBLANK('06. Phan tich tai chinh_RG'!E87),0,'06. Phan tich tai chinh_RG'!E87))</f>
        <v/>
      </c>
      <c r="G176" s="388" t="n"/>
    </row>
    <row r="177">
      <c r="A177" s="796" t="inlineStr">
        <is>
          <t>GI005</t>
        </is>
      </c>
      <c r="B177" s="796" t="inlineStr">
        <is>
          <t>Tổng vay và nợ ngắn + dài hạn</t>
        </is>
      </c>
      <c r="C177" s="789">
        <f>IF('01. Thong tin chung'!$B$9="Đầy đủ", IF(ISBLANK('06. Phan tich tai chinh_DD'!B163),0,'06. Phan tich tai chinh_DD'!B163),IF(ISBLANK('06. Phan tich tai chinh_RG'!B88),0,'06. Phan tich tai chinh_RG'!B88))</f>
        <v/>
      </c>
      <c r="D177" s="789">
        <f>IF('01. Thong tin chung'!$B$9="Đầy đủ", IF(ISBLANK('06. Phan tich tai chinh_DD'!C163),0,'06. Phan tich tai chinh_DD'!C163),IF(ISBLANK('06. Phan tich tai chinh_RG'!C88),0,'06. Phan tich tai chinh_RG'!C88))</f>
        <v/>
      </c>
      <c r="E177" s="789">
        <f>IF('01. Thong tin chung'!$B$9="Đầy đủ", IF(ISBLANK('06. Phan tich tai chinh_DD'!D163),0,'06. Phan tich tai chinh_DD'!D163),IF(ISBLANK('06. Phan tich tai chinh_RG'!D88),0,'06. Phan tich tai chinh_RG'!D88))</f>
        <v/>
      </c>
      <c r="F177" s="789">
        <f>IF('01. Thong tin chung'!$B$9="Đầy đủ", IF(ISBLANK('06. Phan tich tai chinh_DD'!E163),0,'06. Phan tich tai chinh_DD'!E163),IF(ISBLANK('06. Phan tich tai chinh_RG'!E88),0,'06. Phan tich tai chinh_RG'!E88))</f>
        <v/>
      </c>
      <c r="G177" s="388" t="n"/>
    </row>
    <row r="178">
      <c r="A178" s="796" t="inlineStr">
        <is>
          <t>GI006</t>
        </is>
      </c>
      <c r="B178" s="796" t="inlineStr">
        <is>
          <t>Hệ số đòn bẩy (lần)</t>
        </is>
      </c>
      <c r="C178" s="789">
        <f>IF('01. Thong tin chung'!$B$9="Đầy đủ", IF(ISBLANK('06. Phan tich tai chinh_DD'!B164),0,'06. Phan tich tai chinh_DD'!B164),IF(ISBLANK('06. Phan tich tai chinh_RG'!B89),0,'06. Phan tich tai chinh_RG'!B89))</f>
        <v/>
      </c>
      <c r="D178" s="789">
        <f>IF('01. Thong tin chung'!$B$9="Đầy đủ", IF(ISBLANK('06. Phan tich tai chinh_DD'!C164),0,'06. Phan tich tai chinh_DD'!C164),IF(ISBLANK('06. Phan tich tai chinh_RG'!C89),0,'06. Phan tich tai chinh_RG'!C89))</f>
        <v/>
      </c>
      <c r="E178" s="789">
        <f>IF('01. Thong tin chung'!$B$9="Đầy đủ", IF(ISBLANK('06. Phan tich tai chinh_DD'!D164),0,'06. Phan tich tai chinh_DD'!D164),IF(ISBLANK('06. Phan tich tai chinh_RG'!D89),0,'06. Phan tich tai chinh_RG'!D89))</f>
        <v/>
      </c>
      <c r="F178" s="789">
        <f>IF('01. Thong tin chung'!$B$9="Đầy đủ", IF(ISBLANK('06. Phan tich tai chinh_DD'!E164),0,'06. Phan tich tai chinh_DD'!E164),IF(ISBLANK('06. Phan tich tai chinh_RG'!E89),0,'06. Phan tich tai chinh_RG'!E89))</f>
        <v/>
      </c>
      <c r="G178" s="388" t="n"/>
    </row>
    <row r="179">
      <c r="A179" s="796" t="inlineStr">
        <is>
          <t>GI007</t>
        </is>
      </c>
      <c r="B179" s="796" t="inlineStr">
        <is>
          <t>KNTT hiện hành  (lần)</t>
        </is>
      </c>
      <c r="C179" s="789">
        <f>IF('01. Thong tin chung'!$B$9="Đầy đủ", IF(ISBLANK('06. Phan tich tai chinh_DD'!B168),0,'06. Phan tich tai chinh_DD'!B168),IF(ISBLANK('06. Phan tich tai chinh_RG'!B93),0,'06. Phan tich tai chinh_RG'!B93))</f>
        <v/>
      </c>
      <c r="D179" s="789">
        <f>IF('01. Thong tin chung'!$B$9="Đầy đủ", IF(ISBLANK('06. Phan tich tai chinh_DD'!C168),0,'06. Phan tich tai chinh_DD'!C168),IF(ISBLANK('06. Phan tich tai chinh_RG'!C93),0,'06. Phan tich tai chinh_RG'!C93))</f>
        <v/>
      </c>
      <c r="E179" s="789">
        <f>IF('01. Thong tin chung'!$B$9="Đầy đủ", IF(ISBLANK('06. Phan tich tai chinh_DD'!D168),0,'06. Phan tich tai chinh_DD'!D168),IF(ISBLANK('06. Phan tich tai chinh_RG'!D93),0,'06. Phan tich tai chinh_RG'!D93))</f>
        <v/>
      </c>
      <c r="F179" s="789">
        <f>IF('01. Thong tin chung'!$B$9="Đầy đủ", IF(ISBLANK('06. Phan tich tai chinh_DD'!E168),0,'06. Phan tich tai chinh_DD'!E168),IF(ISBLANK('06. Phan tich tai chinh_RG'!E93),0,'06. Phan tich tai chinh_RG'!E93))</f>
        <v/>
      </c>
      <c r="G179" s="388" t="n"/>
    </row>
    <row r="180">
      <c r="A180" s="796" t="inlineStr">
        <is>
          <t>GI008</t>
        </is>
      </c>
      <c r="B180" s="796" t="inlineStr">
        <is>
          <t>Vòng quay VLĐ (vòng)</t>
        </is>
      </c>
      <c r="C180" s="789">
        <f>IF('01. Thong tin chung'!$B$9="Đầy đủ", IF(ISBLANK('06. Phan tich tai chinh_DD'!B169),0,'06. Phan tich tai chinh_DD'!B169),IF(ISBLANK('06. Phan tich tai chinh_RG'!B94),0,'06. Phan tich tai chinh_RG'!B94))</f>
        <v/>
      </c>
      <c r="D180" s="789">
        <f>IF('01. Thong tin chung'!$B$9="Đầy đủ", IF(ISBLANK('06. Phan tich tai chinh_DD'!C169),0,'06. Phan tich tai chinh_DD'!C169),IF(ISBLANK('06. Phan tich tai chinh_RG'!C94),0,'06. Phan tich tai chinh_RG'!C94))</f>
        <v/>
      </c>
      <c r="E180" s="789">
        <f>IF('01. Thong tin chung'!$B$9="Đầy đủ", IF(ISBLANK('06. Phan tich tai chinh_DD'!D169),0,'06. Phan tich tai chinh_DD'!D169),IF(ISBLANK('06. Phan tich tai chinh_RG'!D94),0,'06. Phan tich tai chinh_RG'!D94))</f>
        <v/>
      </c>
      <c r="F180" s="789">
        <f>IF('01. Thong tin chung'!$B$9="Đầy đủ", IF(ISBLANK('06. Phan tich tai chinh_DD'!E169),0,'06. Phan tich tai chinh_DD'!E169),IF(ISBLANK('06. Phan tich tai chinh_RG'!E94),0,'06. Phan tich tai chinh_RG'!E94))</f>
        <v/>
      </c>
      <c r="G180" s="388" t="n"/>
    </row>
    <row r="181">
      <c r="A181" s="795" t="inlineStr">
        <is>
          <t>FR001</t>
        </is>
      </c>
      <c r="B181" s="795" t="inlineStr">
        <is>
          <t>Chỉ tiêu thanh khoản</t>
        </is>
      </c>
      <c r="C181" s="790" t="n"/>
      <c r="D181" s="790" t="n"/>
      <c r="E181" s="790" t="n"/>
      <c r="F181" s="796" t="n"/>
      <c r="G181" s="388" t="n"/>
    </row>
    <row r="182">
      <c r="A182" s="796" t="inlineStr">
        <is>
          <t>FR006</t>
        </is>
      </c>
      <c r="B182" s="796" t="inlineStr">
        <is>
          <t>1.Khả năng thanh toán hiện hành (lần)</t>
        </is>
      </c>
      <c r="C182" s="789">
        <f>IF('01. Thong tin chung'!$B$9="Đầy đủ", IF(ISBLANK('06. Phan tich tai chinh_DD'!C193),0,'06. Phan tich tai chinh_DD'!C193),IF(ISBLANK('06. Phan tich tai chinh_RG'!C118),0,'06. Phan tich tai chinh_RG'!C118))</f>
        <v/>
      </c>
      <c r="D182" s="789">
        <f>IF('01. Thong tin chung'!$B$9="Đầy đủ", IF(ISBLANK('06. Phan tich tai chinh_DD'!D193),0,'06. Phan tich tai chinh_DD'!D193),IF(ISBLANK('06. Phan tich tai chinh_RG'!D118),0,'06. Phan tich tai chinh_RG'!D118))</f>
        <v/>
      </c>
      <c r="E182" s="789">
        <f>IF('01. Thong tin chung'!$B$9="Đầy đủ", IF(ISBLANK('06. Phan tich tai chinh_DD'!E193),0,'06. Phan tich tai chinh_DD'!E193),IF(ISBLANK('06. Phan tich tai chinh_RG'!E118),0,'06. Phan tich tai chinh_RG'!E118))</f>
        <v/>
      </c>
      <c r="F182" s="789">
        <f>IF('01. Thong tin chung'!$B$9="Đầy đủ", IF(ISBLANK('06. Phan tich tai chinh_DD'!H193),0,'06. Phan tich tai chinh_DD'!H193),IF(ISBLANK('06. Phan tich tai chinh_RG'!H118),0,'06. Phan tich tai chinh_RG'!H118))</f>
        <v/>
      </c>
      <c r="G182" s="388" t="n"/>
    </row>
    <row r="183">
      <c r="A183" s="796" t="inlineStr">
        <is>
          <t>FR007</t>
        </is>
      </c>
      <c r="B183" s="796" t="inlineStr">
        <is>
          <t>2. Khả năng thanh toán nhanh (lần)</t>
        </is>
      </c>
      <c r="C183" s="789">
        <f>IF('01. Thong tin chung'!$B$9="Đầy đủ", IF(ISBLANK('06. Phan tich tai chinh_DD'!C194),0,'06. Phan tich tai chinh_DD'!C194),IF(ISBLANK('06. Phan tich tai chinh_RG'!C119),0,'06. Phan tich tai chinh_RG'!C119))</f>
        <v/>
      </c>
      <c r="D183" s="789">
        <f>IF('01. Thong tin chung'!$B$9="Đầy đủ", IF(ISBLANK('06. Phan tich tai chinh_DD'!D194),0,'06. Phan tich tai chinh_DD'!D194),IF(ISBLANK('06. Phan tich tai chinh_RG'!D119),0,'06. Phan tich tai chinh_RG'!D119))</f>
        <v/>
      </c>
      <c r="E183" s="789">
        <f>IF('01. Thong tin chung'!$B$9="Đầy đủ", IF(ISBLANK('06. Phan tich tai chinh_DD'!E194),0,'06. Phan tich tai chinh_DD'!E194),IF(ISBLANK('06. Phan tich tai chinh_RG'!E119),0,'06. Phan tich tai chinh_RG'!E119))</f>
        <v/>
      </c>
      <c r="F183" s="789">
        <f>IF('01. Thong tin chung'!$B$9="Đầy đủ", IF(ISBLANK('06. Phan tich tai chinh_DD'!H194),0,'06. Phan tich tai chinh_DD'!H194),IF(ISBLANK('06. Phan tich tai chinh_RG'!H119),0,'06. Phan tich tai chinh_RG'!H119))</f>
        <v/>
      </c>
      <c r="G183" s="388" t="n"/>
    </row>
    <row r="184">
      <c r="A184" s="796" t="inlineStr">
        <is>
          <t>FR008</t>
        </is>
      </c>
      <c r="B184" s="796" t="inlineStr">
        <is>
          <t>3. Khả năng thanh toán tức thời (lần)</t>
        </is>
      </c>
      <c r="C184" s="789">
        <f>IF('01. Thong tin chung'!$B$9="Đầy đủ", IF(ISBLANK('06. Phan tich tai chinh_DD'!C195),0,'06. Phan tich tai chinh_DD'!C195),IF(ISBLANK('06. Phan tich tai chinh_RG'!C120),0,'06. Phan tich tai chinh_RG'!C120))</f>
        <v/>
      </c>
      <c r="D184" s="789">
        <f>IF('01. Thong tin chung'!$B$9="Đầy đủ", IF(ISBLANK('06. Phan tich tai chinh_DD'!D195),0,'06. Phan tich tai chinh_DD'!D195),IF(ISBLANK('06. Phan tich tai chinh_RG'!D120),0,'06. Phan tich tai chinh_RG'!D120))</f>
        <v/>
      </c>
      <c r="E184" s="789">
        <f>IF('01. Thong tin chung'!$B$9="Đầy đủ", IF(ISBLANK('06. Phan tich tai chinh_DD'!E195),0,'06. Phan tich tai chinh_DD'!E195),IF(ISBLANK('06. Phan tich tai chinh_RG'!E120),0,'06. Phan tich tai chinh_RG'!E120))</f>
        <v/>
      </c>
      <c r="F184" s="789">
        <f>IF('01. Thong tin chung'!$B$9="Đầy đủ", IF(ISBLANK('06. Phan tich tai chinh_DD'!H195),0,'06. Phan tich tai chinh_DD'!H195),IF(ISBLANK('06. Phan tich tai chinh_RG'!H120),0,'06. Phan tich tai chinh_RG'!H120))</f>
        <v/>
      </c>
      <c r="G184" s="388" t="n"/>
    </row>
    <row r="185">
      <c r="A185" s="795" t="inlineStr">
        <is>
          <t>FR002</t>
        </is>
      </c>
      <c r="B185" s="795" t="inlineStr">
        <is>
          <t>Chỉ tiêu hoạt động</t>
        </is>
      </c>
      <c r="C185" s="789" t="n"/>
      <c r="D185" s="789" t="n"/>
      <c r="E185" s="789" t="n"/>
      <c r="F185" s="789" t="n"/>
      <c r="G185" s="388" t="n"/>
    </row>
    <row r="186">
      <c r="A186" s="796" t="inlineStr">
        <is>
          <t>FR009</t>
        </is>
      </c>
      <c r="B186" s="796" t="inlineStr">
        <is>
          <t>4. Vòng quay vốn lưu động (vòng)</t>
        </is>
      </c>
      <c r="C186" s="789">
        <f>IF('01. Thong tin chung'!$B$9="Đầy đủ", IF(ISBLANK('06. Phan tich tai chinh_DD'!C197),0,'06. Phan tich tai chinh_DD'!C197),IF(ISBLANK('06. Phan tich tai chinh_RG'!C122),0,'06. Phan tich tai chinh_RG'!C122))</f>
        <v/>
      </c>
      <c r="D186" s="789">
        <f>IF('01. Thong tin chung'!$B$9="Đầy đủ", IF(ISBLANK('06. Phan tich tai chinh_DD'!D197),0,'06. Phan tich tai chinh_DD'!D197),IF(ISBLANK('06. Phan tich tai chinh_RG'!D122),0,'06. Phan tich tai chinh_RG'!D122))</f>
        <v/>
      </c>
      <c r="E186" s="789">
        <f>IF('01. Thong tin chung'!$B$9="Đầy đủ", IF(ISBLANK('06. Phan tich tai chinh_DD'!E197),0,'06. Phan tich tai chinh_DD'!E197),IF(ISBLANK('06. Phan tich tai chinh_RG'!E122),0,'06. Phan tich tai chinh_RG'!E122))</f>
        <v/>
      </c>
      <c r="F186" s="789">
        <f>IF('01. Thong tin chung'!$B$9="Đầy đủ", IF(ISBLANK('06. Phan tich tai chinh_DD'!H197),0,'06. Phan tich tai chinh_DD'!H197),IF(ISBLANK('06. Phan tich tai chinh_RG'!H122),0,'06. Phan tich tai chinh_RG'!H122))</f>
        <v/>
      </c>
      <c r="G186" s="388" t="n"/>
    </row>
    <row r="187">
      <c r="A187" s="796" t="inlineStr">
        <is>
          <t>FR010</t>
        </is>
      </c>
      <c r="B187" s="796" t="inlineStr">
        <is>
          <t>5. Vòng quay hàng tồn kho (vòng)</t>
        </is>
      </c>
      <c r="C187" s="789">
        <f>IF('01. Thong tin chung'!$B$9="Đầy đủ", IF(ISBLANK('06. Phan tich tai chinh_DD'!C198),0,'06. Phan tich tai chinh_DD'!C198),IF(ISBLANK('06. Phan tich tai chinh_RG'!C123),0,'06. Phan tich tai chinh_RG'!C123))</f>
        <v/>
      </c>
      <c r="D187" s="789">
        <f>IF('01. Thong tin chung'!$B$9="Đầy đủ", IF(ISBLANK('06. Phan tich tai chinh_DD'!D198),0,'06. Phan tich tai chinh_DD'!D198),IF(ISBLANK('06. Phan tich tai chinh_RG'!D123),0,'06. Phan tich tai chinh_RG'!D123))</f>
        <v/>
      </c>
      <c r="E187" s="789">
        <f>IF('01. Thong tin chung'!$B$9="Đầy đủ", IF(ISBLANK('06. Phan tich tai chinh_DD'!E198),0,'06. Phan tich tai chinh_DD'!E198),IF(ISBLANK('06. Phan tich tai chinh_RG'!E123),0,'06. Phan tich tai chinh_RG'!E123))</f>
        <v/>
      </c>
      <c r="F187" s="789">
        <f>IF('01. Thong tin chung'!$B$9="Đầy đủ", IF(ISBLANK('06. Phan tich tai chinh_DD'!H198),0,'06. Phan tich tai chinh_DD'!H198),IF(ISBLANK('06. Phan tich tai chinh_RG'!H123),0,'06. Phan tich tai chinh_RG'!H123))</f>
        <v/>
      </c>
      <c r="G187" s="388" t="n"/>
    </row>
    <row r="188">
      <c r="A188" s="796" t="inlineStr">
        <is>
          <t>FR011</t>
        </is>
      </c>
      <c r="B188" s="796" t="inlineStr">
        <is>
          <t>6. Vòng quay các khoản phải thu (vòng)</t>
        </is>
      </c>
      <c r="C188" s="789">
        <f>IF('01. Thong tin chung'!$B$9="Đầy đủ", IF(ISBLANK('06. Phan tich tai chinh_DD'!C199),0,'06. Phan tich tai chinh_DD'!C199),IF(ISBLANK('06. Phan tich tai chinh_RG'!C124),0,'06. Phan tich tai chinh_RG'!C124))</f>
        <v/>
      </c>
      <c r="D188" s="789">
        <f>IF('01. Thong tin chung'!$B$9="Đầy đủ", IF(ISBLANK('06. Phan tich tai chinh_DD'!D199),0,'06. Phan tich tai chinh_DD'!D199),IF(ISBLANK('06. Phan tich tai chinh_RG'!D124),0,'06. Phan tich tai chinh_RG'!D124))</f>
        <v/>
      </c>
      <c r="E188" s="789">
        <f>IF('01. Thong tin chung'!$B$9="Đầy đủ", IF(ISBLANK('06. Phan tich tai chinh_DD'!E199),0,'06. Phan tich tai chinh_DD'!E199),IF(ISBLANK('06. Phan tich tai chinh_RG'!E124),0,'06. Phan tich tai chinh_RG'!E124))</f>
        <v/>
      </c>
      <c r="F188" s="789">
        <f>IF('01. Thong tin chung'!$B$9="Đầy đủ", IF(ISBLANK('06. Phan tich tai chinh_DD'!H199),0,'06. Phan tich tai chinh_DD'!H199),IF(ISBLANK('06. Phan tich tai chinh_RG'!H124),0,'06. Phan tich tai chinh_RG'!H124))</f>
        <v/>
      </c>
      <c r="G188" s="388" t="n"/>
    </row>
    <row r="189">
      <c r="A189" s="796" t="inlineStr">
        <is>
          <t>FR012</t>
        </is>
      </c>
      <c r="B189" s="796" t="inlineStr">
        <is>
          <t>7. Vòng quay khoản phải trả (Payables Turnover)</t>
        </is>
      </c>
      <c r="C189" s="789">
        <f>IF('01. Thong tin chung'!$B$9="Đầy đủ", IF(ISBLANK('06. Phan tich tai chinh_DD'!C200),0,'06. Phan tich tai chinh_DD'!C200),IF(ISBLANK('06. Phan tich tai chinh_RG'!C125),0,'06. Phan tich tai chinh_RG'!C125))</f>
        <v/>
      </c>
      <c r="D189" s="789">
        <f>IF('01. Thong tin chung'!$B$9="Đầy đủ", IF(ISBLANK('06. Phan tich tai chinh_DD'!D200),0,'06. Phan tich tai chinh_DD'!D200),IF(ISBLANK('06. Phan tich tai chinh_RG'!D125),0,'06. Phan tich tai chinh_RG'!D125))</f>
        <v/>
      </c>
      <c r="E189" s="789">
        <f>IF('01. Thong tin chung'!$B$9="Đầy đủ", IF(ISBLANK('06. Phan tich tai chinh_DD'!E200),0,'06. Phan tich tai chinh_DD'!E200),IF(ISBLANK('06. Phan tich tai chinh_RG'!E125),0,'06. Phan tich tai chinh_RG'!E125))</f>
        <v/>
      </c>
      <c r="F189" s="789">
        <f>IF('01. Thong tin chung'!$B$9="Đầy đủ", IF(ISBLANK('06. Phan tich tai chinh_DD'!H200),0,'06. Phan tich tai chinh_DD'!H200),IF(ISBLANK('06. Phan tich tai chinh_RG'!H125),0,'06. Phan tich tai chinh_RG'!H125))</f>
        <v/>
      </c>
      <c r="G189" s="388" t="n"/>
    </row>
    <row r="190">
      <c r="A190" s="796" t="inlineStr">
        <is>
          <t>FR013</t>
        </is>
      </c>
      <c r="B190" s="796" t="inlineStr">
        <is>
          <t>8. Hiệu suất sử dụng TSCĐ (lần)</t>
        </is>
      </c>
      <c r="C190" s="789">
        <f>IF('01. Thong tin chung'!$B$9="Đầy đủ", IF(ISBLANK('06. Phan tich tai chinh_DD'!C201),0,'06. Phan tich tai chinh_DD'!C201),IF(ISBLANK('06. Phan tich tai chinh_RG'!C126),0,'06. Phan tich tai chinh_RG'!C126))</f>
        <v/>
      </c>
      <c r="D190" s="789">
        <f>IF('01. Thong tin chung'!$B$9="Đầy đủ", IF(ISBLANK('06. Phan tich tai chinh_DD'!D201),0,'06. Phan tich tai chinh_DD'!D201),IF(ISBLANK('06. Phan tich tai chinh_RG'!D126),0,'06. Phan tich tai chinh_RG'!D126))</f>
        <v/>
      </c>
      <c r="E190" s="789">
        <f>IF('01. Thong tin chung'!$B$9="Đầy đủ", IF(ISBLANK('06. Phan tich tai chinh_DD'!E201),0,'06. Phan tich tai chinh_DD'!E201),IF(ISBLANK('06. Phan tich tai chinh_RG'!E126),0,'06. Phan tich tai chinh_RG'!E126))</f>
        <v/>
      </c>
      <c r="F190" s="789">
        <f>IF('01. Thong tin chung'!$B$9="Đầy đủ", IF(ISBLANK('06. Phan tich tai chinh_DD'!H201),0,'06. Phan tich tai chinh_DD'!H201),IF(ISBLANK('06. Phan tich tai chinh_RG'!H126),0,'06. Phan tich tai chinh_RG'!H126))</f>
        <v/>
      </c>
      <c r="G190" s="388" t="n"/>
    </row>
    <row r="191" customFormat="1" s="389">
      <c r="A191" s="796" t="inlineStr">
        <is>
          <t>FR014</t>
        </is>
      </c>
      <c r="B191" s="796" t="inlineStr">
        <is>
          <t>9. Vòng quay kinh doanh</t>
        </is>
      </c>
      <c r="C191" s="789">
        <f>IF('01. Thong tin chung'!$B$9="Đầy đủ", IF(ISBLANK('06. Phan tich tai chinh_DD'!C202),0,'06. Phan tich tai chinh_DD'!C202),IF(ISBLANK('06. Phan tich tai chinh_RG'!C127),0,'06. Phan tich tai chinh_RG'!C127))</f>
        <v/>
      </c>
      <c r="D191" s="789">
        <f>IF('01. Thong tin chung'!$B$9="Đầy đủ", IF(ISBLANK('06. Phan tich tai chinh_DD'!D202),0,'06. Phan tich tai chinh_DD'!D202),IF(ISBLANK('06. Phan tich tai chinh_RG'!D127),0,'06. Phan tich tai chinh_RG'!D127))</f>
        <v/>
      </c>
      <c r="E191" s="789">
        <f>IF('01. Thong tin chung'!$B$9="Đầy đủ", IF(ISBLANK('06. Phan tich tai chinh_DD'!E202),0,'06. Phan tich tai chinh_DD'!E202),IF(ISBLANK('06. Phan tich tai chinh_RG'!E127),0,'06. Phan tich tai chinh_RG'!E127))</f>
        <v/>
      </c>
      <c r="F191" s="789">
        <f>IF('01. Thong tin chung'!$B$9="Đầy đủ", IF(ISBLANK('06. Phan tich tai chinh_DD'!H202),0,'06. Phan tich tai chinh_DD'!H202),IF(ISBLANK('06. Phan tich tai chinh_RG'!H127),0,'06. Phan tich tai chinh_RG'!H127))</f>
        <v/>
      </c>
      <c r="G191" s="388" t="n"/>
    </row>
    <row r="192" customFormat="1" s="389">
      <c r="A192" s="796" t="inlineStr">
        <is>
          <t>FR015</t>
        </is>
      </c>
      <c r="B192" s="796" t="inlineStr">
        <is>
          <t>10. Tiền và tương đương tiền/Tổng tài sản</t>
        </is>
      </c>
      <c r="C192" s="789">
        <f>IF('01. Thong tin chung'!$B$9="Đầy đủ", IF(ISBLANK('06. Phan tich tai chinh_DD'!C203),0,'06. Phan tich tai chinh_DD'!C203),IF(ISBLANK('06. Phan tich tai chinh_RG'!C128),0,'06. Phan tich tai chinh_RG'!C128))</f>
        <v/>
      </c>
      <c r="D192" s="789">
        <f>IF('01. Thong tin chung'!$B$9="Đầy đủ", IF(ISBLANK('06. Phan tich tai chinh_DD'!D203),0,'06. Phan tich tai chinh_DD'!D203),IF(ISBLANK('06. Phan tich tai chinh_RG'!D128),0,'06. Phan tich tai chinh_RG'!D128))</f>
        <v/>
      </c>
      <c r="E192" s="789">
        <f>IF('01. Thong tin chung'!$B$9="Đầy đủ", IF(ISBLANK('06. Phan tich tai chinh_DD'!E203),0,'06. Phan tich tai chinh_DD'!E203),IF(ISBLANK('06. Phan tich tai chinh_RG'!E128),0,'06. Phan tich tai chinh_RG'!E128))</f>
        <v/>
      </c>
      <c r="F192" s="789">
        <f>IF('01. Thong tin chung'!$B$9="Đầy đủ", IF(ISBLANK('06. Phan tich tai chinh_DD'!H203),0,'06. Phan tich tai chinh_DD'!H203),IF(ISBLANK('06. Phan tich tai chinh_RG'!H128),0,'06. Phan tich tai chinh_RG'!H128))</f>
        <v/>
      </c>
      <c r="G192" s="388" t="n"/>
    </row>
    <row r="193" customFormat="1" s="389">
      <c r="A193" s="796" t="inlineStr">
        <is>
          <t>FR016</t>
        </is>
      </c>
      <c r="B193" s="796" t="inlineStr">
        <is>
          <t>11. Phải thu khác/Tài sản ngắn hạn</t>
        </is>
      </c>
      <c r="C193" s="789">
        <f>IF('01. Thong tin chung'!$B$9="Đầy đủ", IF(ISBLANK('06. Phan tich tai chinh_DD'!C204),0,'06. Phan tich tai chinh_DD'!C204),IF(ISBLANK('06. Phan tich tai chinh_RG'!C129),0,'06. Phan tich tai chinh_RG'!C129))</f>
        <v/>
      </c>
      <c r="D193" s="789">
        <f>IF('01. Thong tin chung'!$B$9="Đầy đủ", IF(ISBLANK('06. Phan tich tai chinh_DD'!D204),0,'06. Phan tich tai chinh_DD'!D204),IF(ISBLANK('06. Phan tich tai chinh_RG'!D129),0,'06. Phan tich tai chinh_RG'!D129))</f>
        <v/>
      </c>
      <c r="E193" s="789">
        <f>IF('01. Thong tin chung'!$B$9="Đầy đủ", IF(ISBLANK('06. Phan tich tai chinh_DD'!E204),0,'06. Phan tich tai chinh_DD'!E204),IF(ISBLANK('06. Phan tich tai chinh_RG'!E129),0,'06. Phan tich tai chinh_RG'!E129))</f>
        <v/>
      </c>
      <c r="F193" s="789">
        <f>IF('01. Thong tin chung'!$B$9="Đầy đủ", IF(ISBLANK('06. Phan tich tai chinh_DD'!H204),0,'06. Phan tich tai chinh_DD'!H204),IF(ISBLANK('06. Phan tich tai chinh_RG'!H129),0,'06. Phan tich tai chinh_RG'!H129))</f>
        <v/>
      </c>
      <c r="G193" s="388" t="n"/>
    </row>
    <row r="194" customFormat="1" s="389">
      <c r="A194" s="796" t="inlineStr">
        <is>
          <t>FR036</t>
        </is>
      </c>
      <c r="B194" s="803" t="inlineStr">
        <is>
          <t>12. Số ngày thiếu tiền</t>
        </is>
      </c>
      <c r="C194" s="789">
        <f>IF('01. Thong tin chung'!$B$9="Đầy đủ", IF(ISBLANK('06. Phan tich tai chinh_DD'!C205),0,'06. Phan tich tai chinh_DD'!C205),IF(ISBLANK('06. Phan tich tai chinh_RG'!C130),0,'06. Phan tich tai chinh_RG'!C130))</f>
        <v/>
      </c>
      <c r="D194" s="789">
        <f>IF('01. Thong tin chung'!$B$9="Đầy đủ", IF(ISBLANK('06. Phan tich tai chinh_DD'!D205),0,'06. Phan tich tai chinh_DD'!D205),IF(ISBLANK('06. Phan tich tai chinh_RG'!D130),0,'06. Phan tich tai chinh_RG'!D130))</f>
        <v/>
      </c>
      <c r="E194" s="789">
        <f>IF('01. Thong tin chung'!$B$9="Đầy đủ", IF(ISBLANK('06. Phan tich tai chinh_DD'!E205),0,'06. Phan tich tai chinh_DD'!E205),IF(ISBLANK('06. Phan tich tai chinh_RG'!E130),0,'06. Phan tich tai chinh_RG'!E130))</f>
        <v/>
      </c>
      <c r="F194" s="789">
        <f>IF('01. Thong tin chung'!$B$9="Đầy đủ", IF(ISBLANK('06. Phan tich tai chinh_DD'!H205),0,'06. Phan tich tai chinh_DD'!H205),IF(ISBLANK('06. Phan tich tai chinh_RG'!H130),0,'06. Phan tich tai chinh_RG'!H130))</f>
        <v/>
      </c>
      <c r="G194" s="388" t="n"/>
    </row>
    <row r="195" customFormat="1" s="389">
      <c r="A195" s="796" t="inlineStr">
        <is>
          <t>FR037</t>
        </is>
      </c>
      <c r="B195" s="803" t="inlineStr">
        <is>
          <t>13. Nhu cầu vốn 1 chu kỳ</t>
        </is>
      </c>
      <c r="C195" s="789">
        <f>IF('01. Thong tin chung'!$B$9="Đầy đủ", IF(ISBLANK('06. Phan tich tai chinh_DD'!C206),0,'06. Phan tich tai chinh_DD'!C206),IF(ISBLANK('06. Phan tich tai chinh_RG'!C131),0,'06. Phan tich tai chinh_RG'!C131))</f>
        <v/>
      </c>
      <c r="D195" s="789">
        <f>IF('01. Thong tin chung'!$B$9="Đầy đủ", IF(ISBLANK('06. Phan tich tai chinh_DD'!D206),0,'06. Phan tich tai chinh_DD'!D206),IF(ISBLANK('06. Phan tich tai chinh_RG'!D131),0,'06. Phan tich tai chinh_RG'!D131))</f>
        <v/>
      </c>
      <c r="E195" s="789">
        <f>IF('01. Thong tin chung'!$B$9="Đầy đủ", IF(ISBLANK('06. Phan tich tai chinh_DD'!E206),0,'06. Phan tich tai chinh_DD'!E206),IF(ISBLANK('06. Phan tich tai chinh_RG'!E131),0,'06. Phan tich tai chinh_RG'!E131))</f>
        <v/>
      </c>
      <c r="F195" s="789">
        <f>IF('01. Thong tin chung'!$B$9="Đầy đủ", IF(ISBLANK('06. Phan tich tai chinh_DD'!H206),0,'06. Phan tich tai chinh_DD'!H206),IF(ISBLANK('06. Phan tich tai chinh_RG'!H131),0,'06. Phan tich tai chinh_RG'!H131))</f>
        <v/>
      </c>
      <c r="G195" s="388" t="n"/>
    </row>
    <row r="196" ht="30" customFormat="1" customHeight="1" s="389">
      <c r="A196" s="796" t="inlineStr">
        <is>
          <t>FR038</t>
        </is>
      </c>
      <c r="B196" s="803" t="inlineStr">
        <is>
          <t>14. Nhu cầu vốn 1 chu kì/Tiền và tương đương tiền</t>
        </is>
      </c>
      <c r="C196" s="789">
        <f>IF('01. Thong tin chung'!$B$9="Đầy đủ", IF(ISBLANK('06. Phan tich tai chinh_DD'!C207),0,'06. Phan tich tai chinh_DD'!C207),IF(ISBLANK('06. Phan tich tai chinh_RG'!C132),0,'06. Phan tich tai chinh_RG'!C132))</f>
        <v/>
      </c>
      <c r="D196" s="789">
        <f>IF('01. Thong tin chung'!$B$9="Đầy đủ", IF(ISBLANK('06. Phan tich tai chinh_DD'!D207),0,'06. Phan tich tai chinh_DD'!D207),IF(ISBLANK('06. Phan tich tai chinh_RG'!D132),0,'06. Phan tich tai chinh_RG'!D132))</f>
        <v/>
      </c>
      <c r="E196" s="789">
        <f>IF('01. Thong tin chung'!$B$9="Đầy đủ", IF(ISBLANK('06. Phan tich tai chinh_DD'!E207),0,'06. Phan tich tai chinh_DD'!E207),IF(ISBLANK('06. Phan tich tai chinh_RG'!E132),0,'06. Phan tich tai chinh_RG'!E132))</f>
        <v/>
      </c>
      <c r="F196" s="789">
        <f>IF('01. Thong tin chung'!$B$9="Đầy đủ", IF(ISBLANK('06. Phan tich tai chinh_DD'!H207),0,'06. Phan tich tai chinh_DD'!H207),IF(ISBLANK('06. Phan tich tai chinh_RG'!H132),0,'06. Phan tich tai chinh_RG'!H132))</f>
        <v/>
      </c>
      <c r="G196" s="388" t="n"/>
    </row>
    <row r="197" ht="21" customFormat="1" customHeight="1" s="389">
      <c r="A197" s="796" t="inlineStr">
        <is>
          <t>FR039</t>
        </is>
      </c>
      <c r="B197" s="803" t="inlineStr">
        <is>
          <t>15. Nhu cầu vốn 1 chu kì / Nợ vay ngắn hạn</t>
        </is>
      </c>
      <c r="C197" s="789">
        <f>IF('01. Thong tin chung'!$B$9="Đầy đủ", IF(ISBLANK('06. Phan tich tai chinh_DD'!C208),0,'06. Phan tich tai chinh_DD'!C208),IF(ISBLANK('06. Phan tich tai chinh_RG'!C133),0,'06. Phan tich tai chinh_RG'!C133))</f>
        <v/>
      </c>
      <c r="D197" s="789">
        <f>IF('01. Thong tin chung'!$B$9="Đầy đủ", IF(ISBLANK('06. Phan tich tai chinh_DD'!D208),0,'06. Phan tich tai chinh_DD'!D208),IF(ISBLANK('06. Phan tich tai chinh_RG'!D133),0,'06. Phan tich tai chinh_RG'!D133))</f>
        <v/>
      </c>
      <c r="E197" s="789">
        <f>IF('01. Thong tin chung'!$B$9="Đầy đủ", IF(ISBLANK('06. Phan tich tai chinh_DD'!E208),0,'06. Phan tich tai chinh_DD'!E208),IF(ISBLANK('06. Phan tich tai chinh_RG'!E133),0,'06. Phan tich tai chinh_RG'!E133))</f>
        <v/>
      </c>
      <c r="F197" s="789">
        <f>IF('01. Thong tin chung'!$B$9="Đầy đủ", IF(ISBLANK('06. Phan tich tai chinh_DD'!H208),0,'06. Phan tich tai chinh_DD'!H208),IF(ISBLANK('06. Phan tich tai chinh_RG'!H133),0,'06. Phan tich tai chinh_RG'!H133))</f>
        <v/>
      </c>
      <c r="G197" s="388" t="n"/>
    </row>
    <row r="198" ht="27" customFormat="1" customHeight="1" s="389">
      <c r="A198" s="796" t="inlineStr">
        <is>
          <t>FR040</t>
        </is>
      </c>
      <c r="B198" s="803" t="inlineStr">
        <is>
          <t>16. (Phải thu ngắn hạn - Phải thu khách hàng ngắn hạn)/Tài sản ngắn hạn</t>
        </is>
      </c>
      <c r="C198" s="789">
        <f>IF('01. Thong tin chung'!$B$9="Đầy đủ", IF(ISBLANK('06. Phan tich tai chinh_DD'!C209),0,'06. Phan tich tai chinh_DD'!C209),IF(ISBLANK('06. Phan tich tai chinh_RG'!C134),0,'06. Phan tich tai chinh_RG'!C134))</f>
        <v/>
      </c>
      <c r="D198" s="789">
        <f>IF('01. Thong tin chung'!$B$9="Đầy đủ", IF(ISBLANK('06. Phan tich tai chinh_DD'!D209),0,'06. Phan tich tai chinh_DD'!D209),IF(ISBLANK('06. Phan tich tai chinh_RG'!D134),0,'06. Phan tich tai chinh_RG'!D134))</f>
        <v/>
      </c>
      <c r="E198" s="789">
        <f>IF('01. Thong tin chung'!$B$9="Đầy đủ", IF(ISBLANK('06. Phan tich tai chinh_DD'!E209),0,'06. Phan tich tai chinh_DD'!E209),IF(ISBLANK('06. Phan tich tai chinh_RG'!E134),0,'06. Phan tich tai chinh_RG'!E134))</f>
        <v/>
      </c>
      <c r="F198" s="789">
        <f>IF('01. Thong tin chung'!$B$9="Đầy đủ", IF(ISBLANK('06. Phan tich tai chinh_DD'!H209),0,'06. Phan tich tai chinh_DD'!H209),IF(ISBLANK('06. Phan tich tai chinh_RG'!H134),0,'06. Phan tich tai chinh_RG'!H134))</f>
        <v/>
      </c>
      <c r="G198" s="388" t="n"/>
    </row>
    <row r="199" ht="27" customFormat="1" customHeight="1" s="389">
      <c r="A199" s="796" t="inlineStr">
        <is>
          <t>FR041</t>
        </is>
      </c>
      <c r="B199" s="803" t="inlineStr">
        <is>
          <t>17. (Phải thu ngắn hạn khác + Phải thu dài hạn khác)/Tổng tài sản</t>
        </is>
      </c>
      <c r="C199" s="789">
        <f>IF('01. Thong tin chung'!$B$9="Đầy đủ", IF(ISBLANK('06. Phan tich tai chinh_DD'!C210),0,'06. Phan tich tai chinh_DD'!C210),IF(ISBLANK('06. Phan tich tai chinh_RG'!C135),0,'06. Phan tich tai chinh_RG'!C135))</f>
        <v/>
      </c>
      <c r="D199" s="789">
        <f>IF('01. Thong tin chung'!$B$9="Đầy đủ", IF(ISBLANK('06. Phan tich tai chinh_DD'!D210),0,'06. Phan tich tai chinh_DD'!D210),IF(ISBLANK('06. Phan tich tai chinh_RG'!D135),0,'06. Phan tich tai chinh_RG'!D135))</f>
        <v/>
      </c>
      <c r="E199" s="789">
        <f>IF('01. Thong tin chung'!$B$9="Đầy đủ", IF(ISBLANK('06. Phan tich tai chinh_DD'!E210),0,'06. Phan tich tai chinh_DD'!E210),IF(ISBLANK('06. Phan tich tai chinh_RG'!E135),0,'06. Phan tich tai chinh_RG'!E135))</f>
        <v/>
      </c>
      <c r="F199" s="789">
        <f>IF('01. Thong tin chung'!$B$9="Đầy đủ", IF(ISBLANK('06. Phan tich tai chinh_DD'!H210),0,'06. Phan tich tai chinh_DD'!H210),IF(ISBLANK('06. Phan tich tai chinh_RG'!H135),0,'06. Phan tich tai chinh_RG'!H135))</f>
        <v/>
      </c>
      <c r="G199" s="388" t="n"/>
    </row>
    <row r="200">
      <c r="A200" s="795" t="inlineStr">
        <is>
          <t>FR003</t>
        </is>
      </c>
      <c r="B200" s="795" t="inlineStr">
        <is>
          <t>Chỉ tiêu cân nợ</t>
        </is>
      </c>
      <c r="C200" s="789" t="n"/>
      <c r="D200" s="789" t="n"/>
      <c r="E200" s="789" t="n"/>
      <c r="F200" s="789" t="n"/>
      <c r="G200" s="388" t="n"/>
    </row>
    <row r="201" s="782">
      <c r="A201" s="796" t="inlineStr">
        <is>
          <t>FR034</t>
        </is>
      </c>
      <c r="B201" s="796" t="inlineStr">
        <is>
          <t>18. Tổng nợ phải trả/ Tổng tài sản (lần)</t>
        </is>
      </c>
      <c r="C201" s="789">
        <f>IF('01. Thong tin chung'!$B$9="Đầy đủ", IF(ISBLANK('06. Phan tich tai chinh_DD'!C212),0,'06. Phan tich tai chinh_DD'!C212),IF(ISBLANK('06. Phan tich tai chinh_RG'!C137),0,'06. Phan tich tai chinh_RG'!C137))</f>
        <v/>
      </c>
      <c r="D201" s="789">
        <f>IF('01. Thong tin chung'!$B$9="Đầy đủ", IF(ISBLANK('06. Phan tich tai chinh_DD'!D212),0,'06. Phan tich tai chinh_DD'!D212),IF(ISBLANK('06. Phan tich tai chinh_RG'!D137),0,'06. Phan tich tai chinh_RG'!D137))</f>
        <v/>
      </c>
      <c r="E201" s="789">
        <f>IF('01. Thong tin chung'!$B$9="Đầy đủ", IF(ISBLANK('06. Phan tich tai chinh_DD'!E212),0,'06. Phan tich tai chinh_DD'!E212),IF(ISBLANK('06. Phan tich tai chinh_RG'!E137),0,'06. Phan tich tai chinh_RG'!E137))</f>
        <v/>
      </c>
      <c r="F201" s="789">
        <f>IF('01. Thong tin chung'!$B$9="Đầy đủ", IF(ISBLANK('06. Phan tich tai chinh_DD'!H212),0,'06. Phan tich tai chinh_DD'!H212),IF(ISBLANK('06. Phan tich tai chinh_RG'!H137),0,'06. Phan tich tai chinh_RG'!H137))</f>
        <v/>
      </c>
      <c r="G201" s="388" t="n"/>
    </row>
    <row r="202" s="782">
      <c r="A202" s="804" t="inlineStr">
        <is>
          <t>FR017</t>
        </is>
      </c>
      <c r="B202" s="796" t="inlineStr">
        <is>
          <t>19. Nợ dài dạn/Vốn CSH (lần)</t>
        </is>
      </c>
      <c r="C202" s="789">
        <f>IF('01. Thong tin chung'!$B$9="Đầy đủ", IF(ISBLANK('06. Phan tich tai chinh_DD'!C213),0,'06. Phan tich tai chinh_DD'!C213),IF(ISBLANK('06. Phan tich tai chinh_RG'!C138),0,'06. Phan tich tai chinh_RG'!C138))</f>
        <v/>
      </c>
      <c r="D202" s="789">
        <f>IF('01. Thong tin chung'!$B$9="Đầy đủ", IF(ISBLANK('06. Phan tich tai chinh_DD'!D213),0,'06. Phan tich tai chinh_DD'!D213),IF(ISBLANK('06. Phan tich tai chinh_RG'!D138),0,'06. Phan tich tai chinh_RG'!D138))</f>
        <v/>
      </c>
      <c r="E202" s="789">
        <f>IF('01. Thong tin chung'!$B$9="Đầy đủ", IF(ISBLANK('06. Phan tich tai chinh_DD'!E213),0,'06. Phan tich tai chinh_DD'!E213),IF(ISBLANK('06. Phan tich tai chinh_RG'!E138),0,'06. Phan tich tai chinh_RG'!E138))</f>
        <v/>
      </c>
      <c r="F202" s="789">
        <f>IF('01. Thong tin chung'!$B$9="Đầy đủ", IF(ISBLANK('06. Phan tich tai chinh_DD'!H213),0,'06. Phan tich tai chinh_DD'!H213),IF(ISBLANK('06. Phan tich tai chinh_RG'!H138),0,'06. Phan tich tai chinh_RG'!H138))</f>
        <v/>
      </c>
      <c r="G202" s="388" t="n"/>
    </row>
    <row r="203" s="782">
      <c r="A203" s="804" t="inlineStr">
        <is>
          <t>FR018</t>
        </is>
      </c>
      <c r="B203" s="796" t="inlineStr">
        <is>
          <t>20. Tổng nợ/Vốn CSH (lần)</t>
        </is>
      </c>
      <c r="C203" s="789">
        <f>IF('01. Thong tin chung'!$B$9="Đầy đủ", IF(ISBLANK('06. Phan tich tai chinh_DD'!C214),0,'06. Phan tich tai chinh_DD'!C214),IF(ISBLANK('06. Phan tich tai chinh_RG'!C139),0,'06. Phan tich tai chinh_RG'!C139))</f>
        <v/>
      </c>
      <c r="D203" s="789">
        <f>IF('01. Thong tin chung'!$B$9="Đầy đủ", IF(ISBLANK('06. Phan tich tai chinh_DD'!D214),0,'06. Phan tich tai chinh_DD'!D214),IF(ISBLANK('06. Phan tich tai chinh_RG'!D139),0,'06. Phan tich tai chinh_RG'!D139))</f>
        <v/>
      </c>
      <c r="E203" s="789">
        <f>IF('01. Thong tin chung'!$B$9="Đầy đủ", IF(ISBLANK('06. Phan tich tai chinh_DD'!E214),0,'06. Phan tich tai chinh_DD'!E214),IF(ISBLANK('06. Phan tich tai chinh_RG'!E139),0,'06. Phan tich tai chinh_RG'!E139))</f>
        <v/>
      </c>
      <c r="F203" s="789">
        <f>IF('01. Thong tin chung'!$B$9="Đầy đủ", IF(ISBLANK('06. Phan tich tai chinh_DD'!H214),0,'06. Phan tich tai chinh_DD'!H214),IF(ISBLANK('06. Phan tich tai chinh_RG'!H139),0,'06. Phan tich tai chinh_RG'!H139))</f>
        <v/>
      </c>
      <c r="G203" s="388" t="n"/>
    </row>
    <row r="204" customFormat="1" s="774">
      <c r="A204" s="804" t="inlineStr">
        <is>
          <t>FR019</t>
        </is>
      </c>
      <c r="B204" s="796" t="inlineStr">
        <is>
          <t>21. Khả năng thực hiện nghĩa vụ trả nợ ngắn hạn</t>
        </is>
      </c>
      <c r="C204" s="789">
        <f>IF('01. Thong tin chung'!$B$9="Đầy đủ", IF(ISBLANK('06. Phan tich tai chinh_DD'!C215),0,'06. Phan tich tai chinh_DD'!C215),IF(ISBLANK('06. Phan tich tai chinh_RG'!C140),0,'06. Phan tich tai chinh_RG'!C140))</f>
        <v/>
      </c>
      <c r="D204" s="789">
        <f>IF('01. Thong tin chung'!$B$9="Đầy đủ", IF(ISBLANK('06. Phan tich tai chinh_DD'!D215),0,'06. Phan tich tai chinh_DD'!D215),IF(ISBLANK('06. Phan tich tai chinh_RG'!D140),0,'06. Phan tich tai chinh_RG'!D140))</f>
        <v/>
      </c>
      <c r="E204" s="789">
        <f>IF('01. Thong tin chung'!$B$9="Đầy đủ", IF(ISBLANK('06. Phan tich tai chinh_DD'!E215),0,'06. Phan tich tai chinh_DD'!E215),IF(ISBLANK('06. Phan tich tai chinh_RG'!E140),0,'06. Phan tich tai chinh_RG'!E140))</f>
        <v/>
      </c>
      <c r="F204" s="789">
        <f>IF('01. Thong tin chung'!$B$9="Đầy đủ", IF(ISBLANK('06. Phan tich tai chinh_DD'!H215),0,'06. Phan tich tai chinh_DD'!H215),IF(ISBLANK('06. Phan tich tai chinh_RG'!H140),0,'06. Phan tich tai chinh_RG'!H140))</f>
        <v/>
      </c>
      <c r="G204" s="775" t="n"/>
    </row>
    <row r="205" s="782">
      <c r="A205" s="804" t="inlineStr">
        <is>
          <t>FR020</t>
        </is>
      </c>
      <c r="B205" s="795" t="inlineStr">
        <is>
          <t>Chỉ tiêu thu nhập</t>
        </is>
      </c>
      <c r="C205" s="790" t="n"/>
      <c r="D205" s="790" t="n"/>
      <c r="E205" s="790" t="n"/>
      <c r="F205" s="796" t="n"/>
      <c r="G205" s="388" t="n"/>
    </row>
    <row r="206" customFormat="1" s="389">
      <c r="A206" s="804" t="inlineStr">
        <is>
          <t>FR004</t>
        </is>
      </c>
      <c r="B206" s="796" t="inlineStr">
        <is>
          <t>22. Lợi nhuận từ hoạt động kinh doanh</t>
        </is>
      </c>
      <c r="C206" s="789">
        <f>IF('01. Thong tin chung'!$B$9="Đầy đủ", IF(ISBLANK('06. Phan tich tai chinh_DD'!C218),0,'06. Phan tich tai chinh_DD'!C218),IF(ISBLANK('06. Phan tich tai chinh_RG'!C142),0,'06. Phan tich tai chinh_RG'!C142))</f>
        <v/>
      </c>
      <c r="D206" s="789">
        <f>IF('01. Thong tin chung'!$B$9="Đầy đủ", IF(ISBLANK('06. Phan tich tai chinh_DD'!D218),0,'06. Phan tich tai chinh_DD'!D218),IF(ISBLANK('06. Phan tich tai chinh_RG'!D142),0,'06. Phan tich tai chinh_RG'!D142))</f>
        <v/>
      </c>
      <c r="E206" s="789">
        <f>IF('01. Thong tin chung'!$B$9="Đầy đủ", IF(ISBLANK('06. Phan tich tai chinh_DD'!E218),0,'06. Phan tich tai chinh_DD'!E218),IF(ISBLANK('06. Phan tich tai chinh_RG'!E142),0,'06. Phan tich tai chinh_RG'!E142))</f>
        <v/>
      </c>
      <c r="F206" s="789">
        <f>IF('01. Thong tin chung'!$B$9="Đầy đủ", IF(ISBLANK('06. Phan tich tai chinh_DD'!H218),0,'06. Phan tich tai chinh_DD'!H218),IF(ISBLANK('06. Phan tich tai chinh_RG'!H142),0,'06. Phan tich tai chinh_RG'!H142))</f>
        <v/>
      </c>
      <c r="G206" s="388" t="n"/>
    </row>
    <row r="207" s="782">
      <c r="A207" s="804" t="inlineStr">
        <is>
          <t>FR021</t>
        </is>
      </c>
      <c r="B207" s="796" t="inlineStr">
        <is>
          <t>23. Lợi nhuận gộp/Doanh thu thuần (lần)</t>
        </is>
      </c>
      <c r="C207" s="789">
        <f>IF('01. Thong tin chung'!$B$9="Đầy đủ", IF(ISBLANK('06. Phan tich tai chinh_DD'!C219),0,'06. Phan tich tai chinh_DD'!C219),IF(ISBLANK('06. Phan tich tai chinh_RG'!C143),0,'06. Phan tich tai chinh_RG'!C143))</f>
        <v/>
      </c>
      <c r="D207" s="789">
        <f>IF('01. Thong tin chung'!$B$9="Đầy đủ", IF(ISBLANK('06. Phan tich tai chinh_DD'!D219),0,'06. Phan tich tai chinh_DD'!D219),IF(ISBLANK('06. Phan tich tai chinh_RG'!D143),0,'06. Phan tich tai chinh_RG'!D143))</f>
        <v/>
      </c>
      <c r="E207" s="789">
        <f>IF('01. Thong tin chung'!$B$9="Đầy đủ", IF(ISBLANK('06. Phan tich tai chinh_DD'!E219),0,'06. Phan tich tai chinh_DD'!E219),IF(ISBLANK('06. Phan tich tai chinh_RG'!E143),0,'06. Phan tich tai chinh_RG'!E143))</f>
        <v/>
      </c>
      <c r="F207" s="789">
        <f>IF('01. Thong tin chung'!$B$9="Đầy đủ", IF(ISBLANK('06. Phan tich tai chinh_DD'!H219),0,'06. Phan tich tai chinh_DD'!H219),IF(ISBLANK('06. Phan tich tai chinh_RG'!H143),0,'06. Phan tich tai chinh_RG'!H143))</f>
        <v/>
      </c>
      <c r="G207" s="388" t="n"/>
    </row>
    <row r="208" s="782">
      <c r="A208" s="804" t="inlineStr">
        <is>
          <t>FR022</t>
        </is>
      </c>
      <c r="B208" s="796" t="inlineStr">
        <is>
          <t>24. Lợi nhuận từ hoạt động KD/Doanh thu thuần (lần)</t>
        </is>
      </c>
      <c r="C208" s="789">
        <f>IF('01. Thong tin chung'!$B$9="Đầy đủ", IF(ISBLANK('06. Phan tich tai chinh_DD'!C220),0,'06. Phan tich tai chinh_DD'!C220),IF(ISBLANK('06. Phan tich tai chinh_RG'!C144),0,'06. Phan tich tai chinh_RG'!C144))</f>
        <v/>
      </c>
      <c r="D208" s="789">
        <f>IF('01. Thong tin chung'!$B$9="Đầy đủ", IF(ISBLANK('06. Phan tich tai chinh_DD'!D220),0,'06. Phan tich tai chinh_DD'!D220),IF(ISBLANK('06. Phan tich tai chinh_RG'!D144),0,'06. Phan tich tai chinh_RG'!D144))</f>
        <v/>
      </c>
      <c r="E208" s="789">
        <f>IF('01. Thong tin chung'!$B$9="Đầy đủ", IF(ISBLANK('06. Phan tich tai chinh_DD'!E220),0,'06. Phan tich tai chinh_DD'!E220),IF(ISBLANK('06. Phan tich tai chinh_RG'!E144),0,'06. Phan tich tai chinh_RG'!E144))</f>
        <v/>
      </c>
      <c r="F208" s="789">
        <f>IF('01. Thong tin chung'!$B$9="Đầy đủ", IF(ISBLANK('06. Phan tich tai chinh_DD'!H220),0,'06. Phan tich tai chinh_DD'!H220),IF(ISBLANK('06. Phan tich tai chinh_RG'!H144),0,'06. Phan tich tai chinh_RG'!H144))</f>
        <v/>
      </c>
      <c r="G208" s="388" t="n"/>
    </row>
    <row r="209" s="782">
      <c r="A209" s="804" t="inlineStr">
        <is>
          <t>FR023</t>
        </is>
      </c>
      <c r="B209" s="796" t="inlineStr">
        <is>
          <t>25. Lợi nhuận sau thuế/Vốn CSH (lần)</t>
        </is>
      </c>
      <c r="C209" s="789">
        <f>IF('01. Thong tin chung'!$B$9="Đầy đủ", IF(ISBLANK('06. Phan tich tai chinh_DD'!C221),0,'06. Phan tich tai chinh_DD'!C221),IF(ISBLANK('06. Phan tich tai chinh_RG'!C145),0,'06. Phan tich tai chinh_RG'!C145))</f>
        <v/>
      </c>
      <c r="D209" s="789">
        <f>IF('01. Thong tin chung'!$B$9="Đầy đủ", IF(ISBLANK('06. Phan tich tai chinh_DD'!D221),0,'06. Phan tich tai chinh_DD'!D221),IF(ISBLANK('06. Phan tich tai chinh_RG'!D145),0,'06. Phan tich tai chinh_RG'!D145))</f>
        <v/>
      </c>
      <c r="E209" s="789">
        <f>IF('01. Thong tin chung'!$B$9="Đầy đủ", IF(ISBLANK('06. Phan tich tai chinh_DD'!E221),0,'06. Phan tich tai chinh_DD'!E221),IF(ISBLANK('06. Phan tich tai chinh_RG'!E145),0,'06. Phan tich tai chinh_RG'!E145))</f>
        <v/>
      </c>
      <c r="F209" s="789">
        <f>IF('01. Thong tin chung'!$B$9="Đầy đủ", IF(ISBLANK('06. Phan tich tai chinh_DD'!H221),0,'06. Phan tich tai chinh_DD'!H221),IF(ISBLANK('06. Phan tich tai chinh_RG'!H145),0,'06. Phan tich tai chinh_RG'!H145))</f>
        <v/>
      </c>
      <c r="G209" s="388" t="n"/>
    </row>
    <row r="210" s="782">
      <c r="A210" s="804" t="inlineStr">
        <is>
          <t>FR024</t>
        </is>
      </c>
      <c r="B210" s="796" t="inlineStr">
        <is>
          <t>26. Lợi nhuận sau thuế/Tổng tài sản bình quân (lần)</t>
        </is>
      </c>
      <c r="C210" s="789">
        <f>IF('01. Thong tin chung'!$B$9="Đầy đủ", IF(ISBLANK('06. Phan tich tai chinh_DD'!C222),0,'06. Phan tich tai chinh_DD'!C222),IF(ISBLANK('06. Phan tich tai chinh_RG'!C146),0,'06. Phan tich tai chinh_RG'!C146))</f>
        <v/>
      </c>
      <c r="D210" s="789">
        <f>IF('01. Thong tin chung'!$B$9="Đầy đủ", IF(ISBLANK('06. Phan tich tai chinh_DD'!D222),0,'06. Phan tich tai chinh_DD'!D222),IF(ISBLANK('06. Phan tich tai chinh_RG'!D146),0,'06. Phan tich tai chinh_RG'!D146))</f>
        <v/>
      </c>
      <c r="E210" s="789">
        <f>IF('01. Thong tin chung'!$B$9="Đầy đủ", IF(ISBLANK('06. Phan tich tai chinh_DD'!E222),0,'06. Phan tich tai chinh_DD'!E222),IF(ISBLANK('06. Phan tich tai chinh_RG'!E146),0,'06. Phan tich tai chinh_RG'!E146))</f>
        <v/>
      </c>
      <c r="F210" s="789">
        <f>IF('01. Thong tin chung'!$B$9="Đầy đủ", IF(ISBLANK('06. Phan tich tai chinh_DD'!H222),0,'06. Phan tich tai chinh_DD'!H222),IF(ISBLANK('06. Phan tich tai chinh_RG'!H146),0,'06. Phan tich tai chinh_RG'!H146))</f>
        <v/>
      </c>
      <c r="G210" s="388" t="n"/>
    </row>
    <row r="211" customFormat="1" s="389">
      <c r="A211" s="804" t="inlineStr">
        <is>
          <t>FR025</t>
        </is>
      </c>
      <c r="B211" s="796" t="inlineStr">
        <is>
          <t>27. Lợi nhuận gộp/Tổng tài sản</t>
        </is>
      </c>
      <c r="C211" s="789">
        <f>IF('01. Thong tin chung'!$B$9="Đầy đủ", IF(ISBLANK('06. Phan tich tai chinh_DD'!C223),0,'06. Phan tich tai chinh_DD'!C223),IF(ISBLANK('06. Phan tich tai chinh_RG'!C147),0,'06. Phan tich tai chinh_RG'!C147))</f>
        <v/>
      </c>
      <c r="D211" s="789">
        <f>IF('01. Thong tin chung'!$B$9="Đầy đủ", IF(ISBLANK('06. Phan tich tai chinh_DD'!D223),0,'06. Phan tich tai chinh_DD'!D223),IF(ISBLANK('06. Phan tich tai chinh_RG'!D147),0,'06. Phan tich tai chinh_RG'!D147))</f>
        <v/>
      </c>
      <c r="E211" s="789">
        <f>IF('01. Thong tin chung'!$B$9="Đầy đủ", IF(ISBLANK('06. Phan tich tai chinh_DD'!E223),0,'06. Phan tich tai chinh_DD'!E223),IF(ISBLANK('06. Phan tich tai chinh_RG'!E147),0,'06. Phan tich tai chinh_RG'!E147))</f>
        <v/>
      </c>
      <c r="F211" s="789">
        <f>IF('01. Thong tin chung'!$B$9="Đầy đủ", IF(ISBLANK('06. Phan tich tai chinh_DD'!H223),0,'06. Phan tich tai chinh_DD'!H223),IF(ISBLANK('06. Phan tich tai chinh_RG'!H147),0,'06. Phan tich tai chinh_RG'!H147))</f>
        <v/>
      </c>
      <c r="G211" s="388" t="n"/>
    </row>
    <row r="212" s="782">
      <c r="A212" s="804" t="inlineStr">
        <is>
          <t>FR026</t>
        </is>
      </c>
      <c r="B212" s="796" t="inlineStr">
        <is>
          <t>28. EBIT/Chi phí lãi vay (lần)</t>
        </is>
      </c>
      <c r="C212" s="789">
        <f>IF('01. Thong tin chung'!$B$9="Đầy đủ", IF(ISBLANK('06. Phan tich tai chinh_DD'!C224),0,'06. Phan tich tai chinh_DD'!C224),IF(ISBLANK('06. Phan tich tai chinh_RG'!C148),0,'06. Phan tich tai chinh_RG'!C148))</f>
        <v/>
      </c>
      <c r="D212" s="789">
        <f>IF('01. Thong tin chung'!$B$9="Đầy đủ", IF(ISBLANK('06. Phan tich tai chinh_DD'!D224),0,'06. Phan tich tai chinh_DD'!D224),IF(ISBLANK('06. Phan tich tai chinh_RG'!D148),0,'06. Phan tich tai chinh_RG'!D148))</f>
        <v/>
      </c>
      <c r="E212" s="789">
        <f>IF('01. Thong tin chung'!$B$9="Đầy đủ", IF(ISBLANK('06. Phan tich tai chinh_DD'!E224),0,'06. Phan tich tai chinh_DD'!E224),IF(ISBLANK('06. Phan tich tai chinh_RG'!E148),0,'06. Phan tich tai chinh_RG'!E148))</f>
        <v/>
      </c>
      <c r="F212" s="789">
        <f>IF('01. Thong tin chung'!$B$9="Đầy đủ", IF(ISBLANK('06. Phan tich tai chinh_DD'!H224),0,'06. Phan tich tai chinh_DD'!H224),IF(ISBLANK('06. Phan tich tai chinh_RG'!H148),0,'06. Phan tich tai chinh_RG'!H148))</f>
        <v/>
      </c>
      <c r="G212" s="388" t="n"/>
    </row>
    <row r="213" customFormat="1" s="389">
      <c r="A213" s="804" t="inlineStr">
        <is>
          <t>FR027</t>
        </is>
      </c>
      <c r="B213" s="796" t="inlineStr">
        <is>
          <t>29. Doanh thu thuần/Nợ vay ngắn hạn</t>
        </is>
      </c>
      <c r="C213" s="789">
        <f>IF('01. Thong tin chung'!$B$9="Đầy đủ", IF(ISBLANK('06. Phan tich tai chinh_DD'!C225),0,'06. Phan tich tai chinh_DD'!C225),IF(ISBLANK('06. Phan tich tai chinh_RG'!C149),0,'06. Phan tich tai chinh_RG'!C149))</f>
        <v/>
      </c>
      <c r="D213" s="789">
        <f>IF('01. Thong tin chung'!$B$9="Đầy đủ", IF(ISBLANK('06. Phan tich tai chinh_DD'!D225),0,'06. Phan tich tai chinh_DD'!D225),IF(ISBLANK('06. Phan tich tai chinh_RG'!D149),0,'06. Phan tich tai chinh_RG'!D149))</f>
        <v/>
      </c>
      <c r="E213" s="789">
        <f>IF('01. Thong tin chung'!$B$9="Đầy đủ", IF(ISBLANK('06. Phan tich tai chinh_DD'!E225),0,'06. Phan tich tai chinh_DD'!E225),IF(ISBLANK('06. Phan tich tai chinh_RG'!E149),0,'06. Phan tich tai chinh_RG'!E149))</f>
        <v/>
      </c>
      <c r="F213" s="789">
        <f>IF('01. Thong tin chung'!$B$9="Đầy đủ", IF(ISBLANK('06. Phan tich tai chinh_DD'!H225),0,'06. Phan tich tai chinh_DD'!H225),IF(ISBLANK('06. Phan tich tai chinh_RG'!H149),0,'06. Phan tich tai chinh_RG'!H149))</f>
        <v/>
      </c>
      <c r="G213" s="388" t="n"/>
    </row>
    <row r="214" customFormat="1" s="389">
      <c r="A214" s="804" t="inlineStr">
        <is>
          <t>FR028</t>
        </is>
      </c>
      <c r="B214" s="796" t="inlineStr">
        <is>
          <t>30. Doanh thu thuần/Nợ phải trả</t>
        </is>
      </c>
      <c r="C214" s="789">
        <f>IF('01. Thong tin chung'!$B$9="Đầy đủ", IF(ISBLANK('06. Phan tich tai chinh_DD'!C226),0,'06. Phan tich tai chinh_DD'!C226),IF(ISBLANK('06. Phan tich tai chinh_RG'!C150),0,'06. Phan tich tai chinh_RG'!C150))</f>
        <v/>
      </c>
      <c r="D214" s="789">
        <f>IF('01. Thong tin chung'!$B$9="Đầy đủ", IF(ISBLANK('06. Phan tich tai chinh_DD'!D226),0,'06. Phan tich tai chinh_DD'!D226),IF(ISBLANK('06. Phan tich tai chinh_RG'!D150),0,'06. Phan tich tai chinh_RG'!D150))</f>
        <v/>
      </c>
      <c r="E214" s="789">
        <f>IF('01. Thong tin chung'!$B$9="Đầy đủ", IF(ISBLANK('06. Phan tich tai chinh_DD'!E226),0,'06. Phan tich tai chinh_DD'!E226),IF(ISBLANK('06. Phan tich tai chinh_RG'!E150),0,'06. Phan tich tai chinh_RG'!E150))</f>
        <v/>
      </c>
      <c r="F214" s="789">
        <f>IF('01. Thong tin chung'!$B$9="Đầy đủ", IF(ISBLANK('06. Phan tich tai chinh_DD'!H226),0,'06. Phan tich tai chinh_DD'!H226),IF(ISBLANK('06. Phan tich tai chinh_RG'!H150),0,'06. Phan tich tai chinh_RG'!H150))</f>
        <v/>
      </c>
      <c r="G214" s="388" t="n"/>
    </row>
    <row r="215" customFormat="1" s="389">
      <c r="A215" s="804" t="inlineStr">
        <is>
          <t>FR029</t>
        </is>
      </c>
      <c r="B215" s="796" t="inlineStr">
        <is>
          <t>31. Doanh thu thuần/Tổng tài sản</t>
        </is>
      </c>
      <c r="C215" s="789">
        <f>IF('01. Thong tin chung'!$B$9="Đầy đủ", IF(ISBLANK('06. Phan tich tai chinh_DD'!C227),0,'06. Phan tich tai chinh_DD'!C227),IF(ISBLANK('06. Phan tich tai chinh_RG'!C151),0,'06. Phan tich tai chinh_RG'!C151))</f>
        <v/>
      </c>
      <c r="D215" s="789">
        <f>IF('01. Thong tin chung'!$B$9="Đầy đủ", IF(ISBLANK('06. Phan tich tai chinh_DD'!D227),0,'06. Phan tich tai chinh_DD'!D227),IF(ISBLANK('06. Phan tich tai chinh_RG'!D151),0,'06. Phan tich tai chinh_RG'!D151))</f>
        <v/>
      </c>
      <c r="E215" s="789">
        <f>IF('01. Thong tin chung'!$B$9="Đầy đủ", IF(ISBLANK('06. Phan tich tai chinh_DD'!E227),0,'06. Phan tich tai chinh_DD'!E227),IF(ISBLANK('06. Phan tich tai chinh_RG'!E151),0,'06. Phan tich tai chinh_RG'!E151))</f>
        <v/>
      </c>
      <c r="F215" s="789">
        <f>IF('01. Thong tin chung'!$B$9="Đầy đủ", IF(ISBLANK('06. Phan tich tai chinh_DD'!H227),0,'06. Phan tich tai chinh_DD'!H227),IF(ISBLANK('06. Phan tich tai chinh_RG'!H151),0,'06. Phan tich tai chinh_RG'!H151))</f>
        <v/>
      </c>
      <c r="G215" s="388" t="n"/>
    </row>
    <row r="216" customFormat="1" s="389">
      <c r="A216" s="796" t="inlineStr">
        <is>
          <t>FR042</t>
        </is>
      </c>
      <c r="B216" s="803" t="inlineStr">
        <is>
          <t>32. Tỷ số lợi nhuận gộp trên tổng nợ</t>
        </is>
      </c>
      <c r="C216" s="789">
        <f>IF('01. Thong tin chung'!$B$9="Đầy đủ", IF(ISBLANK('06. Phan tich tai chinh_DD'!C228),0,'06. Phan tich tai chinh_DD'!C228),IF(ISBLANK('06. Phan tich tai chinh_RG'!C152),0,'06. Phan tich tai chinh_RG'!C152))</f>
        <v/>
      </c>
      <c r="D216" s="789">
        <f>IF('01. Thong tin chung'!$B$9="Đầy đủ", IF(ISBLANK('06. Phan tich tai chinh_DD'!D228),0,'06. Phan tich tai chinh_DD'!D228),IF(ISBLANK('06. Phan tich tai chinh_RG'!D152),0,'06. Phan tich tai chinh_RG'!D152))</f>
        <v/>
      </c>
      <c r="E216" s="789">
        <f>IF('01. Thong tin chung'!$B$9="Đầy đủ", IF(ISBLANK('06. Phan tich tai chinh_DD'!E228),0,'06. Phan tich tai chinh_DD'!E228),IF(ISBLANK('06. Phan tich tai chinh_RG'!E152),0,'06. Phan tich tai chinh_RG'!E152))</f>
        <v/>
      </c>
      <c r="F216" s="789">
        <f>IF('01. Thong tin chung'!$B$9="Đầy đủ", IF(ISBLANK('06. Phan tich tai chinh_DD'!H228),0,'06. Phan tich tai chinh_DD'!H228),IF(ISBLANK('06. Phan tich tai chinh_RG'!H152),0,'06. Phan tich tai chinh_RG'!H152))</f>
        <v/>
      </c>
      <c r="G216" s="388" t="n"/>
    </row>
    <row r="217" customFormat="1" s="389">
      <c r="A217" s="796" t="inlineStr">
        <is>
          <t>FR043</t>
        </is>
      </c>
      <c r="B217" s="803" t="inlineStr">
        <is>
          <t>33. Lợi nhuận gộp/Chi phí lãi vay</t>
        </is>
      </c>
      <c r="C217" s="789">
        <f>IF('01. Thong tin chung'!$B$9="Đầy đủ", IF(ISBLANK('06. Phan tich tai chinh_DD'!C229),0,'06. Phan tich tai chinh_DD'!C229),IF(ISBLANK('06. Phan tich tai chinh_RG'!C153),0,'06. Phan tich tai chinh_RG'!C153))</f>
        <v/>
      </c>
      <c r="D217" s="789">
        <f>IF('01. Thong tin chung'!$B$9="Đầy đủ", IF(ISBLANK('06. Phan tich tai chinh_DD'!D229),0,'06. Phan tich tai chinh_DD'!D229),IF(ISBLANK('06. Phan tich tai chinh_RG'!D153),0,'06. Phan tich tai chinh_RG'!D153))</f>
        <v/>
      </c>
      <c r="E217" s="789">
        <f>IF('01. Thong tin chung'!$B$9="Đầy đủ", IF(ISBLANK('06. Phan tich tai chinh_DD'!E229),0,'06. Phan tich tai chinh_DD'!E229),IF(ISBLANK('06. Phan tich tai chinh_RG'!E153),0,'06. Phan tich tai chinh_RG'!E153))</f>
        <v/>
      </c>
      <c r="F217" s="789">
        <f>IF('01. Thong tin chung'!$B$9="Đầy đủ", IF(ISBLANK('06. Phan tich tai chinh_DD'!H229),0,'06. Phan tich tai chinh_DD'!H229),IF(ISBLANK('06. Phan tich tai chinh_RG'!H153),0,'06. Phan tich tai chinh_RG'!H153))</f>
        <v/>
      </c>
      <c r="G217" s="388" t="n"/>
    </row>
    <row r="218" customFormat="1" s="389">
      <c r="A218" s="796" t="inlineStr">
        <is>
          <t>FR044</t>
        </is>
      </c>
      <c r="B218" s="803" t="inlineStr">
        <is>
          <t>34. Tỷ số lợi nhuận sau thuế trên tổng nợ</t>
        </is>
      </c>
      <c r="C218" s="789">
        <f>IF('01. Thong tin chung'!$B$9="Đầy đủ", IF(ISBLANK('06. Phan tich tai chinh_DD'!C230),0,'06. Phan tich tai chinh_DD'!C230),IF(ISBLANK('06. Phan tich tai chinh_RG'!C154),0,'06. Phan tich tai chinh_RG'!C154))</f>
        <v/>
      </c>
      <c r="D218" s="789">
        <f>IF('01. Thong tin chung'!$B$9="Đầy đủ", IF(ISBLANK('06. Phan tich tai chinh_DD'!D230),0,'06. Phan tich tai chinh_DD'!D230),IF(ISBLANK('06. Phan tich tai chinh_RG'!D154),0,'06. Phan tich tai chinh_RG'!D154))</f>
        <v/>
      </c>
      <c r="E218" s="789">
        <f>IF('01. Thong tin chung'!$B$9="Đầy đủ", IF(ISBLANK('06. Phan tich tai chinh_DD'!E230),0,'06. Phan tich tai chinh_DD'!E230),IF(ISBLANK('06. Phan tich tai chinh_RG'!E154),0,'06. Phan tich tai chinh_RG'!E154))</f>
        <v/>
      </c>
      <c r="F218" s="789">
        <f>IF('01. Thong tin chung'!$B$9="Đầy đủ", IF(ISBLANK('06. Phan tich tai chinh_DD'!H230),0,'06. Phan tich tai chinh_DD'!H230),IF(ISBLANK('06. Phan tich tai chinh_RG'!H154),0,'06. Phan tich tai chinh_RG'!H154))</f>
        <v/>
      </c>
      <c r="G218" s="388" t="n"/>
    </row>
    <row r="219" customFormat="1" s="389">
      <c r="A219" s="796" t="inlineStr">
        <is>
          <t>FR045</t>
        </is>
      </c>
      <c r="B219" s="803" t="inlineStr">
        <is>
          <t>35. EBIT/Tổng nguồn vốn</t>
        </is>
      </c>
      <c r="C219" s="789">
        <f>IF('01. Thong tin chung'!$B$9="Đầy đủ", IF(ISBLANK('06. Phan tich tai chinh_DD'!C231),0,'06. Phan tich tai chinh_DD'!C231),IF(ISBLANK('06. Phan tich tai chinh_RG'!C155),0,'06. Phan tich tai chinh_RG'!C155))</f>
        <v/>
      </c>
      <c r="D219" s="789">
        <f>IF('01. Thong tin chung'!$B$9="Đầy đủ", IF(ISBLANK('06. Phan tich tai chinh_DD'!D231),0,'06. Phan tich tai chinh_DD'!D231),IF(ISBLANK('06. Phan tich tai chinh_RG'!D155),0,'06. Phan tich tai chinh_RG'!D155))</f>
        <v/>
      </c>
      <c r="E219" s="789">
        <f>IF('01. Thong tin chung'!$B$9="Đầy đủ", IF(ISBLANK('06. Phan tich tai chinh_DD'!E231),0,'06. Phan tich tai chinh_DD'!E231),IF(ISBLANK('06. Phan tich tai chinh_RG'!E155),0,'06. Phan tich tai chinh_RG'!E155))</f>
        <v/>
      </c>
      <c r="F219" s="789">
        <f>IF('01. Thong tin chung'!$B$9="Đầy đủ", IF(ISBLANK('06. Phan tich tai chinh_DD'!H231),0,'06. Phan tich tai chinh_DD'!H231),IF(ISBLANK('06. Phan tich tai chinh_RG'!H155),0,'06. Phan tich tai chinh_RG'!H155))</f>
        <v/>
      </c>
      <c r="G219" s="388" t="n"/>
    </row>
    <row r="220" customFormat="1" s="389">
      <c r="A220" s="796" t="inlineStr">
        <is>
          <t>FR046</t>
        </is>
      </c>
      <c r="B220" s="803" t="inlineStr">
        <is>
          <t>36. Tổng nợ vay/Vốn CSH</t>
        </is>
      </c>
      <c r="C220" s="789">
        <f>IF('01. Thong tin chung'!$B$9="Đầy đủ", IF(ISBLANK('06. Phan tich tai chinh_DD'!C216),0,'06. Phan tich tai chinh_DD'!C216),IF(ISBLANK('06. Phan tich tai chinh_RG'!C156),0,'06. Phan tich tai chinh_RG'!C156))</f>
        <v/>
      </c>
      <c r="D220" s="789">
        <f>IF('01. Thong tin chung'!$B$9="Đầy đủ", IF(ISBLANK('06. Phan tich tai chinh_DD'!D216),0,'06. Phan tich tai chinh_DD'!D216),IF(ISBLANK('06. Phan tich tai chinh_RG'!D156),0,'06. Phan tich tai chinh_RG'!D156))</f>
        <v/>
      </c>
      <c r="E220" s="789">
        <f>IF('01. Thong tin chung'!$B$9="Đầy đủ", IF(ISBLANK('06. Phan tich tai chinh_DD'!E216),0,'06. Phan tich tai chinh_DD'!E216),IF(ISBLANK('06. Phan tich tai chinh_RG'!E156),0,'06. Phan tich tai chinh_RG'!E156))</f>
        <v/>
      </c>
      <c r="F220" s="789">
        <f>IF('01. Thong tin chung'!$B$9="Đầy đủ", IF(ISBLANK('06. Phan tich tai chinh_DD'!H216),0,'06. Phan tich tai chinh_DD'!H216),IF(ISBLANK('06. Phan tich tai chinh_RG'!H156),0,'06. Phan tich tai chinh_RG'!H156))</f>
        <v/>
      </c>
      <c r="G220" s="388" t="n"/>
    </row>
    <row r="221" s="782">
      <c r="A221" s="804" t="inlineStr">
        <is>
          <t>FR030</t>
        </is>
      </c>
      <c r="B221" s="796" t="inlineStr">
        <is>
          <t>36. Khả năng đảm bảo vốn kinh doanh</t>
        </is>
      </c>
      <c r="C221" s="789" t="inlineStr"/>
      <c r="D221" s="789" t="inlineStr"/>
      <c r="E221" s="789" t="inlineStr"/>
      <c r="F221" s="789" t="n"/>
      <c r="G221" s="388" t="n"/>
    </row>
    <row r="222" s="782">
      <c r="A222" s="804" t="inlineStr">
        <is>
          <t>FR005</t>
        </is>
      </c>
      <c r="B222" s="796" t="inlineStr">
        <is>
          <t>37. Nguồn vốn dài hạn</t>
        </is>
      </c>
      <c r="C222" s="789">
        <f>IF('01. Thong tin chung'!$B$9="Đầy đủ", IF(ISBLANK('06. Phan tich tai chinh_DD'!B235),0,'06. Phan tich tai chinh_DD'!B235),IF(ISBLANK('06. Phan tich tai chinh_RG'!B159),0,'06. Phan tich tai chinh_RG'!B159))</f>
        <v/>
      </c>
      <c r="D222" s="789">
        <f>IF('01. Thong tin chung'!$B$9="Đầy đủ", IF(ISBLANK('06. Phan tich tai chinh_DD'!C235),0,'06. Phan tich tai chinh_DD'!C235),IF(ISBLANK('06. Phan tich tai chinh_RG'!C159),0,'06. Phan tich tai chinh_RG'!C159))</f>
        <v/>
      </c>
      <c r="E222" s="789">
        <f>IF('01. Thong tin chung'!$B$9="Đầy đủ", IF(ISBLANK('06. Phan tich tai chinh_DD'!D235),0,'06. Phan tich tai chinh_DD'!D235),IF(ISBLANK('06. Phan tich tai chinh_RG'!D159),0,'06. Phan tich tai chinh_RG'!D159))</f>
        <v/>
      </c>
      <c r="F222" s="789">
        <f>IF('01. Thong tin chung'!$B$9="Đầy đủ", IF(ISBLANK('06. Phan tich tai chinh_DD'!E235),0,'06. Phan tich tai chinh_DD'!E235),IF(ISBLANK('06. Phan tich tai chinh_RG'!E159),0,'06. Phan tich tai chinh_RG'!E159))</f>
        <v/>
      </c>
      <c r="G222" s="388" t="n"/>
    </row>
    <row r="223" s="782">
      <c r="A223" s="804" t="inlineStr">
        <is>
          <t>FR031</t>
        </is>
      </c>
      <c r="B223" s="795" t="inlineStr">
        <is>
          <t>- Vốn CSH</t>
        </is>
      </c>
      <c r="C223" s="789">
        <f>IF('01. Thong tin chung'!$B$9="Đầy đủ", IF(ISBLANK('06. Phan tich tai chinh_DD'!B236),0,'06. Phan tich tai chinh_DD'!B236),IF(ISBLANK('06. Phan tich tai chinh_RG'!B160),0,'06. Phan tich tai chinh_RG'!B160))</f>
        <v/>
      </c>
      <c r="D223" s="789">
        <f>IF('01. Thong tin chung'!$B$9="Đầy đủ", IF(ISBLANK('06. Phan tich tai chinh_DD'!C236),0,'06. Phan tich tai chinh_DD'!C236),IF(ISBLANK('06. Phan tich tai chinh_RG'!C160),0,'06. Phan tich tai chinh_RG'!C160))</f>
        <v/>
      </c>
      <c r="E223" s="789">
        <f>IF('01. Thong tin chung'!$B$9="Đầy đủ", IF(ISBLANK('06. Phan tich tai chinh_DD'!D236),0,'06. Phan tich tai chinh_DD'!D236),IF(ISBLANK('06. Phan tich tai chinh_RG'!D160),0,'06. Phan tich tai chinh_RG'!D160))</f>
        <v/>
      </c>
      <c r="F223" s="789">
        <f>IF('01. Thong tin chung'!$B$9="Đầy đủ", IF(ISBLANK('06. Phan tich tai chinh_DD'!E236),0,'06. Phan tich tai chinh_DD'!E236),IF(ISBLANK('06. Phan tich tai chinh_RG'!E160),0,'06. Phan tich tai chinh_RG'!E160))</f>
        <v/>
      </c>
      <c r="G223" s="388" t="n"/>
    </row>
    <row r="224" s="782">
      <c r="A224" s="804" t="inlineStr">
        <is>
          <t>FR032</t>
        </is>
      </c>
      <c r="B224" s="795" t="inlineStr">
        <is>
          <t>- Vay dài hạn</t>
        </is>
      </c>
      <c r="C224" s="789">
        <f>IF('01. Thong tin chung'!$B$9="Đầy đủ", IF(ISBLANK('06. Phan tich tai chinh_DD'!B237),0,'06. Phan tich tai chinh_DD'!B237),IF(ISBLANK('06. Phan tich tai chinh_RG'!B161),0,'06. Phan tich tai chinh_RG'!B161))</f>
        <v/>
      </c>
      <c r="D224" s="789">
        <f>IF('01. Thong tin chung'!$B$9="Đầy đủ", IF(ISBLANK('06. Phan tich tai chinh_DD'!C237),0,'06. Phan tich tai chinh_DD'!C237),IF(ISBLANK('06. Phan tich tai chinh_RG'!C161),0,'06. Phan tich tai chinh_RG'!C161))</f>
        <v/>
      </c>
      <c r="E224" s="789">
        <f>IF('01. Thong tin chung'!$B$9="Đầy đủ", IF(ISBLANK('06. Phan tich tai chinh_DD'!D237),0,'06. Phan tich tai chinh_DD'!D237),IF(ISBLANK('06. Phan tich tai chinh_RG'!D161),0,'06. Phan tich tai chinh_RG'!D161))</f>
        <v/>
      </c>
      <c r="F224" s="789">
        <f>IF('01. Thong tin chung'!$B$9="Đầy đủ", IF(ISBLANK('06. Phan tich tai chinh_DD'!E237),0,'06. Phan tich tai chinh_DD'!E237),IF(ISBLANK('06. Phan tich tai chinh_RG'!E161),0,'06. Phan tich tai chinh_RG'!E161))</f>
        <v/>
      </c>
      <c r="G224" s="388" t="n"/>
    </row>
    <row r="225" s="782">
      <c r="A225" s="804" t="inlineStr">
        <is>
          <t>FR033</t>
        </is>
      </c>
      <c r="B225" s="796" t="inlineStr">
        <is>
          <t>38. Tài sản cố định và đầu tư tài chính dài hạn</t>
        </is>
      </c>
      <c r="C225" s="789">
        <f>IF('01. Thong tin chung'!$B$9="Đầy đủ", IF(ISBLANK('06. Phan tich tai chinh_DD'!B238),0,'06. Phan tich tai chinh_DD'!B238),IF(ISBLANK('06. Phan tich tai chinh_RG'!B162),0,'06. Phan tich tai chinh_RG'!B162))</f>
        <v/>
      </c>
      <c r="D225" s="789">
        <f>IF('01. Thong tin chung'!$B$9="Đầy đủ", IF(ISBLANK('06. Phan tich tai chinh_DD'!C238),0,'06. Phan tich tai chinh_DD'!C238),IF(ISBLANK('06. Phan tich tai chinh_RG'!C162),0,'06. Phan tich tai chinh_RG'!C162))</f>
        <v/>
      </c>
      <c r="E225" s="789">
        <f>IF('01. Thong tin chung'!$B$9="Đầy đủ", IF(ISBLANK('06. Phan tich tai chinh_DD'!D238),0,'06. Phan tich tai chinh_DD'!D238),IF(ISBLANK('06. Phan tich tai chinh_RG'!D162),0,'06. Phan tich tai chinh_RG'!D162))</f>
        <v/>
      </c>
      <c r="F225" s="789">
        <f>IF('01. Thong tin chung'!$B$9="Đầy đủ", IF(ISBLANK('06. Phan tich tai chinh_DD'!E238),0,'06. Phan tich tai chinh_DD'!E238),IF(ISBLANK('06. Phan tich tai chinh_RG'!E162),0,'06. Phan tich tai chinh_RG'!E162))</f>
        <v/>
      </c>
      <c r="G225" s="388" t="n"/>
    </row>
    <row r="226" s="782">
      <c r="A226" s="796" t="inlineStr">
        <is>
          <t>FR035</t>
        </is>
      </c>
      <c r="B226" s="796" t="inlineStr">
        <is>
          <t>39. Vốn Lưu động thường xuyên</t>
        </is>
      </c>
      <c r="C226" s="789">
        <f>IF('01. Thong tin chung'!$B$9="Đầy đủ", IF(ISBLANK('06. Phan tich tai chinh_DD'!B239),0,'06. Phan tich tai chinh_DD'!B239),IF(ISBLANK('06. Phan tich tai chinh_RG'!B163),0,'06. Phan tich tai chinh_RG'!B163))</f>
        <v/>
      </c>
      <c r="D226" s="789">
        <f>IF('01. Thong tin chung'!$B$9="Đầy đủ", IF(ISBLANK('06. Phan tich tai chinh_DD'!C239),0,'06. Phan tich tai chinh_DD'!C239),IF(ISBLANK('06. Phan tich tai chinh_RG'!C163),0,'06. Phan tich tai chinh_RG'!C163))</f>
        <v/>
      </c>
      <c r="E226" s="789">
        <f>IF('01. Thong tin chung'!$B$9="Đầy đủ", IF(ISBLANK('06. Phan tich tai chinh_DD'!D239),0,'06. Phan tich tai chinh_DD'!D239),IF(ISBLANK('06. Phan tich tai chinh_RG'!D163),0,'06. Phan tich tai chinh_RG'!D163))</f>
        <v/>
      </c>
      <c r="F226" s="789">
        <f>IF('01. Thong tin chung'!$B$9="Đầy đủ", IF(ISBLANK('06. Phan tich tai chinh_DD'!E239),0,'06. Phan tich tai chinh_DD'!E239),IF(ISBLANK('06. Phan tich tai chinh_RG'!E163),0,'06. Phan tich tai chinh_RG'!E163))</f>
        <v/>
      </c>
      <c r="G226" s="388" t="n"/>
    </row>
    <row r="227">
      <c r="A227" s="796" t="inlineStr">
        <is>
          <t>CF001</t>
        </is>
      </c>
      <c r="B227" s="796" t="inlineStr">
        <is>
          <t>Doanh thu</t>
        </is>
      </c>
      <c r="C227" s="792" t="n"/>
      <c r="D227" s="789">
        <f>IF('01. Thong tin chung'!$B$9="Đầy đủ", IF(ISBLANK('06. Phan tich tai chinh_DD'!C244),0,'06. Phan tich tai chinh_DD'!C244),IF(ISBLANK('06. Phan tich tai chinh_RG'!C168),0,'06. Phan tich tai chinh_RG'!C168))</f>
        <v/>
      </c>
      <c r="E227" s="789">
        <f>IF('01. Thong tin chung'!$B$9="Đầy đủ", IF(ISBLANK('06. Phan tich tai chinh_DD'!D244),0,'06. Phan tich tai chinh_DD'!D244),IF(ISBLANK('06. Phan tich tai chinh_RG'!D168),0,'06. Phan tich tai chinh_RG'!D168))</f>
        <v/>
      </c>
      <c r="F227" s="789">
        <f>IF('01. Thong tin chung'!$B$9="Đầy đủ", IF(ISBLANK('06. Phan tich tai chinh_DD'!E244),0,'06. Phan tich tai chinh_DD'!E244),IF(ISBLANK('06. Phan tich tai chinh_RG'!E168),0,'06. Phan tich tai chinh_RG'!E168))</f>
        <v/>
      </c>
      <c r="G227" s="388" t="n"/>
    </row>
    <row r="228">
      <c r="A228" s="796" t="inlineStr">
        <is>
          <t>CF002</t>
        </is>
      </c>
      <c r="B228" s="796" t="inlineStr">
        <is>
          <t>Các khoản giảm trừ không tính thuế</t>
        </is>
      </c>
      <c r="C228" s="792" t="n"/>
      <c r="D228" s="789">
        <f>IF('01. Thong tin chung'!$B$9="Đầy đủ", IF(ISBLANK('06. Phan tich tai chinh_DD'!C245),0,'06. Phan tich tai chinh_DD'!C245),IF(ISBLANK('06. Phan tich tai chinh_RG'!C169),0,'06. Phan tich tai chinh_RG'!C169))</f>
        <v/>
      </c>
      <c r="E228" s="789">
        <f>IF('01. Thong tin chung'!$B$9="Đầy đủ", IF(ISBLANK('06. Phan tich tai chinh_DD'!D245),0,'06. Phan tich tai chinh_DD'!D245),IF(ISBLANK('06. Phan tich tai chinh_RG'!D169),0,'06. Phan tich tai chinh_RG'!D169))</f>
        <v/>
      </c>
      <c r="F228" s="789">
        <f>IF('01. Thong tin chung'!$B$9="Đầy đủ", IF(ISBLANK('06. Phan tich tai chinh_DD'!E245),0,'06. Phan tich tai chinh_DD'!E245),IF(ISBLANK('06. Phan tich tai chinh_RG'!E169),0,'06. Phan tich tai chinh_RG'!E169))</f>
        <v/>
      </c>
      <c r="G228" s="388" t="n"/>
    </row>
    <row r="229">
      <c r="A229" s="796" t="inlineStr">
        <is>
          <t>CF003</t>
        </is>
      </c>
      <c r="B229" s="796" t="inlineStr">
        <is>
          <t>Biến đổi Các khoản Phải thu từ người mua</t>
        </is>
      </c>
      <c r="C229" s="792" t="n"/>
      <c r="D229" s="789">
        <f>IF('01. Thong tin chung'!$B$9="Đầy đủ", IF(ISBLANK('06. Phan tich tai chinh_DD'!C246),0,'06. Phan tich tai chinh_DD'!C246),IF(ISBLANK('06. Phan tich tai chinh_RG'!C170),0,'06. Phan tich tai chinh_RG'!C170))</f>
        <v/>
      </c>
      <c r="E229" s="789">
        <f>IF('01. Thong tin chung'!$B$9="Đầy đủ", IF(ISBLANK('06. Phan tich tai chinh_DD'!D246),0,'06. Phan tich tai chinh_DD'!D246),IF(ISBLANK('06. Phan tich tai chinh_RG'!D170),0,'06. Phan tich tai chinh_RG'!D170))</f>
        <v/>
      </c>
      <c r="F229" s="789">
        <f>IF('01. Thong tin chung'!$B$9="Đầy đủ", IF(ISBLANK('06. Phan tich tai chinh_DD'!E246),0,'06. Phan tich tai chinh_DD'!E246),IF(ISBLANK('06. Phan tich tai chinh_RG'!E170),0,'06. Phan tich tai chinh_RG'!E170))</f>
        <v/>
      </c>
      <c r="G229" s="388" t="n"/>
    </row>
    <row r="230">
      <c r="A230" s="795" t="inlineStr">
        <is>
          <t>CF004</t>
        </is>
      </c>
      <c r="B230" s="795" t="inlineStr">
        <is>
          <t>Dòng tiền thu từ bán hàng</t>
        </is>
      </c>
      <c r="C230" s="792" t="n"/>
      <c r="D230" s="789">
        <f>IF('01. Thong tin chung'!$B$9="Đầy đủ", IF(ISBLANK('06. Phan tich tai chinh_DD'!C247),0,'06. Phan tich tai chinh_DD'!C247),IF(ISBLANK('06. Phan tich tai chinh_RG'!C171),0,'06. Phan tich tai chinh_RG'!C171))</f>
        <v/>
      </c>
      <c r="E230" s="789">
        <f>IF('01. Thong tin chung'!$B$9="Đầy đủ", IF(ISBLANK('06. Phan tich tai chinh_DD'!D247),0,'06. Phan tich tai chinh_DD'!D247),IF(ISBLANK('06. Phan tich tai chinh_RG'!D171),0,'06. Phan tich tai chinh_RG'!D171))</f>
        <v/>
      </c>
      <c r="F230" s="789">
        <f>IF('01. Thong tin chung'!$B$9="Đầy đủ", IF(ISBLANK('06. Phan tich tai chinh_DD'!E247),0,'06. Phan tich tai chinh_DD'!E247),IF(ISBLANK('06. Phan tich tai chinh_RG'!E171),0,'06. Phan tich tai chinh_RG'!E171))</f>
        <v/>
      </c>
      <c r="G230" s="388" t="n"/>
    </row>
    <row r="231">
      <c r="A231" s="796" t="inlineStr">
        <is>
          <t>CF005</t>
        </is>
      </c>
      <c r="B231" s="796" t="inlineStr">
        <is>
          <t>Giá vốn hàng bán không tính khấu hao</t>
        </is>
      </c>
      <c r="C231" s="792" t="n"/>
      <c r="D231" s="789">
        <f>IF('01. Thong tin chung'!$B$9="Đầy đủ", IF(ISBLANK('06. Phan tich tai chinh_DD'!C248),0,'06. Phan tich tai chinh_DD'!C248),IF(ISBLANK('06. Phan tich tai chinh_RG'!C172),0,'06. Phan tich tai chinh_RG'!C172))</f>
        <v/>
      </c>
      <c r="E231" s="789">
        <f>IF('01. Thong tin chung'!$B$9="Đầy đủ", IF(ISBLANK('06. Phan tich tai chinh_DD'!D248),0,'06. Phan tich tai chinh_DD'!D248),IF(ISBLANK('06. Phan tich tai chinh_RG'!D172),0,'06. Phan tich tai chinh_RG'!D172))</f>
        <v/>
      </c>
      <c r="F231" s="789">
        <f>IF('01. Thong tin chung'!$B$9="Đầy đủ", IF(ISBLANK('06. Phan tich tai chinh_DD'!E248),0,'06. Phan tich tai chinh_DD'!E248),IF(ISBLANK('06. Phan tich tai chinh_RG'!E172),0,'06. Phan tich tai chinh_RG'!E172))</f>
        <v/>
      </c>
      <c r="G231" s="388" t="n"/>
    </row>
    <row r="232">
      <c r="A232" s="796" t="inlineStr">
        <is>
          <t>CF006</t>
        </is>
      </c>
      <c r="B232" s="796" t="inlineStr">
        <is>
          <t>Biến đổi Hàng tồn kho</t>
        </is>
      </c>
      <c r="C232" s="792" t="n"/>
      <c r="D232" s="789">
        <f>IF('01. Thong tin chung'!$B$9="Đầy đủ", IF(ISBLANK('06. Phan tich tai chinh_DD'!C249),0,'06. Phan tich tai chinh_DD'!C249),IF(ISBLANK('06. Phan tich tai chinh_RG'!C173),0,'06. Phan tich tai chinh_RG'!C173))</f>
        <v/>
      </c>
      <c r="E232" s="789">
        <f>IF('01. Thong tin chung'!$B$9="Đầy đủ", IF(ISBLANK('06. Phan tich tai chinh_DD'!D249),0,'06. Phan tich tai chinh_DD'!D249),IF(ISBLANK('06. Phan tich tai chinh_RG'!D173),0,'06. Phan tich tai chinh_RG'!D173))</f>
        <v/>
      </c>
      <c r="F232" s="789">
        <f>IF('01. Thong tin chung'!$B$9="Đầy đủ", IF(ISBLANK('06. Phan tich tai chinh_DD'!E249),0,'06. Phan tich tai chinh_DD'!E249),IF(ISBLANK('06. Phan tich tai chinh_RG'!E173),0,'06. Phan tich tai chinh_RG'!E173))</f>
        <v/>
      </c>
      <c r="G232" s="388" t="n"/>
    </row>
    <row r="233">
      <c r="A233" s="796" t="inlineStr">
        <is>
          <t>CF007</t>
        </is>
      </c>
      <c r="B233" s="796" t="inlineStr">
        <is>
          <t>Biến đổi Các khoản phải trả người bán</t>
        </is>
      </c>
      <c r="C233" s="792" t="n"/>
      <c r="D233" s="789">
        <f>IF('01. Thong tin chung'!$B$9="Đầy đủ", IF(ISBLANK('06. Phan tich tai chinh_DD'!C250),0,'06. Phan tich tai chinh_DD'!C250),IF(ISBLANK('06. Phan tich tai chinh_RG'!C174),0,'06. Phan tich tai chinh_RG'!C174))</f>
        <v/>
      </c>
      <c r="E233" s="789">
        <f>IF('01. Thong tin chung'!$B$9="Đầy đủ", IF(ISBLANK('06. Phan tich tai chinh_DD'!D250),0,'06. Phan tich tai chinh_DD'!D250),IF(ISBLANK('06. Phan tich tai chinh_RG'!D174),0,'06. Phan tich tai chinh_RG'!D174))</f>
        <v/>
      </c>
      <c r="F233" s="789">
        <f>IF('01. Thong tin chung'!$B$9="Đầy đủ", IF(ISBLANK('06. Phan tich tai chinh_DD'!E250),0,'06. Phan tich tai chinh_DD'!E250),IF(ISBLANK('06. Phan tich tai chinh_RG'!E174),0,'06. Phan tich tai chinh_RG'!E174))</f>
        <v/>
      </c>
      <c r="G233" s="388" t="n"/>
    </row>
    <row r="234">
      <c r="A234" s="795" t="inlineStr">
        <is>
          <t>CF008</t>
        </is>
      </c>
      <c r="B234" s="795" t="inlineStr">
        <is>
          <t>Chi phí sản xuất bằng Dòng tiền</t>
        </is>
      </c>
      <c r="C234" s="792" t="n"/>
      <c r="D234" s="789">
        <f>IF('01. Thong tin chung'!$B$9="Đầy đủ", IF(ISBLANK('06. Phan tich tai chinh_DD'!C251),0,'06. Phan tich tai chinh_DD'!C251),IF(ISBLANK('06. Phan tich tai chinh_RG'!C175),0,'06. Phan tich tai chinh_RG'!C175))</f>
        <v/>
      </c>
      <c r="E234" s="789">
        <f>IF('01. Thong tin chung'!$B$9="Đầy đủ", IF(ISBLANK('06. Phan tich tai chinh_DD'!D251),0,'06. Phan tich tai chinh_DD'!D251),IF(ISBLANK('06. Phan tich tai chinh_RG'!D175),0,'06. Phan tich tai chinh_RG'!D175))</f>
        <v/>
      </c>
      <c r="F234" s="789">
        <f>IF('01. Thong tin chung'!$B$9="Đầy đủ", IF(ISBLANK('06. Phan tich tai chinh_DD'!E251),0,'06. Phan tich tai chinh_DD'!E251),IF(ISBLANK('06. Phan tich tai chinh_RG'!E175),0,'06. Phan tich tai chinh_RG'!E175))</f>
        <v/>
      </c>
      <c r="G234" s="388" t="n"/>
    </row>
    <row r="235">
      <c r="A235" s="795" t="inlineStr">
        <is>
          <t>CF009</t>
        </is>
      </c>
      <c r="B235" s="795" t="inlineStr">
        <is>
          <t>Dòng tiền Lợi nhuận gộp</t>
        </is>
      </c>
      <c r="C235" s="792" t="n"/>
      <c r="D235" s="789">
        <f>IF('01. Thong tin chung'!$B$9="Đầy đủ", IF(ISBLANK('06. Phan tich tai chinh_DD'!C252),0,'06. Phan tich tai chinh_DD'!C252),IF(ISBLANK('06. Phan tich tai chinh_RG'!C176),0,'06. Phan tich tai chinh_RG'!C176))</f>
        <v/>
      </c>
      <c r="E235" s="789">
        <f>IF('01. Thong tin chung'!$B$9="Đầy đủ", IF(ISBLANK('06. Phan tich tai chinh_DD'!D252),0,'06. Phan tich tai chinh_DD'!D252),IF(ISBLANK('06. Phan tich tai chinh_RG'!D176),0,'06. Phan tich tai chinh_RG'!D176))</f>
        <v/>
      </c>
      <c r="F235" s="789">
        <f>IF('01. Thong tin chung'!$B$9="Đầy đủ", IF(ISBLANK('06. Phan tich tai chinh_DD'!E252),0,'06. Phan tich tai chinh_DD'!E252),IF(ISBLANK('06. Phan tich tai chinh_RG'!E176),0,'06. Phan tich tai chinh_RG'!E176))</f>
        <v/>
      </c>
      <c r="G235" s="388" t="n"/>
    </row>
    <row r="236">
      <c r="A236" s="796" t="inlineStr">
        <is>
          <t>CF010</t>
        </is>
      </c>
      <c r="B236" s="796" t="inlineStr">
        <is>
          <t>Chi phí bán hàng và quản lý không tính KH</t>
        </is>
      </c>
      <c r="C236" s="792" t="n"/>
      <c r="D236" s="789">
        <f>IF('01. Thong tin chung'!$B$9="Đầy đủ", IF(ISBLANK('06. Phan tich tai chinh_DD'!C253),0,'06. Phan tich tai chinh_DD'!C253),IF(ISBLANK('06. Phan tich tai chinh_RG'!C177),0,'06. Phan tich tai chinh_RG'!C177))</f>
        <v/>
      </c>
      <c r="E236" s="789">
        <f>IF('01. Thong tin chung'!$B$9="Đầy đủ", IF(ISBLANK('06. Phan tich tai chinh_DD'!D253),0,'06. Phan tich tai chinh_DD'!D253),IF(ISBLANK('06. Phan tich tai chinh_RG'!D177),0,'06. Phan tich tai chinh_RG'!D177))</f>
        <v/>
      </c>
      <c r="F236" s="789">
        <f>IF('01. Thong tin chung'!$B$9="Đầy đủ", IF(ISBLANK('06. Phan tich tai chinh_DD'!E253),0,'06. Phan tich tai chinh_DD'!E253),IF(ISBLANK('06. Phan tich tai chinh_RG'!E177),0,'06. Phan tich tai chinh_RG'!E177))</f>
        <v/>
      </c>
      <c r="G236" s="388" t="n"/>
    </row>
    <row r="237">
      <c r="A237" s="796" t="inlineStr">
        <is>
          <t>CF011</t>
        </is>
      </c>
      <c r="B237" s="796" t="inlineStr">
        <is>
          <t>Biến đổi Các khoản trả trước và ký quỹ</t>
        </is>
      </c>
      <c r="C237" s="792" t="n"/>
      <c r="D237" s="789">
        <f>IF('01. Thong tin chung'!$B$9="Đầy đủ", IF(ISBLANK('06. Phan tich tai chinh_DD'!C254),0,'06. Phan tich tai chinh_DD'!C254),IF(ISBLANK('06. Phan tich tai chinh_RG'!C178),0,'06. Phan tich tai chinh_RG'!C178))</f>
        <v/>
      </c>
      <c r="E237" s="789">
        <f>IF('01. Thong tin chung'!$B$9="Đầy đủ", IF(ISBLANK('06. Phan tich tai chinh_DD'!D254),0,'06. Phan tich tai chinh_DD'!D254),IF(ISBLANK('06. Phan tich tai chinh_RG'!D178),0,'06. Phan tich tai chinh_RG'!D178))</f>
        <v/>
      </c>
      <c r="F237" s="789">
        <f>IF('01. Thong tin chung'!$B$9="Đầy đủ", IF(ISBLANK('06. Phan tich tai chinh_DD'!E254),0,'06. Phan tich tai chinh_DD'!E254),IF(ISBLANK('06. Phan tich tai chinh_RG'!E178),0,'06. Phan tich tai chinh_RG'!E178))</f>
        <v/>
      </c>
      <c r="G237" s="388" t="n"/>
    </row>
    <row r="238">
      <c r="A238" s="796" t="inlineStr">
        <is>
          <t>CF012</t>
        </is>
      </c>
      <c r="B238" s="796" t="inlineStr">
        <is>
          <t>Biến đổi Người mua trả tiền trước</t>
        </is>
      </c>
      <c r="C238" s="792" t="n"/>
      <c r="D238" s="789">
        <f>IF('01. Thong tin chung'!$B$9="Đầy đủ", IF(ISBLANK('06. Phan tich tai chinh_DD'!C255),0,'06. Phan tich tai chinh_DD'!C255),IF(ISBLANK('06. Phan tich tai chinh_RG'!C179),0,'06. Phan tich tai chinh_RG'!C179))</f>
        <v/>
      </c>
      <c r="E238" s="789">
        <f>IF('01. Thong tin chung'!$B$9="Đầy đủ", IF(ISBLANK('06. Phan tich tai chinh_DD'!D255),0,'06. Phan tich tai chinh_DD'!D255),IF(ISBLANK('06. Phan tich tai chinh_RG'!D179),0,'06. Phan tich tai chinh_RG'!D179))</f>
        <v/>
      </c>
      <c r="F238" s="789">
        <f>IF('01. Thong tin chung'!$B$9="Đầy đủ", IF(ISBLANK('06. Phan tich tai chinh_DD'!E255),0,'06. Phan tich tai chinh_DD'!E255),IF(ISBLANK('06. Phan tich tai chinh_RG'!E179),0,'06. Phan tich tai chinh_RG'!E179))</f>
        <v/>
      </c>
      <c r="G238" s="388" t="n"/>
    </row>
    <row r="239">
      <c r="A239" s="795" t="inlineStr">
        <is>
          <t>CF013</t>
        </is>
      </c>
      <c r="B239" s="795" t="inlineStr">
        <is>
          <t>Dòng tiền Chi phí hoạt động</t>
        </is>
      </c>
      <c r="C239" s="792" t="n"/>
      <c r="D239" s="789">
        <f>IF('01. Thong tin chung'!$B$9="Đầy đủ", IF(ISBLANK('06. Phan tich tai chinh_DD'!C256),0,'06. Phan tich tai chinh_DD'!C256),IF(ISBLANK('06. Phan tich tai chinh_RG'!C180),0,'06. Phan tich tai chinh_RG'!C180))</f>
        <v/>
      </c>
      <c r="E239" s="789">
        <f>IF('01. Thong tin chung'!$B$9="Đầy đủ", IF(ISBLANK('06. Phan tich tai chinh_DD'!D256),0,'06. Phan tich tai chinh_DD'!D256),IF(ISBLANK('06. Phan tich tai chinh_RG'!D180),0,'06. Phan tich tai chinh_RG'!D180))</f>
        <v/>
      </c>
      <c r="F239" s="789">
        <f>IF('01. Thong tin chung'!$B$9="Đầy đủ", IF(ISBLANK('06. Phan tich tai chinh_DD'!E256),0,'06. Phan tich tai chinh_DD'!E256),IF(ISBLANK('06. Phan tich tai chinh_RG'!E180),0,'06. Phan tich tai chinh_RG'!E180))</f>
        <v/>
      </c>
      <c r="G239" s="388" t="n"/>
    </row>
    <row r="240">
      <c r="A240" s="795" t="inlineStr">
        <is>
          <t>CF014</t>
        </is>
      </c>
      <c r="B240" s="795" t="inlineStr">
        <is>
          <t>Dòng tiền thuần từ hoạt động</t>
        </is>
      </c>
      <c r="C240" s="792" t="n"/>
      <c r="D240" s="789">
        <f>IF('01. Thong tin chung'!$B$9="Đầy đủ", IF(ISBLANK('06. Phan tich tai chinh_DD'!C257),0,'06. Phan tich tai chinh_DD'!C257),IF(ISBLANK('06. Phan tich tai chinh_RG'!C181),0,'06. Phan tich tai chinh_RG'!C181))</f>
        <v/>
      </c>
      <c r="E240" s="789">
        <f>IF('01. Thong tin chung'!$B$9="Đầy đủ", IF(ISBLANK('06. Phan tich tai chinh_DD'!D257),0,'06. Phan tich tai chinh_DD'!D257),IF(ISBLANK('06. Phan tich tai chinh_RG'!D181),0,'06. Phan tich tai chinh_RG'!D181))</f>
        <v/>
      </c>
      <c r="F240" s="789">
        <f>IF('01. Thong tin chung'!$B$9="Đầy đủ", IF(ISBLANK('06. Phan tich tai chinh_DD'!E257),0,'06. Phan tich tai chinh_DD'!E257),IF(ISBLANK('06. Phan tich tai chinh_RG'!E181),0,'06. Phan tich tai chinh_RG'!E181))</f>
        <v/>
      </c>
      <c r="G240" s="388" t="n"/>
    </row>
    <row r="241">
      <c r="A241" s="796" t="inlineStr">
        <is>
          <t>CF015</t>
        </is>
      </c>
      <c r="B241" s="796" t="inlineStr">
        <is>
          <t>Thu nhập từ hoạt động tài chính</t>
        </is>
      </c>
      <c r="C241" s="792" t="n"/>
      <c r="D241" s="789">
        <f>IF('01. Thong tin chung'!$B$9="Đầy đủ", IF(ISBLANK('06. Phan tich tai chinh_DD'!C258),0,'06. Phan tich tai chinh_DD'!C258),IF(ISBLANK('06. Phan tich tai chinh_RG'!C182),0,'06. Phan tich tai chinh_RG'!C182))</f>
        <v/>
      </c>
      <c r="E241" s="789">
        <f>IF('01. Thong tin chung'!$B$9="Đầy đủ", IF(ISBLANK('06. Phan tich tai chinh_DD'!D258),0,'06. Phan tich tai chinh_DD'!D258),IF(ISBLANK('06. Phan tich tai chinh_RG'!D182),0,'06. Phan tich tai chinh_RG'!D182))</f>
        <v/>
      </c>
      <c r="F241" s="789">
        <f>IF('01. Thong tin chung'!$B$9="Đầy đủ", IF(ISBLANK('06. Phan tich tai chinh_DD'!E258),0,'06. Phan tich tai chinh_DD'!E258),IF(ISBLANK('06. Phan tich tai chinh_RG'!E182),0,'06. Phan tich tai chinh_RG'!E182))</f>
        <v/>
      </c>
      <c r="G241" s="388" t="n"/>
    </row>
    <row r="242">
      <c r="A242" s="796" t="inlineStr">
        <is>
          <t>CF016</t>
        </is>
      </c>
      <c r="B242" s="796" t="inlineStr">
        <is>
          <t>Thu nhập từ hoạt động khác</t>
        </is>
      </c>
      <c r="C242" s="792" t="n"/>
      <c r="D242" s="789">
        <f>IF('01. Thong tin chung'!$B$9="Đầy đủ", IF(ISBLANK('06. Phan tich tai chinh_DD'!C259),0,'06. Phan tich tai chinh_DD'!C259),IF(ISBLANK('06. Phan tich tai chinh_RG'!C183),0,'06. Phan tich tai chinh_RG'!C183))</f>
        <v/>
      </c>
      <c r="E242" s="789">
        <f>IF('01. Thong tin chung'!$B$9="Đầy đủ", IF(ISBLANK('06. Phan tich tai chinh_DD'!D259),0,'06. Phan tich tai chinh_DD'!D259),IF(ISBLANK('06. Phan tich tai chinh_RG'!D183),0,'06. Phan tich tai chinh_RG'!D183))</f>
        <v/>
      </c>
      <c r="F242" s="789">
        <f>IF('01. Thong tin chung'!$B$9="Đầy đủ", IF(ISBLANK('06. Phan tich tai chinh_DD'!E259),0,'06. Phan tich tai chinh_DD'!E259),IF(ISBLANK('06. Phan tich tai chinh_RG'!E183),0,'06. Phan tich tai chinh_RG'!E183))</f>
        <v/>
      </c>
      <c r="G242" s="388" t="n"/>
    </row>
    <row r="243">
      <c r="A243" s="796" t="inlineStr">
        <is>
          <t>CF017</t>
        </is>
      </c>
      <c r="B243" s="796" t="inlineStr">
        <is>
          <t>Biến đổi Các khoản phải thu khác</t>
        </is>
      </c>
      <c r="C243" s="792" t="n"/>
      <c r="D243" s="789">
        <f>IF('01. Thong tin chung'!$B$9="Đầy đủ", IF(ISBLANK('06. Phan tich tai chinh_DD'!C260),0,'06. Phan tich tai chinh_DD'!C260),IF(ISBLANK('06. Phan tich tai chinh_RG'!C184),0,'06. Phan tich tai chinh_RG'!C184))</f>
        <v/>
      </c>
      <c r="E243" s="789">
        <f>IF('01. Thong tin chung'!$B$9="Đầy đủ", IF(ISBLANK('06. Phan tich tai chinh_DD'!D260),0,'06. Phan tich tai chinh_DD'!D260),IF(ISBLANK('06. Phan tich tai chinh_RG'!D184),0,'06. Phan tich tai chinh_RG'!D184))</f>
        <v/>
      </c>
      <c r="F243" s="789">
        <f>IF('01. Thong tin chung'!$B$9="Đầy đủ", IF(ISBLANK('06. Phan tich tai chinh_DD'!E260),0,'06. Phan tich tai chinh_DD'!E260),IF(ISBLANK('06. Phan tich tai chinh_RG'!E184),0,'06. Phan tich tai chinh_RG'!E184))</f>
        <v/>
      </c>
      <c r="G243" s="388" t="n"/>
    </row>
    <row r="244">
      <c r="A244" s="796" t="inlineStr">
        <is>
          <t>CF018</t>
        </is>
      </c>
      <c r="B244" s="796" t="inlineStr">
        <is>
          <t>Biến đổi Tài sản có ngắn hạn khác</t>
        </is>
      </c>
      <c r="C244" s="792" t="n"/>
      <c r="D244" s="789">
        <f>IF('01. Thong tin chung'!$B$9="Đầy đủ", IF(ISBLANK('06. Phan tich tai chinh_DD'!C261),0,'06. Phan tich tai chinh_DD'!C261),IF(ISBLANK('06. Phan tich tai chinh_RG'!C185),0,'06. Phan tich tai chinh_RG'!C185))</f>
        <v/>
      </c>
      <c r="E244" s="789">
        <f>IF('01. Thong tin chung'!$B$9="Đầy đủ", IF(ISBLANK('06. Phan tich tai chinh_DD'!D261),0,'06. Phan tich tai chinh_DD'!D261),IF(ISBLANK('06. Phan tich tai chinh_RG'!D185),0,'06. Phan tich tai chinh_RG'!D185))</f>
        <v/>
      </c>
      <c r="F244" s="789">
        <f>IF('01. Thong tin chung'!$B$9="Đầy đủ", IF(ISBLANK('06. Phan tich tai chinh_DD'!E261),0,'06. Phan tich tai chinh_DD'!E261),IF(ISBLANK('06. Phan tich tai chinh_RG'!E185),0,'06. Phan tich tai chinh_RG'!E185))</f>
        <v/>
      </c>
      <c r="G244" s="388" t="n"/>
    </row>
    <row r="245">
      <c r="A245" s="796" t="inlineStr">
        <is>
          <t>CF019</t>
        </is>
      </c>
      <c r="B245" s="796" t="inlineStr">
        <is>
          <t>Biến đổi Các khoản phải trả khác</t>
        </is>
      </c>
      <c r="C245" s="792" t="n"/>
      <c r="D245" s="789">
        <f>IF('01. Thong tin chung'!$B$9="Đầy đủ", IF(ISBLANK('06. Phan tich tai chinh_DD'!C262),0,'06. Phan tich tai chinh_DD'!C262),IF(ISBLANK('06. Phan tich tai chinh_RG'!C186),0,'06. Phan tich tai chinh_RG'!C186))</f>
        <v/>
      </c>
      <c r="E245" s="789">
        <f>IF('01. Thong tin chung'!$B$9="Đầy đủ", IF(ISBLANK('06. Phan tich tai chinh_DD'!D262),0,'06. Phan tich tai chinh_DD'!D262),IF(ISBLANK('06. Phan tich tai chinh_RG'!D186),0,'06. Phan tich tai chinh_RG'!D186))</f>
        <v/>
      </c>
      <c r="F245" s="789">
        <f>IF('01. Thong tin chung'!$B$9="Đầy đủ", IF(ISBLANK('06. Phan tich tai chinh_DD'!E262),0,'06. Phan tich tai chinh_DD'!E262),IF(ISBLANK('06. Phan tich tai chinh_RG'!E186),0,'06. Phan tich tai chinh_RG'!E186))</f>
        <v/>
      </c>
      <c r="G245" s="388" t="n"/>
    </row>
    <row r="246">
      <c r="A246" s="796" t="inlineStr">
        <is>
          <t>CF020</t>
        </is>
      </c>
      <c r="B246" s="796" t="inlineStr">
        <is>
          <t>Biến đổi Tài sản nợ ngắn hạn khác</t>
        </is>
      </c>
      <c r="C246" s="792" t="n"/>
      <c r="D246" s="789">
        <f>IF('01. Thong tin chung'!$B$9="Đầy đủ", IF(ISBLANK('06. Phan tich tai chinh_DD'!C263),0,'06. Phan tich tai chinh_DD'!C263),IF(ISBLANK('06. Phan tich tai chinh_RG'!C187),0,'06. Phan tich tai chinh_RG'!C187))</f>
        <v/>
      </c>
      <c r="E246" s="789">
        <f>IF('01. Thong tin chung'!$B$9="Đầy đủ", IF(ISBLANK('06. Phan tich tai chinh_DD'!D263),0,'06. Phan tich tai chinh_DD'!D263),IF(ISBLANK('06. Phan tich tai chinh_RG'!D187),0,'06. Phan tich tai chinh_RG'!D187))</f>
        <v/>
      </c>
      <c r="F246" s="789">
        <f>IF('01. Thong tin chung'!$B$9="Đầy đủ", IF(ISBLANK('06. Phan tich tai chinh_DD'!E263),0,'06. Phan tich tai chinh_DD'!E263),IF(ISBLANK('06. Phan tich tai chinh_RG'!E187),0,'06. Phan tich tai chinh_RG'!E187))</f>
        <v/>
      </c>
      <c r="G246" s="388" t="n"/>
    </row>
    <row r="247">
      <c r="A247" s="796" t="inlineStr">
        <is>
          <t>CF021</t>
        </is>
      </c>
      <c r="B247" s="796" t="inlineStr">
        <is>
          <t>Biến đổi Tài sản có  khác</t>
        </is>
      </c>
      <c r="C247" s="792" t="n"/>
      <c r="D247" s="789">
        <f>IF('01. Thong tin chung'!$B$9="Đầy đủ", IF(ISBLANK('06. Phan tich tai chinh_DD'!C264),0,'06. Phan tich tai chinh_DD'!C264),IF(ISBLANK('06. Phan tich tai chinh_RG'!C188),0,'06. Phan tich tai chinh_RG'!C188))</f>
        <v/>
      </c>
      <c r="E247" s="789">
        <f>IF('01. Thong tin chung'!$B$9="Đầy đủ", IF(ISBLANK('06. Phan tich tai chinh_DD'!D264),0,'06. Phan tich tai chinh_DD'!D264),IF(ISBLANK('06. Phan tich tai chinh_RG'!D188),0,'06. Phan tich tai chinh_RG'!D188))</f>
        <v/>
      </c>
      <c r="F247" s="789">
        <f>IF('01. Thong tin chung'!$B$9="Đầy đủ", IF(ISBLANK('06. Phan tich tai chinh_DD'!E264),0,'06. Phan tich tai chinh_DD'!E264),IF(ISBLANK('06. Phan tich tai chinh_RG'!E188),0,'06. Phan tich tai chinh_RG'!E188))</f>
        <v/>
      </c>
      <c r="G247" s="388" t="n"/>
    </row>
    <row r="248">
      <c r="A248" s="796" t="inlineStr">
        <is>
          <t>CF022</t>
        </is>
      </c>
      <c r="B248" s="796" t="inlineStr">
        <is>
          <t>Biến đổi Tài sản nợ khác</t>
        </is>
      </c>
      <c r="C248" s="792" t="n"/>
      <c r="D248" s="789">
        <f>IF('01. Thong tin chung'!$B$9="Đầy đủ", IF(ISBLANK('06. Phan tich tai chinh_DD'!C265),0,'06. Phan tich tai chinh_DD'!C265),IF(ISBLANK('06. Phan tich tai chinh_RG'!C189),0,'06. Phan tich tai chinh_RG'!C189))</f>
        <v/>
      </c>
      <c r="E248" s="789">
        <f>IF('01. Thong tin chung'!$B$9="Đầy đủ", IF(ISBLANK('06. Phan tich tai chinh_DD'!D265),0,'06. Phan tich tai chinh_DD'!D265),IF(ISBLANK('06. Phan tich tai chinh_RG'!D189),0,'06. Phan tich tai chinh_RG'!D189))</f>
        <v/>
      </c>
      <c r="F248" s="789">
        <f>IF('01. Thong tin chung'!$B$9="Đầy đủ", IF(ISBLANK('06. Phan tich tai chinh_DD'!E265),0,'06. Phan tich tai chinh_DD'!E265),IF(ISBLANK('06. Phan tich tai chinh_RG'!E189),0,'06. Phan tich tai chinh_RG'!E189))</f>
        <v/>
      </c>
      <c r="G248" s="388" t="n"/>
    </row>
    <row r="249">
      <c r="A249" s="795" t="inlineStr">
        <is>
          <t>CF023</t>
        </is>
      </c>
      <c r="B249" s="795" t="inlineStr">
        <is>
          <t>Biến đổi từ các hoạt động bất thường</t>
        </is>
      </c>
      <c r="C249" s="792" t="n"/>
      <c r="D249" s="789">
        <f>IF('01. Thong tin chung'!$B$9="Đầy đủ", IF(ISBLANK('06. Phan tich tai chinh_DD'!C266),0,'06. Phan tich tai chinh_DD'!C266),IF(ISBLANK('06. Phan tich tai chinh_RG'!C190),0,'06. Phan tich tai chinh_RG'!C190))</f>
        <v/>
      </c>
      <c r="E249" s="789">
        <f>IF('01. Thong tin chung'!$B$9="Đầy đủ", IF(ISBLANK('06. Phan tich tai chinh_DD'!D266),0,'06. Phan tich tai chinh_DD'!D266),IF(ISBLANK('06. Phan tich tai chinh_RG'!D190),0,'06. Phan tich tai chinh_RG'!D190))</f>
        <v/>
      </c>
      <c r="F249" s="789">
        <f>IF('01. Thong tin chung'!$B$9="Đầy đủ", IF(ISBLANK('06. Phan tich tai chinh_DD'!E266),0,'06. Phan tich tai chinh_DD'!E266),IF(ISBLANK('06. Phan tich tai chinh_RG'!E190),0,'06. Phan tich tai chinh_RG'!E190))</f>
        <v/>
      </c>
      <c r="G249" s="388" t="n"/>
    </row>
    <row r="250">
      <c r="A250" s="796" t="inlineStr">
        <is>
          <t>CF024</t>
        </is>
      </c>
      <c r="B250" s="796" t="inlineStr">
        <is>
          <t>Thuế phải trả năm nay</t>
        </is>
      </c>
      <c r="C250" s="792" t="n"/>
      <c r="D250" s="789">
        <f>IF('01. Thong tin chung'!$B$9="Đầy đủ", IF(ISBLANK('06. Phan tich tai chinh_DD'!C267),0,'06. Phan tich tai chinh_DD'!C267),IF(ISBLANK('06. Phan tich tai chinh_RG'!C191),0,'06. Phan tich tai chinh_RG'!C191))</f>
        <v/>
      </c>
      <c r="E250" s="789">
        <f>IF('01. Thong tin chung'!$B$9="Đầy đủ", IF(ISBLANK('06. Phan tich tai chinh_DD'!D267),0,'06. Phan tich tai chinh_DD'!D267),IF(ISBLANK('06. Phan tich tai chinh_RG'!D191),0,'06. Phan tich tai chinh_RG'!D191))</f>
        <v/>
      </c>
      <c r="F250" s="789">
        <f>IF('01. Thong tin chung'!$B$9="Đầy đủ", IF(ISBLANK('06. Phan tich tai chinh_DD'!E267),0,'06. Phan tich tai chinh_DD'!E267),IF(ISBLANK('06. Phan tich tai chinh_RG'!E191),0,'06. Phan tich tai chinh_RG'!E191))</f>
        <v/>
      </c>
      <c r="G250" s="388" t="n"/>
    </row>
    <row r="251">
      <c r="A251" s="796" t="inlineStr">
        <is>
          <t>CF025</t>
        </is>
      </c>
      <c r="B251" s="796" t="inlineStr">
        <is>
          <t>Biến đổi thuế hoàn lại phải thu</t>
        </is>
      </c>
      <c r="C251" s="792" t="n"/>
      <c r="D251" s="789">
        <f>IF('01. Thong tin chung'!$B$9="Đầy đủ", IF(ISBLANK('06. Phan tich tai chinh_DD'!C268),0,'06. Phan tich tai chinh_DD'!C268),IF(ISBLANK('06. Phan tich tai chinh_RG'!C192),0,'06. Phan tich tai chinh_RG'!C192))</f>
        <v/>
      </c>
      <c r="E251" s="789">
        <f>IF('01. Thong tin chung'!$B$9="Đầy đủ", IF(ISBLANK('06. Phan tich tai chinh_DD'!D268),0,'06. Phan tich tai chinh_DD'!D268),IF(ISBLANK('06. Phan tich tai chinh_RG'!D192),0,'06. Phan tich tai chinh_RG'!D192))</f>
        <v/>
      </c>
      <c r="F251" s="789">
        <f>IF('01. Thong tin chung'!$B$9="Đầy đủ", IF(ISBLANK('06. Phan tich tai chinh_DD'!E268),0,'06. Phan tich tai chinh_DD'!E268),IF(ISBLANK('06. Phan tich tai chinh_RG'!E192),0,'06. Phan tich tai chinh_RG'!E192))</f>
        <v/>
      </c>
      <c r="G251" s="388" t="n"/>
    </row>
    <row r="252">
      <c r="A252" s="796" t="inlineStr">
        <is>
          <t>CF026</t>
        </is>
      </c>
      <c r="B252" s="796" t="inlineStr">
        <is>
          <t>Biến đổi thuế hoàn lại Ngân sách nợ</t>
        </is>
      </c>
      <c r="C252" s="792" t="n"/>
      <c r="D252" s="789">
        <f>IF('01. Thong tin chung'!$B$9="Đầy đủ", IF(ISBLANK('06. Phan tich tai chinh_DD'!C269),0,'06. Phan tich tai chinh_DD'!C269),IF(ISBLANK('06. Phan tich tai chinh_RG'!C193),0,'06. Phan tich tai chinh_RG'!C193))</f>
        <v/>
      </c>
      <c r="E252" s="789">
        <f>IF('01. Thong tin chung'!$B$9="Đầy đủ", IF(ISBLANK('06. Phan tich tai chinh_DD'!D269),0,'06. Phan tich tai chinh_DD'!D269),IF(ISBLANK('06. Phan tich tai chinh_RG'!D193),0,'06. Phan tich tai chinh_RG'!D193))</f>
        <v/>
      </c>
      <c r="F252" s="789">
        <f>IF('01. Thong tin chung'!$B$9="Đầy đủ", IF(ISBLANK('06. Phan tich tai chinh_DD'!E269),0,'06. Phan tich tai chinh_DD'!E269),IF(ISBLANK('06. Phan tich tai chinh_RG'!E193),0,'06. Phan tich tai chinh_RG'!E193))</f>
        <v/>
      </c>
      <c r="G252" s="388" t="n"/>
    </row>
    <row r="253">
      <c r="A253" s="796" t="inlineStr">
        <is>
          <t>CF027</t>
        </is>
      </c>
      <c r="B253" s="796" t="inlineStr">
        <is>
          <t>Biến đổi thuế còn phải nộp ngân sách</t>
        </is>
      </c>
      <c r="C253" s="792" t="n"/>
      <c r="D253" s="789">
        <f>IF('01. Thong tin chung'!$B$9="Đầy đủ", IF(ISBLANK('06. Phan tich tai chinh_DD'!C270),0,'06. Phan tich tai chinh_DD'!C270),IF(ISBLANK('06. Phan tich tai chinh_RG'!C194),0,'06. Phan tich tai chinh_RG'!C194))</f>
        <v/>
      </c>
      <c r="E253" s="789">
        <f>IF('01. Thong tin chung'!$B$9="Đầy đủ", IF(ISBLANK('06. Phan tich tai chinh_DD'!D270),0,'06. Phan tich tai chinh_DD'!D270),IF(ISBLANK('06. Phan tich tai chinh_RG'!D194),0,'06. Phan tich tai chinh_RG'!D194))</f>
        <v/>
      </c>
      <c r="F253" s="789">
        <f>IF('01. Thong tin chung'!$B$9="Đầy đủ", IF(ISBLANK('06. Phan tich tai chinh_DD'!E270),0,'06. Phan tich tai chinh_DD'!E270),IF(ISBLANK('06. Phan tich tai chinh_RG'!E194),0,'06. Phan tich tai chinh_RG'!E194))</f>
        <v/>
      </c>
      <c r="G253" s="388" t="n"/>
    </row>
    <row r="254">
      <c r="A254" s="796" t="inlineStr">
        <is>
          <t>CF028</t>
        </is>
      </c>
      <c r="B254" s="796" t="inlineStr">
        <is>
          <t>Biến đổi thuế nợ ngân sách phải trả</t>
        </is>
      </c>
      <c r="C254" s="792" t="n"/>
      <c r="D254" s="789">
        <f>IF('01. Thong tin chung'!$B$9="Đầy đủ", IF(ISBLANK('06. Phan tich tai chinh_DD'!C271),0,'06. Phan tich tai chinh_DD'!C271),IF(ISBLANK('06. Phan tich tai chinh_RG'!C195),0,'06. Phan tich tai chinh_RG'!C195))</f>
        <v/>
      </c>
      <c r="E254" s="789">
        <f>IF('01. Thong tin chung'!$B$9="Đầy đủ", IF(ISBLANK('06. Phan tich tai chinh_DD'!D271),0,'06. Phan tich tai chinh_DD'!D271),IF(ISBLANK('06. Phan tich tai chinh_RG'!D195),0,'06. Phan tich tai chinh_RG'!D195))</f>
        <v/>
      </c>
      <c r="F254" s="789">
        <f>IF('01. Thong tin chung'!$B$9="Đầy đủ", IF(ISBLANK('06. Phan tich tai chinh_DD'!E271),0,'06. Phan tich tai chinh_DD'!E271),IF(ISBLANK('06. Phan tich tai chinh_RG'!E195),0,'06. Phan tich tai chinh_RG'!E195))</f>
        <v/>
      </c>
      <c r="G254" s="388" t="n"/>
    </row>
    <row r="255">
      <c r="A255" s="795" t="inlineStr">
        <is>
          <t>CF029</t>
        </is>
      </c>
      <c r="B255" s="795" t="inlineStr">
        <is>
          <t>Dòng tiền thuế đã nộp trong kỳ</t>
        </is>
      </c>
      <c r="C255" s="792" t="n"/>
      <c r="D255" s="789">
        <f>IF('01. Thong tin chung'!$B$9="Đầy đủ", IF(ISBLANK('06. Phan tich tai chinh_DD'!C272),0,'06. Phan tich tai chinh_DD'!C272),IF(ISBLANK('06. Phan tich tai chinh_RG'!C196),0,'06. Phan tich tai chinh_RG'!C196))</f>
        <v/>
      </c>
      <c r="E255" s="789">
        <f>IF('01. Thong tin chung'!$B$9="Đầy đủ", IF(ISBLANK('06. Phan tich tai chinh_DD'!D272),0,'06. Phan tich tai chinh_DD'!D272),IF(ISBLANK('06. Phan tich tai chinh_RG'!D196),0,'06. Phan tich tai chinh_RG'!D196))</f>
        <v/>
      </c>
      <c r="F255" s="789">
        <f>IF('01. Thong tin chung'!$B$9="Đầy đủ", IF(ISBLANK('06. Phan tich tai chinh_DD'!E272),0,'06. Phan tich tai chinh_DD'!E272),IF(ISBLANK('06. Phan tich tai chinh_RG'!E196),0,'06. Phan tich tai chinh_RG'!E196))</f>
        <v/>
      </c>
      <c r="G255" s="388" t="n"/>
    </row>
    <row r="256">
      <c r="A256" s="795" t="inlineStr">
        <is>
          <t>CF030</t>
        </is>
      </c>
      <c r="B256" s="795" t="inlineStr">
        <is>
          <t>Dòng tiền thuần sau HĐKD</t>
        </is>
      </c>
      <c r="C256" s="792" t="n"/>
      <c r="D256" s="789">
        <f>IF('01. Thong tin chung'!$B$9="Đầy đủ", IF(ISBLANK('06. Phan tich tai chinh_DD'!C273),0,'06. Phan tich tai chinh_DD'!C273),IF(ISBLANK('06. Phan tich tai chinh_RG'!C197),0,'06. Phan tich tai chinh_RG'!C197))</f>
        <v/>
      </c>
      <c r="E256" s="789">
        <f>IF('01. Thong tin chung'!$B$9="Đầy đủ", IF(ISBLANK('06. Phan tich tai chinh_DD'!D273),0,'06. Phan tich tai chinh_DD'!D273),IF(ISBLANK('06. Phan tich tai chinh_RG'!D197),0,'06. Phan tich tai chinh_RG'!D197))</f>
        <v/>
      </c>
      <c r="F256" s="789">
        <f>IF('01. Thong tin chung'!$B$9="Đầy đủ", IF(ISBLANK('06. Phan tich tai chinh_DD'!E273),0,'06. Phan tich tai chinh_DD'!E273),IF(ISBLANK('06. Phan tich tai chinh_RG'!E197),0,'06. Phan tich tai chinh_RG'!E197))</f>
        <v/>
      </c>
      <c r="G256" s="388" t="n"/>
    </row>
    <row r="257">
      <c r="A257" s="796" t="inlineStr">
        <is>
          <t>CF031</t>
        </is>
      </c>
      <c r="B257" s="796" t="inlineStr">
        <is>
          <t>Dòng tiền chi phí trả lãi vay</t>
        </is>
      </c>
      <c r="C257" s="792" t="n"/>
      <c r="D257" s="789">
        <f>IF('01. Thong tin chung'!$B$9="Đầy đủ", IF(ISBLANK('06. Phan tich tai chinh_DD'!C274),0,'06. Phan tich tai chinh_DD'!C274),IF(ISBLANK('06. Phan tich tai chinh_RG'!C198),0,'06. Phan tich tai chinh_RG'!C198))</f>
        <v/>
      </c>
      <c r="E257" s="789">
        <f>IF('01. Thong tin chung'!$B$9="Đầy đủ", IF(ISBLANK('06. Phan tich tai chinh_DD'!D274),0,'06. Phan tich tai chinh_DD'!D274),IF(ISBLANK('06. Phan tich tai chinh_RG'!D198),0,'06. Phan tich tai chinh_RG'!D198))</f>
        <v/>
      </c>
      <c r="F257" s="789">
        <f>IF('01. Thong tin chung'!$B$9="Đầy đủ", IF(ISBLANK('06. Phan tich tai chinh_DD'!E274),0,'06. Phan tich tai chinh_DD'!E274),IF(ISBLANK('06. Phan tich tai chinh_RG'!E198),0,'06. Phan tich tai chinh_RG'!E198))</f>
        <v/>
      </c>
      <c r="G257" s="388" t="n"/>
    </row>
    <row r="258">
      <c r="A258" s="796" t="inlineStr">
        <is>
          <t>CF032</t>
        </is>
      </c>
      <c r="B258" s="796" t="inlineStr">
        <is>
          <t>Chi phí tài chính khác</t>
        </is>
      </c>
      <c r="C258" s="792" t="n"/>
      <c r="D258" s="789">
        <f>IF('01. Thong tin chung'!$B$9="Đầy đủ", IF(ISBLANK('06. Phan tich tai chinh_DD'!C275),0,'06. Phan tich tai chinh_DD'!C275),IF(ISBLANK('06. Phan tich tai chinh_RG'!C199),0,'06. Phan tich tai chinh_RG'!C199))</f>
        <v/>
      </c>
      <c r="E258" s="789">
        <f>IF('01. Thong tin chung'!$B$9="Đầy đủ", IF(ISBLANK('06. Phan tich tai chinh_DD'!D275),0,'06. Phan tich tai chinh_DD'!D275),IF(ISBLANK('06. Phan tich tai chinh_RG'!D199),0,'06. Phan tich tai chinh_RG'!D199))</f>
        <v/>
      </c>
      <c r="F258" s="789">
        <f>IF('01. Thong tin chung'!$B$9="Đầy đủ", IF(ISBLANK('06. Phan tich tai chinh_DD'!E275),0,'06. Phan tich tai chinh_DD'!E275),IF(ISBLANK('06. Phan tich tai chinh_RG'!E199),0,'06. Phan tich tai chinh_RG'!E199))</f>
        <v/>
      </c>
      <c r="G258" s="388" t="n"/>
    </row>
    <row r="259">
      <c r="A259" s="796" t="inlineStr">
        <is>
          <t>CF033</t>
        </is>
      </c>
      <c r="B259" s="796" t="inlineStr">
        <is>
          <t xml:space="preserve"> Lợi tức phải trả/ nộp cấp trên hoặc trích quỹ</t>
        </is>
      </c>
      <c r="C259" s="792" t="n"/>
      <c r="D259" s="789">
        <f>IF('01. Thong tin chung'!$B$9="Đầy đủ", IF(ISBLANK('06. Phan tich tai chinh_DD'!C276),0,'06. Phan tich tai chinh_DD'!C276),IF(ISBLANK('06. Phan tich tai chinh_RG'!C200),0,'06. Phan tich tai chinh_RG'!C200))</f>
        <v/>
      </c>
      <c r="E259" s="789">
        <f>IF('01. Thong tin chung'!$B$9="Đầy đủ", IF(ISBLANK('06. Phan tich tai chinh_DD'!D276),0,'06. Phan tich tai chinh_DD'!D276),IF(ISBLANK('06. Phan tich tai chinh_RG'!D200),0,'06. Phan tich tai chinh_RG'!D200))</f>
        <v/>
      </c>
      <c r="F259" s="789">
        <f>IF('01. Thong tin chung'!$B$9="Đầy đủ", IF(ISBLANK('06. Phan tich tai chinh_DD'!E276),0,'06. Phan tich tai chinh_DD'!E276),IF(ISBLANK('06. Phan tich tai chinh_RG'!E200),0,'06. Phan tich tai chinh_RG'!E200))</f>
        <v/>
      </c>
      <c r="G259" s="388" t="n"/>
    </row>
    <row r="260">
      <c r="A260" s="795" t="inlineStr">
        <is>
          <t>CF034</t>
        </is>
      </c>
      <c r="B260" s="795" t="inlineStr">
        <is>
          <t>Dòng tiền chi phí trong hoạt động tài chính</t>
        </is>
      </c>
      <c r="C260" s="792" t="n"/>
      <c r="D260" s="789">
        <f>IF('01. Thong tin chung'!$B$9="Đầy đủ", IF(ISBLANK('06. Phan tich tai chinh_DD'!C277),0,'06. Phan tich tai chinh_DD'!C277),IF(ISBLANK('06. Phan tich tai chinh_RG'!C201),0,'06. Phan tich tai chinh_RG'!C201))</f>
        <v/>
      </c>
      <c r="E260" s="789">
        <f>IF('01. Thong tin chung'!$B$9="Đầy đủ", IF(ISBLANK('06. Phan tich tai chinh_DD'!D277),0,'06. Phan tich tai chinh_DD'!D277),IF(ISBLANK('06. Phan tich tai chinh_RG'!D201),0,'06. Phan tich tai chinh_RG'!D201))</f>
        <v/>
      </c>
      <c r="F260" s="789">
        <f>IF('01. Thong tin chung'!$B$9="Đầy đủ", IF(ISBLANK('06. Phan tich tai chinh_DD'!E277),0,'06. Phan tich tai chinh_DD'!E277),IF(ISBLANK('06. Phan tich tai chinh_RG'!E201),0,'06. Phan tich tai chinh_RG'!E201))</f>
        <v/>
      </c>
      <c r="G260" s="388" t="n"/>
    </row>
    <row r="261">
      <c r="A261" s="795" t="inlineStr">
        <is>
          <t>CF035</t>
        </is>
      </c>
      <c r="B261" s="795" t="inlineStr">
        <is>
          <t>Dòng tiền lợi nhuận ròng</t>
        </is>
      </c>
      <c r="C261" s="792" t="n"/>
      <c r="D261" s="789">
        <f>IF('01. Thong tin chung'!$B$9="Đầy đủ", IF(ISBLANK('06. Phan tich tai chinh_DD'!C278),0,'06. Phan tich tai chinh_DD'!C278),IF(ISBLANK('06. Phan tich tai chinh_RG'!C202),0,'06. Phan tich tai chinh_RG'!C202))</f>
        <v/>
      </c>
      <c r="E261" s="789">
        <f>IF('01. Thong tin chung'!$B$9="Đầy đủ", IF(ISBLANK('06. Phan tich tai chinh_DD'!D278),0,'06. Phan tich tai chinh_DD'!D278),IF(ISBLANK('06. Phan tich tai chinh_RG'!D202),0,'06. Phan tich tai chinh_RG'!D202))</f>
        <v/>
      </c>
      <c r="F261" s="789">
        <f>IF('01. Thong tin chung'!$B$9="Đầy đủ", IF(ISBLANK('06. Phan tich tai chinh_DD'!E278),0,'06. Phan tich tai chinh_DD'!E278),IF(ISBLANK('06. Phan tich tai chinh_RG'!E202),0,'06. Phan tich tai chinh_RG'!E202))</f>
        <v/>
      </c>
      <c r="G261" s="388" t="n"/>
    </row>
    <row r="262">
      <c r="A262" s="796" t="inlineStr">
        <is>
          <t>CF036</t>
        </is>
      </c>
      <c r="B262" s="796" t="inlineStr">
        <is>
          <t>Vay dài hạn đến hạn phải trả</t>
        </is>
      </c>
      <c r="C262" s="792" t="n"/>
      <c r="D262" s="789">
        <f>IF('01. Thong tin chung'!$B$9="Đầy đủ", IF(ISBLANK('06. Phan tich tai chinh_DD'!C279),0,'06. Phan tich tai chinh_DD'!C279),IF(ISBLANK('06. Phan tich tai chinh_RG'!C203),0,'06. Phan tich tai chinh_RG'!C203))</f>
        <v/>
      </c>
      <c r="E262" s="789">
        <f>IF('01. Thong tin chung'!$B$9="Đầy đủ", IF(ISBLANK('06. Phan tich tai chinh_DD'!D279),0,'06. Phan tich tai chinh_DD'!D279),IF(ISBLANK('06. Phan tich tai chinh_RG'!D203),0,'06. Phan tich tai chinh_RG'!D203))</f>
        <v/>
      </c>
      <c r="F262" s="789">
        <f>IF('01. Thong tin chung'!$B$9="Đầy đủ", IF(ISBLANK('06. Phan tich tai chinh_DD'!E279),0,'06. Phan tich tai chinh_DD'!E279),IF(ISBLANK('06. Phan tich tai chinh_RG'!E203),0,'06. Phan tich tai chinh_RG'!E203))</f>
        <v/>
      </c>
      <c r="G262" s="388" t="n"/>
    </row>
    <row r="263">
      <c r="A263" s="796" t="inlineStr">
        <is>
          <t>CF037</t>
        </is>
      </c>
      <c r="B263" s="796" t="inlineStr">
        <is>
          <t>Thuê mua tài chính đến hạn phải trả</t>
        </is>
      </c>
      <c r="C263" s="792" t="n"/>
      <c r="D263" s="789">
        <f>IF('01. Thong tin chung'!$B$9="Đầy đủ", IF(ISBLANK('06. Phan tich tai chinh_DD'!C280),0,'06. Phan tich tai chinh_DD'!C280),IF(ISBLANK('06. Phan tich tai chinh_RG'!C204),0,'06. Phan tich tai chinh_RG'!C204))</f>
        <v/>
      </c>
      <c r="E263" s="789">
        <f>IF('01. Thong tin chung'!$B$9="Đầy đủ", IF(ISBLANK('06. Phan tich tai chinh_DD'!D280),0,'06. Phan tich tai chinh_DD'!D280),IF(ISBLANK('06. Phan tich tai chinh_RG'!D204),0,'06. Phan tich tai chinh_RG'!D204))</f>
        <v/>
      </c>
      <c r="F263" s="789">
        <f>IF('01. Thong tin chung'!$B$9="Đầy đủ", IF(ISBLANK('06. Phan tich tai chinh_DD'!E280),0,'06. Phan tich tai chinh_DD'!E280),IF(ISBLANK('06. Phan tich tai chinh_RG'!E204),0,'06. Phan tich tai chinh_RG'!E204))</f>
        <v/>
      </c>
      <c r="G263" s="388" t="n"/>
    </row>
    <row r="264">
      <c r="A264" s="796" t="inlineStr">
        <is>
          <t>CF038</t>
        </is>
      </c>
      <c r="B264" s="796" t="inlineStr">
        <is>
          <t>Nợ dài hạn đến hạn phải trả khác</t>
        </is>
      </c>
      <c r="C264" s="792" t="n"/>
      <c r="D264" s="789">
        <f>IF('01. Thong tin chung'!$B$9="Đầy đủ", IF(ISBLANK('06. Phan tich tai chinh_DD'!C281),0,'06. Phan tich tai chinh_DD'!C281),IF(ISBLANK('06. Phan tich tai chinh_RG'!C205),0,'06. Phan tich tai chinh_RG'!C205))</f>
        <v/>
      </c>
      <c r="E264" s="789">
        <f>IF('01. Thong tin chung'!$B$9="Đầy đủ", IF(ISBLANK('06. Phan tich tai chinh_DD'!D281),0,'06. Phan tich tai chinh_DD'!D281),IF(ISBLANK('06. Phan tich tai chinh_RG'!D205),0,'06. Phan tich tai chinh_RG'!D205))</f>
        <v/>
      </c>
      <c r="F264" s="789">
        <f>IF('01. Thong tin chung'!$B$9="Đầy đủ", IF(ISBLANK('06. Phan tich tai chinh_DD'!E281),0,'06. Phan tich tai chinh_DD'!E281),IF(ISBLANK('06. Phan tich tai chinh_RG'!E205),0,'06. Phan tich tai chinh_RG'!E205))</f>
        <v/>
      </c>
      <c r="G264" s="388" t="n"/>
    </row>
    <row r="265">
      <c r="A265" s="795" t="inlineStr">
        <is>
          <t>CF039</t>
        </is>
      </c>
      <c r="B265" s="795" t="inlineStr">
        <is>
          <t>Dòng tiền trả gốc vay theo kế hoạch</t>
        </is>
      </c>
      <c r="C265" s="792" t="n"/>
      <c r="D265" s="789">
        <f>IF('01. Thong tin chung'!$B$9="Đầy đủ", IF(ISBLANK('06. Phan tich tai chinh_DD'!C282),0,'06. Phan tich tai chinh_DD'!C282),IF(ISBLANK('06. Phan tich tai chinh_RG'!C206),0,'06. Phan tich tai chinh_RG'!C206))</f>
        <v/>
      </c>
      <c r="E265" s="789">
        <f>IF('01. Thong tin chung'!$B$9="Đầy đủ", IF(ISBLANK('06. Phan tich tai chinh_DD'!D282),0,'06. Phan tich tai chinh_DD'!D282),IF(ISBLANK('06. Phan tich tai chinh_RG'!D206),0,'06. Phan tich tai chinh_RG'!D206))</f>
        <v/>
      </c>
      <c r="F265" s="789">
        <f>IF('01. Thong tin chung'!$B$9="Đầy đủ", IF(ISBLANK('06. Phan tich tai chinh_DD'!E282),0,'06. Phan tich tai chinh_DD'!E282),IF(ISBLANK('06. Phan tich tai chinh_RG'!E206),0,'06. Phan tich tai chinh_RG'!E206))</f>
        <v/>
      </c>
      <c r="G265" s="388" t="n"/>
    </row>
    <row r="266">
      <c r="A266" s="795" t="inlineStr">
        <is>
          <t>CF040</t>
        </is>
      </c>
      <c r="B266" s="795" t="inlineStr">
        <is>
          <t>Dòng tiền thuần sau trả gốc</t>
        </is>
      </c>
      <c r="C266" s="792" t="n"/>
      <c r="D266" s="789">
        <f>IF('01. Thong tin chung'!$B$9="Đầy đủ", IF(ISBLANK('06. Phan tich tai chinh_DD'!C283),0,'06. Phan tich tai chinh_DD'!C283),IF(ISBLANK('06. Phan tich tai chinh_RG'!C207),0,'06. Phan tich tai chinh_RG'!C207))</f>
        <v/>
      </c>
      <c r="E266" s="789">
        <f>IF('01. Thong tin chung'!$B$9="Đầy đủ", IF(ISBLANK('06. Phan tich tai chinh_DD'!D283),0,'06. Phan tich tai chinh_DD'!D283),IF(ISBLANK('06. Phan tich tai chinh_RG'!D207),0,'06. Phan tich tai chinh_RG'!D207))</f>
        <v/>
      </c>
      <c r="F266" s="789">
        <f>IF('01. Thong tin chung'!$B$9="Đầy đủ", IF(ISBLANK('06. Phan tich tai chinh_DD'!E283),0,'06. Phan tich tai chinh_DD'!E283),IF(ISBLANK('06. Phan tich tai chinh_RG'!E207),0,'06. Phan tich tai chinh_RG'!E207))</f>
        <v/>
      </c>
      <c r="G266" s="388" t="n"/>
    </row>
    <row r="267">
      <c r="A267" s="796" t="inlineStr">
        <is>
          <t>CF041</t>
        </is>
      </c>
      <c r="B267" s="796" t="inlineStr">
        <is>
          <t>Biến đổi TSCĐ hữu hình  thuần</t>
        </is>
      </c>
      <c r="C267" s="792" t="n"/>
      <c r="D267" s="789">
        <f>IF('01. Thong tin chung'!$B$9="Đầy đủ", IF(ISBLANK('06. Phan tich tai chinh_DD'!C284),0,'06. Phan tich tai chinh_DD'!C284),IF(ISBLANK('06. Phan tich tai chinh_RG'!C208),0,'06. Phan tich tai chinh_RG'!C208))</f>
        <v/>
      </c>
      <c r="E267" s="789">
        <f>IF('01. Thong tin chung'!$B$9="Đầy đủ", IF(ISBLANK('06. Phan tich tai chinh_DD'!D284),0,'06. Phan tich tai chinh_DD'!D284),IF(ISBLANK('06. Phan tich tai chinh_RG'!D208),0,'06. Phan tich tai chinh_RG'!D208))</f>
        <v/>
      </c>
      <c r="F267" s="789">
        <f>IF('01. Thong tin chung'!$B$9="Đầy đủ", IF(ISBLANK('06. Phan tich tai chinh_DD'!E284),0,'06. Phan tich tai chinh_DD'!E284),IF(ISBLANK('06. Phan tich tai chinh_RG'!E208),0,'06. Phan tich tai chinh_RG'!E208))</f>
        <v/>
      </c>
      <c r="G267" s="388" t="n"/>
    </row>
    <row r="268">
      <c r="A268" s="796" t="inlineStr">
        <is>
          <t>CF042</t>
        </is>
      </c>
      <c r="B268" s="796" t="inlineStr">
        <is>
          <t>Biến đổi TS thuê tài chính thuần</t>
        </is>
      </c>
      <c r="C268" s="792" t="n"/>
      <c r="D268" s="789">
        <f>IF('01. Thong tin chung'!$B$9="Đầy đủ", IF(ISBLANK('06. Phan tich tai chinh_DD'!C285),0,'06. Phan tich tai chinh_DD'!C285),IF(ISBLANK('06. Phan tich tai chinh_RG'!C209),0,'06. Phan tich tai chinh_RG'!C209))</f>
        <v/>
      </c>
      <c r="E268" s="789">
        <f>IF('01. Thong tin chung'!$B$9="Đầy đủ", IF(ISBLANK('06. Phan tich tai chinh_DD'!D285),0,'06. Phan tich tai chinh_DD'!D285),IF(ISBLANK('06. Phan tich tai chinh_RG'!D209),0,'06. Phan tich tai chinh_RG'!D209))</f>
        <v/>
      </c>
      <c r="F268" s="789">
        <f>IF('01. Thong tin chung'!$B$9="Đầy đủ", IF(ISBLANK('06. Phan tich tai chinh_DD'!E285),0,'06. Phan tich tai chinh_DD'!E285),IF(ISBLANK('06. Phan tich tai chinh_RG'!E209),0,'06. Phan tich tai chinh_RG'!E209))</f>
        <v/>
      </c>
      <c r="G268" s="388" t="n"/>
    </row>
    <row r="269">
      <c r="A269" s="796" t="inlineStr">
        <is>
          <t>CF043</t>
        </is>
      </c>
      <c r="B269" s="796" t="inlineStr">
        <is>
          <t>Biến đổi TSCĐ vô hình thuần</t>
        </is>
      </c>
      <c r="C269" s="792" t="n"/>
      <c r="D269" s="789">
        <f>IF('01. Thong tin chung'!$B$9="Đầy đủ", IF(ISBLANK('06. Phan tich tai chinh_DD'!C286),0,'06. Phan tich tai chinh_DD'!C286),IF(ISBLANK('06. Phan tich tai chinh_RG'!C210),0,'06. Phan tich tai chinh_RG'!C210))</f>
        <v/>
      </c>
      <c r="E269" s="789">
        <f>IF('01. Thong tin chung'!$B$9="Đầy đủ", IF(ISBLANK('06. Phan tich tai chinh_DD'!D286),0,'06. Phan tich tai chinh_DD'!D286),IF(ISBLANK('06. Phan tich tai chinh_RG'!D210),0,'06. Phan tich tai chinh_RG'!D210))</f>
        <v/>
      </c>
      <c r="F269" s="789">
        <f>IF('01. Thong tin chung'!$B$9="Đầy đủ", IF(ISBLANK('06. Phan tich tai chinh_DD'!E286),0,'06. Phan tich tai chinh_DD'!E286),IF(ISBLANK('06. Phan tich tai chinh_RG'!E210),0,'06. Phan tich tai chinh_RG'!E210))</f>
        <v/>
      </c>
      <c r="G269" s="388" t="n"/>
    </row>
    <row r="270">
      <c r="A270" s="796" t="inlineStr">
        <is>
          <t>CF044</t>
        </is>
      </c>
      <c r="B270" s="796" t="inlineStr">
        <is>
          <t>Tổng khấu hao</t>
        </is>
      </c>
      <c r="C270" s="792" t="n"/>
      <c r="D270" s="789">
        <f>IF('01. Thong tin chung'!$B$9="Đầy đủ", IF(ISBLANK('06. Phan tich tai chinh_DD'!C287),0,'06. Phan tich tai chinh_DD'!C287),IF(ISBLANK('06. Phan tich tai chinh_RG'!C211),0,'06. Phan tich tai chinh_RG'!C211))</f>
        <v/>
      </c>
      <c r="E270" s="789">
        <f>IF('01. Thong tin chung'!$B$9="Đầy đủ", IF(ISBLANK('06. Phan tich tai chinh_DD'!D287),0,'06. Phan tich tai chinh_DD'!D287),IF(ISBLANK('06. Phan tich tai chinh_RG'!D211),0,'06. Phan tich tai chinh_RG'!D211))</f>
        <v/>
      </c>
      <c r="F270" s="789">
        <f>IF('01. Thong tin chung'!$B$9="Đầy đủ", IF(ISBLANK('06. Phan tich tai chinh_DD'!E287),0,'06. Phan tich tai chinh_DD'!E287),IF(ISBLANK('06. Phan tich tai chinh_RG'!E211),0,'06. Phan tich tai chinh_RG'!E211))</f>
        <v/>
      </c>
      <c r="G270" s="388" t="n"/>
    </row>
    <row r="271">
      <c r="A271" s="796" t="inlineStr">
        <is>
          <t>CF045</t>
        </is>
      </c>
      <c r="B271" s="796" t="inlineStr">
        <is>
          <t>Biến đổi Xây dựng cơ bản dở dang</t>
        </is>
      </c>
      <c r="C271" s="792" t="n"/>
      <c r="D271" s="789">
        <f>IF('01. Thong tin chung'!$B$9="Đầy đủ", IF(ISBLANK('06. Phan tich tai chinh_DD'!C288),0,'06. Phan tich tai chinh_DD'!C288),IF(ISBLANK('06. Phan tich tai chinh_RG'!C212),0,'06. Phan tich tai chinh_RG'!C212))</f>
        <v/>
      </c>
      <c r="E271" s="789">
        <f>IF('01. Thong tin chung'!$B$9="Đầy đủ", IF(ISBLANK('06. Phan tich tai chinh_DD'!D288),0,'06. Phan tich tai chinh_DD'!D288),IF(ISBLANK('06. Phan tich tai chinh_RG'!D212),0,'06. Phan tich tai chinh_RG'!D212))</f>
        <v/>
      </c>
      <c r="F271" s="789">
        <f>IF('01. Thong tin chung'!$B$9="Đầy đủ", IF(ISBLANK('06. Phan tich tai chinh_DD'!E288),0,'06. Phan tich tai chinh_DD'!E288),IF(ISBLANK('06. Phan tich tai chinh_RG'!E212),0,'06. Phan tich tai chinh_RG'!E212))</f>
        <v/>
      </c>
      <c r="G271" s="388" t="n"/>
    </row>
    <row r="272">
      <c r="A272" s="795" t="inlineStr">
        <is>
          <t>CF046</t>
        </is>
      </c>
      <c r="B272" s="795" t="inlineStr">
        <is>
          <t>Chi phí vốn thuần</t>
        </is>
      </c>
      <c r="C272" s="792" t="n"/>
      <c r="D272" s="789">
        <f>IF('01. Thong tin chung'!$B$9="Đầy đủ", IF(ISBLANK('06. Phan tich tai chinh_DD'!C289),0,'06. Phan tich tai chinh_DD'!C289),IF(ISBLANK('06. Phan tich tai chinh_RG'!C213),0,'06. Phan tich tai chinh_RG'!C213))</f>
        <v/>
      </c>
      <c r="E272" s="789">
        <f>IF('01. Thong tin chung'!$B$9="Đầy đủ", IF(ISBLANK('06. Phan tich tai chinh_DD'!D289),0,'06. Phan tich tai chinh_DD'!D289),IF(ISBLANK('06. Phan tich tai chinh_RG'!D213),0,'06. Phan tich tai chinh_RG'!D213))</f>
        <v/>
      </c>
      <c r="F272" s="789">
        <f>IF('01. Thong tin chung'!$B$9="Đầy đủ", IF(ISBLANK('06. Phan tich tai chinh_DD'!E289),0,'06. Phan tich tai chinh_DD'!E289),IF(ISBLANK('06. Phan tich tai chinh_RG'!E213),0,'06. Phan tich tai chinh_RG'!E213))</f>
        <v/>
      </c>
      <c r="G272" s="388" t="n"/>
    </row>
    <row r="273">
      <c r="A273" s="796" t="inlineStr">
        <is>
          <t>CF047</t>
        </is>
      </c>
      <c r="B273" s="796" t="inlineStr">
        <is>
          <t>Biến đổi Hoạt động đầu tư</t>
        </is>
      </c>
      <c r="C273" s="792" t="n"/>
      <c r="D273" s="789">
        <f>IF('01. Thong tin chung'!$B$9="Đầy đủ", IF(ISBLANK('06. Phan tich tai chinh_DD'!C290),0,'06. Phan tich tai chinh_DD'!C290),IF(ISBLANK('06. Phan tich tai chinh_RG'!C214),0,'06. Phan tich tai chinh_RG'!C214))</f>
        <v/>
      </c>
      <c r="E273" s="789">
        <f>IF('01. Thong tin chung'!$B$9="Đầy đủ", IF(ISBLANK('06. Phan tich tai chinh_DD'!D290),0,'06. Phan tich tai chinh_DD'!D290),IF(ISBLANK('06. Phan tich tai chinh_RG'!D214),0,'06. Phan tich tai chinh_RG'!D214))</f>
        <v/>
      </c>
      <c r="F273" s="789">
        <f>IF('01. Thong tin chung'!$B$9="Đầy đủ", IF(ISBLANK('06. Phan tich tai chinh_DD'!E290),0,'06. Phan tich tai chinh_DD'!E290),IF(ISBLANK('06. Phan tich tai chinh_RG'!E214),0,'06. Phan tich tai chinh_RG'!E214))</f>
        <v/>
      </c>
      <c r="G273" s="388" t="n"/>
    </row>
    <row r="274">
      <c r="A274" s="795" t="inlineStr">
        <is>
          <t>CF048</t>
        </is>
      </c>
      <c r="B274" s="795" t="inlineStr">
        <is>
          <t>Tổng Dòng tiền chi phí tài sản vốn và đầu tư</t>
        </is>
      </c>
      <c r="C274" s="792" t="n"/>
      <c r="D274" s="789">
        <f>IF('01. Thong tin chung'!$B$9="Đầy đủ", IF(ISBLANK('06. Phan tich tai chinh_DD'!C291),0,'06. Phan tich tai chinh_DD'!C291),IF(ISBLANK('06. Phan tich tai chinh_RG'!C215),0,'06. Phan tich tai chinh_RG'!C215))</f>
        <v/>
      </c>
      <c r="E274" s="789">
        <f>IF('01. Thong tin chung'!$B$9="Đầy đủ", IF(ISBLANK('06. Phan tich tai chinh_DD'!D291),0,'06. Phan tich tai chinh_DD'!D291),IF(ISBLANK('06. Phan tich tai chinh_RG'!D215),0,'06. Phan tich tai chinh_RG'!D215))</f>
        <v/>
      </c>
      <c r="F274" s="789">
        <f>IF('01. Thong tin chung'!$B$9="Đầy đủ", IF(ISBLANK('06. Phan tich tai chinh_DD'!E291),0,'06. Phan tich tai chinh_DD'!E291),IF(ISBLANK('06. Phan tich tai chinh_RG'!E215),0,'06. Phan tich tai chinh_RG'!E215))</f>
        <v/>
      </c>
      <c r="G274" s="388" t="n"/>
    </row>
    <row r="275">
      <c r="A275" s="795" t="inlineStr">
        <is>
          <t>CF049</t>
        </is>
      </c>
      <c r="B275" s="795" t="inlineStr">
        <is>
          <t>Nhu cầu vốn tài trợ</t>
        </is>
      </c>
      <c r="C275" s="792" t="n"/>
      <c r="D275" s="789">
        <f>IF('01. Thong tin chung'!$B$9="Đầy đủ", IF(ISBLANK('06. Phan tich tai chinh_DD'!C292),0,'06. Phan tich tai chinh_DD'!C292),IF(ISBLANK('06. Phan tich tai chinh_RG'!C216),0,'06. Phan tich tai chinh_RG'!C216))</f>
        <v/>
      </c>
      <c r="E275" s="789">
        <f>IF('01. Thong tin chung'!$B$9="Đầy đủ", IF(ISBLANK('06. Phan tich tai chinh_DD'!D292),0,'06. Phan tich tai chinh_DD'!D292),IF(ISBLANK('06. Phan tich tai chinh_RG'!D216),0,'06. Phan tich tai chinh_RG'!D216))</f>
        <v/>
      </c>
      <c r="F275" s="789">
        <f>IF('01. Thong tin chung'!$B$9="Đầy đủ", IF(ISBLANK('06. Phan tich tai chinh_DD'!E292),0,'06. Phan tich tai chinh_DD'!E292),IF(ISBLANK('06. Phan tich tai chinh_RG'!E216),0,'06. Phan tich tai chinh_RG'!E216))</f>
        <v/>
      </c>
      <c r="G275" s="388" t="n"/>
    </row>
    <row r="276">
      <c r="A276" s="796" t="inlineStr">
        <is>
          <t>CF050</t>
        </is>
      </c>
      <c r="B276" s="796" t="inlineStr">
        <is>
          <t>Biến đổi vay ngắn hạn</t>
        </is>
      </c>
      <c r="C276" s="792" t="n"/>
      <c r="D276" s="789">
        <f>IF('01. Thong tin chung'!$B$9="Đầy đủ", IF(ISBLANK('06. Phan tich tai chinh_DD'!C293),0,'06. Phan tich tai chinh_DD'!C293),IF(ISBLANK('06. Phan tich tai chinh_RG'!C217),0,'06. Phan tich tai chinh_RG'!C217))</f>
        <v/>
      </c>
      <c r="E276" s="789">
        <f>IF('01. Thong tin chung'!$B$9="Đầy đủ", IF(ISBLANK('06. Phan tich tai chinh_DD'!D293),0,'06. Phan tich tai chinh_DD'!D293),IF(ISBLANK('06. Phan tich tai chinh_RG'!D217),0,'06. Phan tich tai chinh_RG'!D217))</f>
        <v/>
      </c>
      <c r="F276" s="789">
        <f>IF('01. Thong tin chung'!$B$9="Đầy đủ", IF(ISBLANK('06. Phan tich tai chinh_DD'!E293),0,'06. Phan tich tai chinh_DD'!E293),IF(ISBLANK('06. Phan tich tai chinh_RG'!E217),0,'06. Phan tich tai chinh_RG'!E217))</f>
        <v/>
      </c>
      <c r="G276" s="388" t="n"/>
    </row>
    <row r="277">
      <c r="A277" s="796" t="inlineStr">
        <is>
          <t>CF051</t>
        </is>
      </c>
      <c r="B277" s="796" t="inlineStr">
        <is>
          <t>Biến đổi vay trung và dài hạn</t>
        </is>
      </c>
      <c r="C277" s="792" t="n"/>
      <c r="D277" s="789">
        <f>IF('01. Thong tin chung'!$B$9="Đầy đủ", IF(ISBLANK('06. Phan tich tai chinh_DD'!C294),0,'06. Phan tich tai chinh_DD'!C294),IF(ISBLANK('06. Phan tich tai chinh_RG'!C218),0,'06. Phan tich tai chinh_RG'!C218))</f>
        <v/>
      </c>
      <c r="E277" s="789">
        <f>IF('01. Thong tin chung'!$B$9="Đầy đủ", IF(ISBLANK('06. Phan tich tai chinh_DD'!D294),0,'06. Phan tich tai chinh_DD'!D294),IF(ISBLANK('06. Phan tich tai chinh_RG'!D218),0,'06. Phan tich tai chinh_RG'!D218))</f>
        <v/>
      </c>
      <c r="F277" s="789">
        <f>IF('01. Thong tin chung'!$B$9="Đầy đủ", IF(ISBLANK('06. Phan tich tai chinh_DD'!E294),0,'06. Phan tich tai chinh_DD'!E294),IF(ISBLANK('06. Phan tich tai chinh_RG'!E218),0,'06. Phan tich tai chinh_RG'!E218))</f>
        <v/>
      </c>
      <c r="G277" s="388" t="n"/>
    </row>
    <row r="278">
      <c r="A278" s="796" t="inlineStr">
        <is>
          <t>CF052</t>
        </is>
      </c>
      <c r="B278" s="796" t="inlineStr">
        <is>
          <t>Biến đổi Vốn góp và quỹ</t>
        </is>
      </c>
      <c r="C278" s="792" t="n"/>
      <c r="D278" s="789">
        <f>IF('01. Thong tin chung'!$B$9="Đầy đủ", IF(ISBLANK('06. Phan tich tai chinh_DD'!C295),0,'06. Phan tich tai chinh_DD'!C295),IF(ISBLANK('06. Phan tich tai chinh_RG'!C219),0,'06. Phan tich tai chinh_RG'!C219))</f>
        <v/>
      </c>
      <c r="E278" s="789">
        <f>IF('01. Thong tin chung'!$B$9="Đầy đủ", IF(ISBLANK('06. Phan tich tai chinh_DD'!D295),0,'06. Phan tich tai chinh_DD'!D295),IF(ISBLANK('06. Phan tich tai chinh_RG'!D219),0,'06. Phan tich tai chinh_RG'!D219))</f>
        <v/>
      </c>
      <c r="F278" s="789">
        <f>IF('01. Thong tin chung'!$B$9="Đầy đủ", IF(ISBLANK('06. Phan tich tai chinh_DD'!E295),0,'06. Phan tich tai chinh_DD'!E295),IF(ISBLANK('06. Phan tich tai chinh_RG'!E219),0,'06. Phan tich tai chinh_RG'!E219))</f>
        <v/>
      </c>
      <c r="G278" s="388" t="n"/>
    </row>
    <row r="279">
      <c r="A279" s="795" t="inlineStr">
        <is>
          <t>CF053</t>
        </is>
      </c>
      <c r="B279" s="795" t="inlineStr">
        <is>
          <t>Tổng số Dòng tiền tài trợ</t>
        </is>
      </c>
      <c r="C279" s="792" t="n"/>
      <c r="D279" s="789">
        <f>IF('01. Thong tin chung'!$B$9="Đầy đủ", IF(ISBLANK('06. Phan tich tai chinh_DD'!C296),0,'06. Phan tich tai chinh_DD'!C296),IF(ISBLANK('06. Phan tich tai chinh_RG'!C220),0,'06. Phan tich tai chinh_RG'!C220))</f>
        <v/>
      </c>
      <c r="E279" s="789">
        <f>IF('01. Thong tin chung'!$B$9="Đầy đủ", IF(ISBLANK('06. Phan tich tai chinh_DD'!D296),0,'06. Phan tich tai chinh_DD'!D296),IF(ISBLANK('06. Phan tich tai chinh_RG'!D220),0,'06. Phan tich tai chinh_RG'!D220))</f>
        <v/>
      </c>
      <c r="F279" s="789">
        <f>IF('01. Thong tin chung'!$B$9="Đầy đủ", IF(ISBLANK('06. Phan tich tai chinh_DD'!E296),0,'06. Phan tich tai chinh_DD'!E296),IF(ISBLANK('06. Phan tich tai chinh_RG'!E220),0,'06. Phan tich tai chinh_RG'!E220))</f>
        <v/>
      </c>
      <c r="G279" s="388" t="n"/>
    </row>
    <row r="280">
      <c r="A280" s="795" t="inlineStr">
        <is>
          <t>CF054</t>
        </is>
      </c>
      <c r="B280" s="795" t="inlineStr">
        <is>
          <t>Biến đổi Dòng tiền theo tính toán</t>
        </is>
      </c>
      <c r="C280" s="792" t="n"/>
      <c r="D280" s="789">
        <f>IF('01. Thong tin chung'!$B$9="Đầy đủ", IF(ISBLANK('06. Phan tich tai chinh_DD'!C297),0,'06. Phan tich tai chinh_DD'!C297),IF(ISBLANK('06. Phan tich tai chinh_RG'!C221),0,'06. Phan tich tai chinh_RG'!C221))</f>
        <v/>
      </c>
      <c r="E280" s="789">
        <f>IF('01. Thong tin chung'!$B$9="Đầy đủ", IF(ISBLANK('06. Phan tich tai chinh_DD'!D297),0,'06. Phan tich tai chinh_DD'!D297),IF(ISBLANK('06. Phan tich tai chinh_RG'!D221),0,'06. Phan tich tai chinh_RG'!D221))</f>
        <v/>
      </c>
      <c r="F280" s="789">
        <f>IF('01. Thong tin chung'!$B$9="Đầy đủ", IF(ISBLANK('06. Phan tich tai chinh_DD'!E297),0,'06. Phan tich tai chinh_DD'!E297),IF(ISBLANK('06. Phan tich tai chinh_RG'!E221),0,'06. Phan tich tai chinh_RG'!E221))</f>
        <v/>
      </c>
      <c r="G280" s="388" t="n"/>
    </row>
    <row r="281">
      <c r="A281" s="796" t="inlineStr">
        <is>
          <t>CF055</t>
        </is>
      </c>
      <c r="B281" s="796" t="inlineStr">
        <is>
          <t>Biến đổi Dòng tiền mặt</t>
        </is>
      </c>
      <c r="C281" s="792" t="n"/>
      <c r="D281" s="789">
        <f>IF('01. Thong tin chung'!$B$9="Đầy đủ", IF(ISBLANK('06. Phan tich tai chinh_DD'!C298),0,'06. Phan tich tai chinh_DD'!C298),IF(ISBLANK('06. Phan tich tai chinh_RG'!C222),0,'06. Phan tich tai chinh_RG'!C222))</f>
        <v/>
      </c>
      <c r="E281" s="789">
        <f>IF('01. Thong tin chung'!$B$9="Đầy đủ", IF(ISBLANK('06. Phan tich tai chinh_DD'!D298),0,'06. Phan tich tai chinh_DD'!D298),IF(ISBLANK('06. Phan tich tai chinh_RG'!D222),0,'06. Phan tich tai chinh_RG'!D222))</f>
        <v/>
      </c>
      <c r="F281" s="789">
        <f>IF('01. Thong tin chung'!$B$9="Đầy đủ", IF(ISBLANK('06. Phan tich tai chinh_DD'!E298),0,'06. Phan tich tai chinh_DD'!E298),IF(ISBLANK('06. Phan tich tai chinh_RG'!E222),0,'06. Phan tich tai chinh_RG'!E222))</f>
        <v/>
      </c>
      <c r="G281" s="388" t="n"/>
    </row>
    <row r="282">
      <c r="A282" s="796" t="inlineStr">
        <is>
          <t>CF056</t>
        </is>
      </c>
      <c r="B282" s="796" t="inlineStr">
        <is>
          <t>Biến đổi Đầu tư chứng khoán ngắn hạn</t>
        </is>
      </c>
      <c r="C282" s="792" t="n"/>
      <c r="D282" s="789">
        <f>IF('01. Thong tin chung'!$B$9="Đầy đủ", IF(ISBLANK('06. Phan tich tai chinh_DD'!C299),0,'06. Phan tich tai chinh_DD'!C299),IF(ISBLANK('06. Phan tich tai chinh_RG'!C223),0,'06. Phan tich tai chinh_RG'!C223))</f>
        <v/>
      </c>
      <c r="E282" s="789">
        <f>IF('01. Thong tin chung'!$B$9="Đầy đủ", IF(ISBLANK('06. Phan tich tai chinh_DD'!D299),0,'06. Phan tich tai chinh_DD'!D299),IF(ISBLANK('06. Phan tich tai chinh_RG'!D223),0,'06. Phan tich tai chinh_RG'!D223))</f>
        <v/>
      </c>
      <c r="F282" s="789">
        <f>IF('01. Thong tin chung'!$B$9="Đầy đủ", IF(ISBLANK('06. Phan tich tai chinh_DD'!E299),0,'06. Phan tich tai chinh_DD'!E299),IF(ISBLANK('06. Phan tich tai chinh_RG'!E223),0,'06. Phan tich tai chinh_RG'!E223))</f>
        <v/>
      </c>
      <c r="G282" s="388" t="n"/>
    </row>
    <row r="283">
      <c r="A283" s="795" t="inlineStr">
        <is>
          <t>CF057</t>
        </is>
      </c>
      <c r="B283" s="795" t="inlineStr">
        <is>
          <t>Biến đổi Dòng tiền thực tế</t>
        </is>
      </c>
      <c r="C283" s="792" t="n"/>
      <c r="D283" s="789">
        <f>IF('01. Thong tin chung'!$B$9="Đầy đủ", IF(ISBLANK('06. Phan tich tai chinh_DD'!C300),0,'06. Phan tich tai chinh_DD'!C300),IF(ISBLANK('06. Phan tich tai chinh_RG'!C224),0,'06. Phan tich tai chinh_RG'!C224))</f>
        <v/>
      </c>
      <c r="E283" s="789">
        <f>IF('01. Thong tin chung'!$B$9="Đầy đủ", IF(ISBLANK('06. Phan tich tai chinh_DD'!D300),0,'06. Phan tich tai chinh_DD'!D300),IF(ISBLANK('06. Phan tich tai chinh_RG'!D224),0,'06. Phan tich tai chinh_RG'!D224))</f>
        <v/>
      </c>
      <c r="F283" s="789">
        <f>IF('01. Thong tin chung'!$B$9="Đầy đủ", IF(ISBLANK('06. Phan tich tai chinh_DD'!E300),0,'06. Phan tich tai chinh_DD'!E300),IF(ISBLANK('06. Phan tich tai chinh_RG'!E224),0,'06. Phan tich tai chinh_RG'!E224))</f>
        <v/>
      </c>
      <c r="G283" s="388" t="n"/>
    </row>
    <row r="284">
      <c r="A284" s="795" t="inlineStr">
        <is>
          <t>CF058</t>
        </is>
      </c>
      <c r="B284" s="795" t="inlineStr">
        <is>
          <t>Chênh lệch =Biến đổi theo tính toán - Biến đổi thực tế</t>
        </is>
      </c>
      <c r="C284" s="792" t="n"/>
      <c r="D284" s="789">
        <f>IF('01. Thong tin chung'!$B$9="Đầy đủ", IF(ISBLANK('06. Phan tich tai chinh_DD'!C301),0,'06. Phan tich tai chinh_DD'!C301),IF(ISBLANK('06. Phan tich tai chinh_RG'!C225),0,'06. Phan tich tai chinh_RG'!C225))</f>
        <v/>
      </c>
      <c r="E284" s="789">
        <f>IF('01. Thong tin chung'!$B$9="Đầy đủ", IF(ISBLANK('06. Phan tich tai chinh_DD'!D301),0,'06. Phan tich tai chinh_DD'!D301),IF(ISBLANK('06. Phan tich tai chinh_RG'!D225),0,'06. Phan tich tai chinh_RG'!D225))</f>
        <v/>
      </c>
      <c r="F284" s="789">
        <f>IF('01. Thong tin chung'!$B$9="Đầy đủ", IF(ISBLANK('06. Phan tich tai chinh_DD'!E301),0,'06. Phan tich tai chinh_DD'!E301),IF(ISBLANK('06. Phan tich tai chinh_RG'!E225),0,'06. Phan tich tai chinh_RG'!E225))</f>
        <v/>
      </c>
      <c r="G284" s="388" t="n"/>
    </row>
    <row r="285">
      <c r="A285" s="796" t="inlineStr">
        <is>
          <t>CF059</t>
        </is>
      </c>
      <c r="B285" s="796" t="inlineStr">
        <is>
          <t>Chi phí khấu hao</t>
        </is>
      </c>
      <c r="C285" s="792" t="n"/>
      <c r="D285" s="789">
        <f>IF('01. Thong tin chung'!$B$9="Đầy đủ", IF(ISBLANK('06. Phan tich tai chinh_DD'!C305),0,'06. Phan tich tai chinh_DD'!C305),IF(ISBLANK('06. Phan tich tai chinh_RG'!C229),0,'06. Phan tich tai chinh_RG'!C229))</f>
        <v/>
      </c>
      <c r="E285" s="789">
        <f>IF('01. Thong tin chung'!$B$9="Đầy đủ", IF(ISBLANK('06. Phan tich tai chinh_DD'!D305),0,'06. Phan tich tai chinh_DD'!D305),IF(ISBLANK('06. Phan tich tai chinh_RG'!D229),0,'06. Phan tich tai chinh_RG'!D229))</f>
        <v/>
      </c>
      <c r="F285" s="789">
        <f>IF('01. Thong tin chung'!$B$9="Đầy đủ", IF(ISBLANK('06. Phan tich tai chinh_DD'!E305),0,'06. Phan tich tai chinh_DD'!E305),IF(ISBLANK('06. Phan tich tai chinh_RG'!E229),0,'06. Phan tich tai chinh_RG'!E229))</f>
        <v/>
      </c>
      <c r="G285" s="388" t="n"/>
    </row>
    <row r="286">
      <c r="A286" s="796" t="inlineStr">
        <is>
          <t>CF060</t>
        </is>
      </c>
      <c r="B286" s="796" t="inlineStr">
        <is>
          <t>Lợi nhuận gộp</t>
        </is>
      </c>
      <c r="C286" s="792" t="n"/>
      <c r="D286" s="789">
        <f>IF('01. Thong tin chung'!$B$9="Đầy đủ", IF(ISBLANK('06. Phan tich tai chinh_DD'!C306),0,'06. Phan tich tai chinh_DD'!C306),IF(ISBLANK('06. Phan tich tai chinh_RG'!C230),0,'06. Phan tich tai chinh_RG'!C230))</f>
        <v/>
      </c>
      <c r="E286" s="789">
        <f>IF('01. Thong tin chung'!$B$9="Đầy đủ", IF(ISBLANK('06. Phan tich tai chinh_DD'!D306),0,'06. Phan tich tai chinh_DD'!D306),IF(ISBLANK('06. Phan tich tai chinh_RG'!D230),0,'06. Phan tich tai chinh_RG'!D230))</f>
        <v/>
      </c>
      <c r="F286" s="789">
        <f>IF('01. Thong tin chung'!$B$9="Đầy đủ", IF(ISBLANK('06. Phan tich tai chinh_DD'!E306),0,'06. Phan tich tai chinh_DD'!E306),IF(ISBLANK('06. Phan tich tai chinh_RG'!E230),0,'06. Phan tich tai chinh_RG'!E230))</f>
        <v/>
      </c>
      <c r="G286" s="388" t="n"/>
    </row>
    <row r="287">
      <c r="A287" s="796" t="inlineStr">
        <is>
          <t>CF061</t>
        </is>
      </c>
      <c r="B287" s="796" t="inlineStr">
        <is>
          <t>Biến đổi Các khoản Phải thu từ người mua</t>
        </is>
      </c>
      <c r="C287" s="792" t="n"/>
      <c r="D287" s="789">
        <f>IF('01. Thong tin chung'!$B$9="Đầy đủ", IF(ISBLANK('06. Phan tich tai chinh_DD'!C307),0,'06. Phan tich tai chinh_DD'!C307),IF(ISBLANK('06. Phan tich tai chinh_RG'!C231),0,'06. Phan tich tai chinh_RG'!C231))</f>
        <v/>
      </c>
      <c r="E287" s="789">
        <f>IF('01. Thong tin chung'!$B$9="Đầy đủ", IF(ISBLANK('06. Phan tich tai chinh_DD'!D307),0,'06. Phan tich tai chinh_DD'!D307),IF(ISBLANK('06. Phan tich tai chinh_RG'!D231),0,'06. Phan tich tai chinh_RG'!D231))</f>
        <v/>
      </c>
      <c r="F287" s="789">
        <f>IF('01. Thong tin chung'!$B$9="Đầy đủ", IF(ISBLANK('06. Phan tich tai chinh_DD'!E307),0,'06. Phan tich tai chinh_DD'!E307),IF(ISBLANK('06. Phan tich tai chinh_RG'!E231),0,'06. Phan tich tai chinh_RG'!E231))</f>
        <v/>
      </c>
      <c r="G287" s="388" t="n"/>
    </row>
    <row r="288">
      <c r="A288" s="796" t="inlineStr">
        <is>
          <t>CF062</t>
        </is>
      </c>
      <c r="B288" s="796" t="inlineStr">
        <is>
          <t>Biến đổi Hàng tồn kho</t>
        </is>
      </c>
      <c r="C288" s="792" t="n"/>
      <c r="D288" s="789">
        <f>IF('01. Thong tin chung'!$B$9="Đầy đủ", IF(ISBLANK('06. Phan tich tai chinh_DD'!C308),0,'06. Phan tich tai chinh_DD'!C308),IF(ISBLANK('06. Phan tich tai chinh_RG'!C232),0,'06. Phan tich tai chinh_RG'!C232))</f>
        <v/>
      </c>
      <c r="E288" s="789">
        <f>IF('01. Thong tin chung'!$B$9="Đầy đủ", IF(ISBLANK('06. Phan tich tai chinh_DD'!D308),0,'06. Phan tich tai chinh_DD'!D308),IF(ISBLANK('06. Phan tich tai chinh_RG'!D232),0,'06. Phan tich tai chinh_RG'!D232))</f>
        <v/>
      </c>
      <c r="F288" s="789">
        <f>IF('01. Thong tin chung'!$B$9="Đầy đủ", IF(ISBLANK('06. Phan tich tai chinh_DD'!E308),0,'06. Phan tich tai chinh_DD'!E308),IF(ISBLANK('06. Phan tich tai chinh_RG'!E232),0,'06. Phan tich tai chinh_RG'!E232))</f>
        <v/>
      </c>
      <c r="G288" s="388" t="n"/>
    </row>
    <row r="289">
      <c r="A289" s="796" t="inlineStr">
        <is>
          <t>CF063</t>
        </is>
      </c>
      <c r="B289" s="796" t="inlineStr">
        <is>
          <t>Biến đổi Các khoản phải trả người bán</t>
        </is>
      </c>
      <c r="C289" s="792" t="n"/>
      <c r="D289" s="789">
        <f>IF('01. Thong tin chung'!$B$9="Đầy đủ", IF(ISBLANK('06. Phan tich tai chinh_DD'!C309),0,'06. Phan tich tai chinh_DD'!C309),IF(ISBLANK('06. Phan tich tai chinh_RG'!C233),0,'06. Phan tich tai chinh_RG'!C233))</f>
        <v/>
      </c>
      <c r="E289" s="789">
        <f>IF('01. Thong tin chung'!$B$9="Đầy đủ", IF(ISBLANK('06. Phan tich tai chinh_DD'!D309),0,'06. Phan tich tai chinh_DD'!D309),IF(ISBLANK('06. Phan tich tai chinh_RG'!D233),0,'06. Phan tich tai chinh_RG'!D233))</f>
        <v/>
      </c>
      <c r="F289" s="789">
        <f>IF('01. Thong tin chung'!$B$9="Đầy đủ", IF(ISBLANK('06. Phan tich tai chinh_DD'!E309),0,'06. Phan tich tai chinh_DD'!E309),IF(ISBLANK('06. Phan tich tai chinh_RG'!E233),0,'06. Phan tich tai chinh_RG'!E233))</f>
        <v/>
      </c>
      <c r="G289" s="388" t="n"/>
    </row>
    <row r="290">
      <c r="A290" s="795" t="inlineStr">
        <is>
          <t>CF064</t>
        </is>
      </c>
      <c r="B290" s="795" t="inlineStr">
        <is>
          <t>Dòng tiền từ hoạt động bán hàng và cung cấp dịch vụ</t>
        </is>
      </c>
      <c r="C290" s="792" t="n"/>
      <c r="D290" s="789">
        <f>IF('01. Thong tin chung'!$B$9="Đầy đủ", IF(ISBLANK('06. Phan tich tai chinh_DD'!C310),0,'06. Phan tich tai chinh_DD'!C310),IF(ISBLANK('06. Phan tich tai chinh_RG'!C234),0,'06. Phan tich tai chinh_RG'!C234))</f>
        <v/>
      </c>
      <c r="E290" s="789">
        <f>IF('01. Thong tin chung'!$B$9="Đầy đủ", IF(ISBLANK('06. Phan tich tai chinh_DD'!D310),0,'06. Phan tich tai chinh_DD'!D310),IF(ISBLANK('06. Phan tich tai chinh_RG'!D234),0,'06. Phan tich tai chinh_RG'!D234))</f>
        <v/>
      </c>
      <c r="F290" s="789">
        <f>IF('01. Thong tin chung'!$B$9="Đầy đủ", IF(ISBLANK('06. Phan tich tai chinh_DD'!E310),0,'06. Phan tich tai chinh_DD'!E310),IF(ISBLANK('06. Phan tich tai chinh_RG'!E234),0,'06. Phan tich tai chinh_RG'!E234))</f>
        <v/>
      </c>
      <c r="G290" s="388" t="n"/>
    </row>
    <row r="291">
      <c r="A291" s="796" t="inlineStr">
        <is>
          <t>CF065</t>
        </is>
      </c>
      <c r="B291" s="796" t="inlineStr">
        <is>
          <t>Dòng tiền Chi phí hoạt động</t>
        </is>
      </c>
      <c r="C291" s="792" t="n"/>
      <c r="D291" s="789">
        <f>IF('01. Thong tin chung'!$B$9="Đầy đủ", IF(ISBLANK('06. Phan tich tai chinh_DD'!C311),0,'06. Phan tich tai chinh_DD'!C311),IF(ISBLANK('06. Phan tich tai chinh_RG'!C235),0,'06. Phan tich tai chinh_RG'!C235))</f>
        <v/>
      </c>
      <c r="E291" s="789">
        <f>IF('01. Thong tin chung'!$B$9="Đầy đủ", IF(ISBLANK('06. Phan tich tai chinh_DD'!D311),0,'06. Phan tich tai chinh_DD'!D311),IF(ISBLANK('06. Phan tich tai chinh_RG'!D235),0,'06. Phan tich tai chinh_RG'!D235))</f>
        <v/>
      </c>
      <c r="F291" s="789">
        <f>IF('01. Thong tin chung'!$B$9="Đầy đủ", IF(ISBLANK('06. Phan tich tai chinh_DD'!E311),0,'06. Phan tich tai chinh_DD'!E311),IF(ISBLANK('06. Phan tich tai chinh_RG'!E235),0,'06. Phan tich tai chinh_RG'!E235))</f>
        <v/>
      </c>
      <c r="G291" s="388" t="n"/>
    </row>
    <row r="292">
      <c r="A292" s="795" t="inlineStr">
        <is>
          <t>CF066</t>
        </is>
      </c>
      <c r="B292" s="795" t="inlineStr">
        <is>
          <t>Dòng tiền thuần từ hoạt động</t>
        </is>
      </c>
      <c r="C292" s="792" t="n"/>
      <c r="D292" s="789">
        <f>IF('01. Thong tin chung'!$B$9="Đầy đủ", IF(ISBLANK('06. Phan tich tai chinh_DD'!C312),0,'06. Phan tich tai chinh_DD'!C312),IF(ISBLANK('06. Phan tich tai chinh_RG'!C236),0,'06. Phan tich tai chinh_RG'!C236))</f>
        <v/>
      </c>
      <c r="E292" s="789">
        <f>IF('01. Thong tin chung'!$B$9="Đầy đủ", IF(ISBLANK('06. Phan tich tai chinh_DD'!D312),0,'06. Phan tich tai chinh_DD'!D312),IF(ISBLANK('06. Phan tich tai chinh_RG'!D236),0,'06. Phan tich tai chinh_RG'!D236))</f>
        <v/>
      </c>
      <c r="F292" s="789">
        <f>IF('01. Thong tin chung'!$B$9="Đầy đủ", IF(ISBLANK('06. Phan tich tai chinh_DD'!E312),0,'06. Phan tich tai chinh_DD'!E312),IF(ISBLANK('06. Phan tich tai chinh_RG'!E236),0,'06. Phan tich tai chinh_RG'!E236))</f>
        <v/>
      </c>
      <c r="G292" s="388" t="n"/>
    </row>
    <row r="293">
      <c r="A293" s="796" t="inlineStr">
        <is>
          <t>CF067</t>
        </is>
      </c>
      <c r="B293" s="796" t="inlineStr">
        <is>
          <t>Biến đổi từ các hoạt động bất thường</t>
        </is>
      </c>
      <c r="C293" s="792" t="n"/>
      <c r="D293" s="789">
        <f>IF('01. Thong tin chung'!$B$9="Đầy đủ", IF(ISBLANK('06. Phan tich tai chinh_DD'!C313),0,'06. Phan tich tai chinh_DD'!C313),IF(ISBLANK('06. Phan tich tai chinh_RG'!C237),0,'06. Phan tich tai chinh_RG'!C237))</f>
        <v/>
      </c>
      <c r="E293" s="789">
        <f>IF('01. Thong tin chung'!$B$9="Đầy đủ", IF(ISBLANK('06. Phan tich tai chinh_DD'!D313),0,'06. Phan tich tai chinh_DD'!D313),IF(ISBLANK('06. Phan tich tai chinh_RG'!D237),0,'06. Phan tich tai chinh_RG'!D237))</f>
        <v/>
      </c>
      <c r="F293" s="789">
        <f>IF('01. Thong tin chung'!$B$9="Đầy đủ", IF(ISBLANK('06. Phan tich tai chinh_DD'!E313),0,'06. Phan tich tai chinh_DD'!E313),IF(ISBLANK('06. Phan tich tai chinh_RG'!E237),0,'06. Phan tich tai chinh_RG'!E237))</f>
        <v/>
      </c>
      <c r="G293" s="388" t="n"/>
    </row>
    <row r="294">
      <c r="A294" s="796" t="inlineStr">
        <is>
          <t>CF068</t>
        </is>
      </c>
      <c r="B294" s="796" t="inlineStr">
        <is>
          <t>Dòng tiền thuế đã nộp trong kỳ</t>
        </is>
      </c>
      <c r="C294" s="792" t="n"/>
      <c r="D294" s="789">
        <f>IF('01. Thong tin chung'!$B$9="Đầy đủ", IF(ISBLANK('06. Phan tich tai chinh_DD'!C314),0,'06. Phan tich tai chinh_DD'!C314),IF(ISBLANK('06. Phan tich tai chinh_RG'!C238),0,'06. Phan tich tai chinh_RG'!C238))</f>
        <v/>
      </c>
      <c r="E294" s="789">
        <f>IF('01. Thong tin chung'!$B$9="Đầy đủ", IF(ISBLANK('06. Phan tich tai chinh_DD'!D314),0,'06. Phan tich tai chinh_DD'!D314),IF(ISBLANK('06. Phan tich tai chinh_RG'!D238),0,'06. Phan tich tai chinh_RG'!D238))</f>
        <v/>
      </c>
      <c r="F294" s="789">
        <f>IF('01. Thong tin chung'!$B$9="Đầy đủ", IF(ISBLANK('06. Phan tich tai chinh_DD'!E314),0,'06. Phan tich tai chinh_DD'!E314),IF(ISBLANK('06. Phan tich tai chinh_RG'!E238),0,'06. Phan tich tai chinh_RG'!E238))</f>
        <v/>
      </c>
      <c r="G294" s="388" t="n"/>
    </row>
    <row r="295">
      <c r="A295" s="796" t="inlineStr">
        <is>
          <t>CF069</t>
        </is>
      </c>
      <c r="B295" s="796" t="inlineStr">
        <is>
          <t>Dòng tiền chi phí trong hoạt động tài chính</t>
        </is>
      </c>
      <c r="C295" s="792" t="n"/>
      <c r="D295" s="789">
        <f>IF('01. Thong tin chung'!$B$9="Đầy đủ", IF(ISBLANK('06. Phan tich tai chinh_DD'!C315),0,'06. Phan tich tai chinh_DD'!C315),IF(ISBLANK('06. Phan tich tai chinh_RG'!C239),0,'06. Phan tich tai chinh_RG'!C239))</f>
        <v/>
      </c>
      <c r="E295" s="789">
        <f>IF('01. Thong tin chung'!$B$9="Đầy đủ", IF(ISBLANK('06. Phan tich tai chinh_DD'!D315),0,'06. Phan tich tai chinh_DD'!D315),IF(ISBLANK('06. Phan tich tai chinh_RG'!D239),0,'06. Phan tich tai chinh_RG'!D239))</f>
        <v/>
      </c>
      <c r="F295" s="789">
        <f>IF('01. Thong tin chung'!$B$9="Đầy đủ", IF(ISBLANK('06. Phan tich tai chinh_DD'!E315),0,'06. Phan tich tai chinh_DD'!E315),IF(ISBLANK('06. Phan tich tai chinh_RG'!E239),0,'06. Phan tich tai chinh_RG'!E239))</f>
        <v/>
      </c>
      <c r="G295" s="388" t="n"/>
    </row>
    <row r="296">
      <c r="A296" s="795" t="inlineStr">
        <is>
          <t>CF070</t>
        </is>
      </c>
      <c r="B296" s="795" t="inlineStr">
        <is>
          <t>Dòng tiền lợi nhuận ròng</t>
        </is>
      </c>
      <c r="C296" s="792" t="n"/>
      <c r="D296" s="789">
        <f>IF('01. Thong tin chung'!$B$9="Đầy đủ", IF(ISBLANK('06. Phan tich tai chinh_DD'!C316),0,'06. Phan tich tai chinh_DD'!C316),IF(ISBLANK('06. Phan tich tai chinh_RG'!C240),0,'06. Phan tich tai chinh_RG'!C240))</f>
        <v/>
      </c>
      <c r="E296" s="789">
        <f>IF('01. Thong tin chung'!$B$9="Đầy đủ", IF(ISBLANK('06. Phan tich tai chinh_DD'!D316),0,'06. Phan tich tai chinh_DD'!D316),IF(ISBLANK('06. Phan tich tai chinh_RG'!D240),0,'06. Phan tich tai chinh_RG'!D240))</f>
        <v/>
      </c>
      <c r="F296" s="789">
        <f>IF('01. Thong tin chung'!$B$9="Đầy đủ", IF(ISBLANK('06. Phan tich tai chinh_DD'!E316),0,'06. Phan tich tai chinh_DD'!E316),IF(ISBLANK('06. Phan tich tai chinh_RG'!E240),0,'06. Phan tich tai chinh_RG'!E240))</f>
        <v/>
      </c>
      <c r="G296" s="388" t="n"/>
    </row>
    <row r="297">
      <c r="A297" s="796" t="inlineStr">
        <is>
          <t>CF071</t>
        </is>
      </c>
      <c r="B297" s="796" t="inlineStr">
        <is>
          <t>Dòng tiền chi phí tài sản vốn và đầu tư</t>
        </is>
      </c>
      <c r="C297" s="792" t="n"/>
      <c r="D297" s="789">
        <f>IF('01. Thong tin chung'!$B$9="Đầy đủ", IF(ISBLANK('06. Phan tich tai chinh_DD'!C317),0,'06. Phan tich tai chinh_DD'!C317),IF(ISBLANK('06. Phan tich tai chinh_RG'!C241),0,'06. Phan tich tai chinh_RG'!C241))</f>
        <v/>
      </c>
      <c r="E297" s="789">
        <f>IF('01. Thong tin chung'!$B$9="Đầy đủ", IF(ISBLANK('06. Phan tich tai chinh_DD'!D317),0,'06. Phan tich tai chinh_DD'!D317),IF(ISBLANK('06. Phan tich tai chinh_RG'!D241),0,'06. Phan tich tai chinh_RG'!D241))</f>
        <v/>
      </c>
      <c r="F297" s="789">
        <f>IF('01. Thong tin chung'!$B$9="Đầy đủ", IF(ISBLANK('06. Phan tich tai chinh_DD'!E317),0,'06. Phan tich tai chinh_DD'!E317),IF(ISBLANK('06. Phan tich tai chinh_RG'!E241),0,'06. Phan tich tai chinh_RG'!E241))</f>
        <v/>
      </c>
      <c r="G297" s="388" t="n"/>
    </row>
    <row r="298">
      <c r="A298" s="796" t="inlineStr">
        <is>
          <t>CF072</t>
        </is>
      </c>
      <c r="B298" s="796" t="inlineStr">
        <is>
          <t>Dòng tiền tài trợ</t>
        </is>
      </c>
      <c r="C298" s="792" t="n"/>
      <c r="D298" s="789">
        <f>IF('01. Thong tin chung'!$B$9="Đầy đủ", IF(ISBLANK('06. Phan tich tai chinh_DD'!C318),0,'06. Phan tich tai chinh_DD'!C318),IF(ISBLANK('06. Phan tich tai chinh_RG'!C242),0,'06. Phan tich tai chinh_RG'!C242))</f>
        <v/>
      </c>
      <c r="E298" s="789">
        <f>IF('01. Thong tin chung'!$B$9="Đầy đủ", IF(ISBLANK('06. Phan tich tai chinh_DD'!D318),0,'06. Phan tich tai chinh_DD'!D318),IF(ISBLANK('06. Phan tich tai chinh_RG'!D242),0,'06. Phan tich tai chinh_RG'!D242))</f>
        <v/>
      </c>
      <c r="F298" s="789">
        <f>IF('01. Thong tin chung'!$B$9="Đầy đủ", IF(ISBLANK('06. Phan tich tai chinh_DD'!E318),0,'06. Phan tich tai chinh_DD'!E318),IF(ISBLANK('06. Phan tich tai chinh_RG'!E242),0,'06. Phan tich tai chinh_RG'!E242))</f>
        <v/>
      </c>
      <c r="G298" s="388" t="n"/>
    </row>
    <row r="299">
      <c r="A299" s="795" t="inlineStr">
        <is>
          <t>CF073</t>
        </is>
      </c>
      <c r="B299" s="795" t="inlineStr">
        <is>
          <t>Biến đổi Dòng tiền theo tính toán</t>
        </is>
      </c>
      <c r="C299" s="792" t="n"/>
      <c r="D299" s="789">
        <f>IF('01. Thong tin chung'!$B$9="Đầy đủ", IF(ISBLANK('06. Phan tich tai chinh_DD'!C319),0,'06. Phan tich tai chinh_DD'!C319),IF(ISBLANK('06. Phan tich tai chinh_RG'!C243),0,'06. Phan tich tai chinh_RG'!C243))</f>
        <v/>
      </c>
      <c r="E299" s="789">
        <f>IF('01. Thong tin chung'!$B$9="Đầy đủ", IF(ISBLANK('06. Phan tich tai chinh_DD'!D319),0,'06. Phan tich tai chinh_DD'!D319),IF(ISBLANK('06. Phan tich tai chinh_RG'!D243),0,'06. Phan tich tai chinh_RG'!D243))</f>
        <v/>
      </c>
      <c r="F299" s="789">
        <f>IF('01. Thong tin chung'!$B$9="Đầy đủ", IF(ISBLANK('06. Phan tich tai chinh_DD'!E319),0,'06. Phan tich tai chinh_DD'!E319),IF(ISBLANK('06. Phan tich tai chinh_RG'!E243),0,'06. Phan tich tai chinh_RG'!E243))</f>
        <v/>
      </c>
      <c r="G299" s="388" t="n"/>
    </row>
    <row r="300">
      <c r="A300" s="796" t="inlineStr">
        <is>
          <t>CF074</t>
        </is>
      </c>
      <c r="B300" s="796" t="inlineStr">
        <is>
          <t>Hệ số khả năng trả nợ gốc trung, dài hạn = (LN thuần sau thuế trong kỳ + khấu hao trong kỳ)/ Vốn vay đầu tư trung dài hạn (lần)</t>
        </is>
      </c>
      <c r="C300" s="792" t="n"/>
      <c r="D300" s="789">
        <f>IF('01. Thong tin chung'!$B$9="Đầy đủ", IF(ISBLANK('06. Phan tich tai chinh_DD'!C322),0,'06. Phan tich tai chinh_DD'!C322),IF(ISBLANK('06. Phan tich tai chinh_RG'!C246),0,'06. Phan tich tai chinh_RG'!C246))</f>
        <v/>
      </c>
      <c r="E300" s="789">
        <f>IF('01. Thong tin chung'!$B$9="Đầy đủ", IF(ISBLANK('06. Phan tich tai chinh_DD'!D322),0,'06. Phan tich tai chinh_DD'!D322),IF(ISBLANK('06. Phan tich tai chinh_RG'!D246),0,'06. Phan tich tai chinh_RG'!D246))</f>
        <v/>
      </c>
      <c r="F300" s="789">
        <f>IF('01. Thong tin chung'!$B$9="Đầy đủ", IF(ISBLANK('06. Phan tich tai chinh_DD'!E322),0,'06. Phan tich tai chinh_DD'!E322),IF(ISBLANK('06. Phan tich tai chinh_RG'!E246),0,'06. Phan tich tai chinh_RG'!E246))</f>
        <v/>
      </c>
      <c r="G300" s="388" t="n"/>
    </row>
    <row r="301">
      <c r="A301" s="796" t="inlineStr">
        <is>
          <t>CF075</t>
        </is>
      </c>
      <c r="B301" s="796" t="inlineStr">
        <is>
          <t>Hệ số khả năng trả lãi = EBIT / Chi phí trả lãi hàng năm (lần)</t>
        </is>
      </c>
      <c r="C301" s="792" t="n"/>
      <c r="D301" s="789">
        <f>IF('01. Thong tin chung'!$B$9="Đầy đủ", IF(ISBLANK('06. Phan tich tai chinh_DD'!C323),0,'06. Phan tich tai chinh_DD'!C323),IF(ISBLANK('06. Phan tich tai chinh_RG'!C247),0,'06. Phan tich tai chinh_RG'!C247))</f>
        <v/>
      </c>
      <c r="E301" s="789">
        <f>IF('01. Thong tin chung'!$B$9="Đầy đủ", IF(ISBLANK('06. Phan tich tai chinh_DD'!D323),0,'06. Phan tich tai chinh_DD'!D323),IF(ISBLANK('06. Phan tich tai chinh_RG'!D247),0,'06. Phan tich tai chinh_RG'!D247))</f>
        <v/>
      </c>
      <c r="F301" s="789">
        <f>IF('01. Thong tin chung'!$B$9="Đầy đủ", IF(ISBLANK('06. Phan tich tai chinh_DD'!E323),0,'06. Phan tich tai chinh_DD'!E323),IF(ISBLANK('06. Phan tich tai chinh_RG'!E247),0,'06. Phan tich tai chinh_RG'!E247))</f>
        <v/>
      </c>
      <c r="G301" s="388" t="n"/>
    </row>
    <row r="302">
      <c r="A302" s="796" t="inlineStr">
        <is>
          <t>CF076</t>
        </is>
      </c>
      <c r="B302" s="796" t="inlineStr">
        <is>
          <t>Hệ số dòng tiền = Tiền phát sinh từ HDKD / LN sau thuế và lãi (lần)</t>
        </is>
      </c>
      <c r="C302" s="792" t="n"/>
      <c r="D302" s="789">
        <f>IF('01. Thong tin chung'!$B$9="Đầy đủ", IF(ISBLANK('06. Phan tich tai chinh_DD'!C324),0,'06. Phan tich tai chinh_DD'!C324),IF(ISBLANK('06. Phan tich tai chinh_RG'!C248),0,'06. Phan tich tai chinh_RG'!C248))</f>
        <v/>
      </c>
      <c r="E302" s="789">
        <f>IF('01. Thong tin chung'!$B$9="Đầy đủ", IF(ISBLANK('06. Phan tich tai chinh_DD'!D324),0,'06. Phan tich tai chinh_DD'!D324),IF(ISBLANK('06. Phan tich tai chinh_RG'!D248),0,'06. Phan tich tai chinh_RG'!D248))</f>
        <v/>
      </c>
      <c r="F302" s="789">
        <f>IF('01. Thong tin chung'!$B$9="Đầy đủ", IF(ISBLANK('06. Phan tich tai chinh_DD'!E324),0,'06. Phan tich tai chinh_DD'!E324),IF(ISBLANK('06. Phan tich tai chinh_RG'!E248),0,'06. Phan tich tai chinh_RG'!E248))</f>
        <v/>
      </c>
      <c r="G302" s="388" t="n"/>
    </row>
    <row r="303">
      <c r="A303" s="796" t="inlineStr">
        <is>
          <t>CF077</t>
        </is>
      </c>
      <c r="B303" s="796" t="inlineStr">
        <is>
          <t>Hệ số dòng tiền được dùng để tái đầu tư = (Biến đổi TSCD hữu hình + biến đổi từ TSLD thuần) / (LN sau thuần sau thuế + khấu hao) (lần)</t>
        </is>
      </c>
      <c r="C303" s="792" t="n"/>
      <c r="D303" s="789">
        <f>IF('01. Thong tin chung'!$B$9="Đầy đủ", IF(ISBLANK('06. Phan tich tai chinh_DD'!C325),0,'06. Phan tich tai chinh_DD'!C325),IF(ISBLANK('06. Phan tich tai chinh_RG'!C249),0,'06. Phan tich tai chinh_RG'!C249))</f>
        <v/>
      </c>
      <c r="E303" s="789">
        <f>IF('01. Thong tin chung'!$B$9="Đầy đủ", IF(ISBLANK('06. Phan tich tai chinh_DD'!D325),0,'06. Phan tich tai chinh_DD'!D325),IF(ISBLANK('06. Phan tich tai chinh_RG'!D249),0,'06. Phan tich tai chinh_RG'!D249))</f>
        <v/>
      </c>
      <c r="F303" s="789">
        <f>IF('01. Thong tin chung'!$B$9="Đầy đủ", IF(ISBLANK('06. Phan tich tai chinh_DD'!E325),0,'06. Phan tich tai chinh_DD'!E325),IF(ISBLANK('06. Phan tich tai chinh_RG'!E249),0,'06. Phan tich tai chinh_RG'!E249))</f>
        <v/>
      </c>
      <c r="G303" s="388" t="n"/>
    </row>
    <row r="304">
      <c r="A304" s="796" t="inlineStr">
        <is>
          <t>CF078</t>
        </is>
      </c>
      <c r="B304" s="796" t="inlineStr">
        <is>
          <t>Luồng tiền từ hoạt động kinh doanh/ nợ ngắn hạn</t>
        </is>
      </c>
      <c r="C304" s="792" t="n"/>
      <c r="D304" s="789">
        <f>IF('01. Thong tin chung'!$B$9="Đầy đủ", IF(ISBLANK('06. Phan tich tai chinh_DD'!C326),0,'06. Phan tich tai chinh_DD'!C326),IF(ISBLANK('06. Phan tich tai chinh_RG'!C250),0,'06. Phan tich tai chinh_RG'!C250))</f>
        <v/>
      </c>
      <c r="E304" s="789">
        <f>IF('01. Thong tin chung'!$B$9="Đầy đủ", IF(ISBLANK('06. Phan tich tai chinh_DD'!D326),0,'06. Phan tich tai chinh_DD'!D326),IF(ISBLANK('06. Phan tich tai chinh_RG'!D250),0,'06. Phan tich tai chinh_RG'!D250))</f>
        <v/>
      </c>
      <c r="F304" s="789">
        <f>IF('01. Thong tin chung'!$B$9="Đầy đủ", IF(ISBLANK('06. Phan tich tai chinh_DD'!E326),0,'06. Phan tich tai chinh_DD'!E326),IF(ISBLANK('06. Phan tich tai chinh_RG'!E250),0,'06. Phan tich tai chinh_RG'!E250))</f>
        <v/>
      </c>
      <c r="G304" s="388" t="n"/>
    </row>
    <row r="305">
      <c r="A305" s="796" t="inlineStr">
        <is>
          <t>ER001</t>
        </is>
      </c>
      <c r="B305" s="796" t="inlineStr">
        <is>
          <t>Nợ phải trả</t>
        </is>
      </c>
      <c r="C305" s="793" t="n"/>
      <c r="D305" s="793" t="n"/>
      <c r="E305" s="789">
        <f>IF('01. Thong tin chung'!$B$9="Đầy đủ", IF(ISBLANK('06. Phan tich tai chinh_DD'!J157),0,'06. Phan tich tai chinh_DD'!J157),IF(ISBLANK('06. Phan tich tai chinh_RG'!J82),0,'06. Phan tich tai chinh_RG'!J82))</f>
        <v/>
      </c>
      <c r="F305" s="804" t="n"/>
      <c r="I305">
        <f>IF(ISBLANK('06. Phan tich tai chinh_DD'!N157),'06. Phan tich tai chinh_RG'!N82,'06. Phan tich tai chinh_DD'!N157)</f>
        <v/>
      </c>
    </row>
    <row r="306">
      <c r="A306" s="796" t="inlineStr">
        <is>
          <t>ER002</t>
        </is>
      </c>
      <c r="B306" s="796" t="inlineStr">
        <is>
          <t>Nợ ngắn hạn</t>
        </is>
      </c>
      <c r="C306" s="793" t="n"/>
      <c r="D306" s="793" t="n"/>
      <c r="E306" s="789">
        <f>IF('01. Thong tin chung'!$B$9="Đầy đủ",'06. Phan tich tai chinh_DD'!J158,-99999)</f>
        <v/>
      </c>
      <c r="F306" s="804" t="n"/>
    </row>
    <row r="307">
      <c r="A307" s="796" t="inlineStr">
        <is>
          <t>ER003</t>
        </is>
      </c>
      <c r="B307" s="796" t="inlineStr">
        <is>
          <t>Nợ vay ngắn hạn (điều chỉnh)</t>
        </is>
      </c>
      <c r="C307" s="793" t="n"/>
      <c r="D307" s="793" t="n"/>
      <c r="E307" s="789">
        <f>IF('01. Thong tin chung'!$B$9="Đầy đủ",'06. Phan tich tai chinh_DD'!J159,-99999)</f>
        <v/>
      </c>
      <c r="F307" s="804" t="n"/>
    </row>
    <row r="308">
      <c r="A308" s="796" t="inlineStr">
        <is>
          <t>ER004</t>
        </is>
      </c>
      <c r="B308" s="796" t="inlineStr">
        <is>
          <t>Vốn CSH (điều chỉnh)</t>
        </is>
      </c>
      <c r="C308" s="793" t="n"/>
      <c r="D308" s="793" t="n"/>
      <c r="E308" s="789">
        <f>IF('01. Thong tin chung'!$B$9="Đầy đủ", IF(ISBLANK('06. Phan tich tai chinh_DD'!J160),0,'06. Phan tich tai chinh_DD'!J160),IF(ISBLANK('06. Phan tich tai chinh_RG'!J85),0,'06. Phan tich tai chinh_RG'!J85))</f>
        <v/>
      </c>
      <c r="F308" s="804" t="n"/>
    </row>
    <row r="309">
      <c r="A309" s="796" t="inlineStr">
        <is>
          <t>ER005</t>
        </is>
      </c>
      <c r="B309" s="796" t="inlineStr">
        <is>
          <t>Lợi nhuận sản xuất kinh doanh</t>
        </is>
      </c>
      <c r="C309" s="793" t="n"/>
      <c r="D309" s="793" t="n"/>
      <c r="E309" s="789">
        <f>IF('01. Thong tin chung'!$B$9="Đầy đủ", IF(ISBLANK('06. Phan tich tai chinh_DD'!J161),0,'06. Phan tich tai chinh_DD'!J161),IF(ISBLANK('06. Phan tich tai chinh_RG'!J86),0,'06. Phan tich tai chinh_RG'!J86))</f>
        <v/>
      </c>
      <c r="F309" s="804" t="n"/>
    </row>
    <row r="310">
      <c r="A310" s="796" t="inlineStr">
        <is>
          <t>ER006</t>
        </is>
      </c>
      <c r="B310" s="796" t="inlineStr">
        <is>
          <t>Lợi nhuận sau thuế</t>
        </is>
      </c>
      <c r="C310" s="793" t="n"/>
      <c r="D310" s="793" t="n"/>
      <c r="E310" s="789">
        <f>IF('01. Thong tin chung'!$B$9="Đầy đủ", IF(ISBLANK('06. Phan tich tai chinh_DD'!J162),0,'06. Phan tich tai chinh_DD'!J162),IF(ISBLANK('06. Phan tich tai chinh_RG'!J87),0,'06. Phan tich tai chinh_RG'!J87))</f>
        <v/>
      </c>
      <c r="F310" s="804" t="n"/>
    </row>
    <row r="311">
      <c r="A311" s="796" t="inlineStr">
        <is>
          <t>ER007</t>
        </is>
      </c>
      <c r="B311" s="796" t="inlineStr">
        <is>
          <t xml:space="preserve">Khả năng thanh toán hiện hành </t>
        </is>
      </c>
      <c r="C311" s="793" t="n"/>
      <c r="D311" s="793" t="n"/>
      <c r="E311" s="789">
        <f>IF('01. Thong tin chung'!$B$9="Đầy đủ",'06. Phan tich tai chinh_DD'!J168,-99999)</f>
        <v/>
      </c>
      <c r="F311" s="804" t="n"/>
    </row>
    <row r="312">
      <c r="A312" s="796" t="inlineStr">
        <is>
          <t>ER008</t>
        </is>
      </c>
      <c r="B312" s="796" t="inlineStr">
        <is>
          <t>Khả năng thanh toán tức thời</t>
        </is>
      </c>
      <c r="C312" s="793" t="n"/>
      <c r="D312" s="793" t="n"/>
      <c r="E312" s="789">
        <f>IF('01. Thong tin chung'!$B$9="Đầy đủ",'06. Phan tich tai chinh_DD'!J169,-99999)</f>
        <v/>
      </c>
      <c r="F312" s="804" t="n"/>
    </row>
    <row r="313">
      <c r="A313" s="796" t="inlineStr">
        <is>
          <t>ER009</t>
        </is>
      </c>
      <c r="B313" s="796" t="inlineStr">
        <is>
          <t>Khả năng thực hiện nghĩa vụ trả nợ ngắn hạn</t>
        </is>
      </c>
      <c r="C313" s="793" t="n"/>
      <c r="D313" s="793" t="n"/>
      <c r="E313" s="789">
        <f>IF('01. Thong tin chung'!$B$9="Đầy đủ",'06. Phan tich tai chinh_DD'!J170,-99999)</f>
        <v/>
      </c>
      <c r="F313" s="804" t="n"/>
    </row>
    <row r="314">
      <c r="A314" s="796" t="inlineStr">
        <is>
          <t>ER010</t>
        </is>
      </c>
      <c r="B314" s="796" t="inlineStr">
        <is>
          <t>Tổng nợ/Tổng tài sản</t>
        </is>
      </c>
      <c r="C314" s="793" t="n"/>
      <c r="D314" s="793" t="n"/>
      <c r="E314" s="789">
        <f>IF('01. Thong tin chung'!$B$9="Đầy đủ", IF(ISBLANK('06. Phan tich tai chinh_DD'!J173),0,'06. Phan tich tai chinh_DD'!J173),IF(ISBLANK('06. Phan tich tai chinh_RG'!J98),0,'06. Phan tich tai chinh_RG'!J98))</f>
        <v/>
      </c>
      <c r="F314" s="804" t="n"/>
    </row>
    <row r="315">
      <c r="A315" s="796" t="inlineStr">
        <is>
          <t>ER011</t>
        </is>
      </c>
      <c r="B315" s="796" t="inlineStr">
        <is>
          <t>Tổng nợ/Vốn chủ sở hữu</t>
        </is>
      </c>
      <c r="C315" s="793" t="n"/>
      <c r="D315" s="793" t="n"/>
      <c r="E315" s="789">
        <f>IF('01. Thong tin chung'!$B$9="Đầy đủ", IF(ISBLANK('06. Phan tich tai chinh_DD'!J174),0,'06. Phan tich tai chinh_DD'!J174),IF(ISBLANK('06. Phan tich tai chinh_RG'!J99),0,'06. Phan tich tai chinh_RG'!J99))</f>
        <v/>
      </c>
      <c r="F315" s="804" t="n"/>
    </row>
    <row r="316">
      <c r="A316" s="796" t="inlineStr">
        <is>
          <t>ER012</t>
        </is>
      </c>
      <c r="B316" s="796" t="inlineStr">
        <is>
          <t>Lợi nhuận sau thuế/Tổng tài sản</t>
        </is>
      </c>
      <c r="C316" s="793" t="n"/>
      <c r="D316" s="793" t="n"/>
      <c r="E316" s="789">
        <f>IF('01. Thong tin chung'!$B$9="Đầy đủ", IF(ISBLANK('06. Phan tich tai chinh_DD'!J175),0,'06. Phan tich tai chinh_DD'!J175),IF(ISBLANK('06. Phan tich tai chinh_RG'!J100),0,'06. Phan tich tai chinh_RG'!J100))</f>
        <v/>
      </c>
      <c r="F316" s="804" t="n"/>
    </row>
    <row r="317">
      <c r="A317" s="796" t="inlineStr">
        <is>
          <t>ER013</t>
        </is>
      </c>
      <c r="B317" s="796" t="inlineStr">
        <is>
          <t>Doanh thu thuần/Nợ vay ngắn hạn</t>
        </is>
      </c>
      <c r="C317" s="793" t="n"/>
      <c r="D317" s="793" t="n"/>
      <c r="E317" s="789">
        <f>IF('01. Thong tin chung'!$B$9="Đầy đủ",'06. Phan tich tai chinh_DD'!J176,-99999)</f>
        <v/>
      </c>
      <c r="F317" s="804" t="n"/>
    </row>
    <row r="318">
      <c r="A318" s="796" t="inlineStr">
        <is>
          <t>ER014</t>
        </is>
      </c>
      <c r="B318" s="796" t="inlineStr">
        <is>
          <t>Doanh thu thuần/Tổng nợ</t>
        </is>
      </c>
      <c r="C318" s="793" t="n"/>
      <c r="D318" s="793" t="n"/>
      <c r="E318" s="789">
        <f>IF('01. Thong tin chung'!$B$9="Đầy đủ", IF(ISBLANK('06. Phan tich tai chinh_DD'!J178),0,'06. Phan tich tai chinh_DD'!J178),IF(ISBLANK('06. Phan tich tai chinh_RG'!J103),0,'06. Phan tich tai chinh_RG'!J103))</f>
        <v/>
      </c>
      <c r="F318" s="804" t="n"/>
    </row>
    <row r="319">
      <c r="A319" s="796" t="inlineStr">
        <is>
          <t>ER015</t>
        </is>
      </c>
      <c r="B319" s="796" t="inlineStr">
        <is>
          <t>Phải thu ngắn hạn khách hàng</t>
        </is>
      </c>
      <c r="C319" s="793" t="n"/>
      <c r="D319" s="793" t="n"/>
      <c r="E319" s="789">
        <f>IF('01. Thong tin chung'!$B$9="Đầy đủ", IF(ISBLANK('06. Phan tich tai chinh_DD'!J163),0,'06. Phan tich tai chinh_DD'!J163),IF(ISBLANK('06. Phan tich tai chinh_RG'!J88),0,'06. Phan tich tai chinh_RG'!J88))</f>
        <v/>
      </c>
      <c r="F319" s="804" t="n"/>
    </row>
    <row r="320">
      <c r="A320" s="796" t="inlineStr">
        <is>
          <t>ER016</t>
        </is>
      </c>
      <c r="B320" s="796" t="inlineStr">
        <is>
          <t>Tài sản ngắn hạn</t>
        </is>
      </c>
      <c r="C320" s="793" t="n"/>
      <c r="D320" s="793" t="n"/>
      <c r="E320" s="789">
        <f>IF('01. Thong tin chung'!$B$9="Đầy đủ",'06. Phan tich tai chinh_DD'!J164,-99999)</f>
        <v/>
      </c>
      <c r="F320" s="804" t="n"/>
    </row>
    <row r="321">
      <c r="A321" s="796" t="inlineStr">
        <is>
          <t>ER017</t>
        </is>
      </c>
      <c r="B321" s="796" t="inlineStr">
        <is>
          <t>Tổng tài sản</t>
        </is>
      </c>
      <c r="C321" s="793" t="n"/>
      <c r="D321" s="793" t="n"/>
      <c r="E321" s="789">
        <f>IF('01. Thong tin chung'!$B$9="Đầy đủ", IF(ISBLANK('06. Phan tich tai chinh_DD'!J165),0,'06. Phan tich tai chinh_DD'!J165),IF(ISBLANK('06. Phan tich tai chinh_RG'!J90),0,'06. Phan tich tai chinh_RG'!J90))</f>
        <v/>
      </c>
      <c r="F321" s="804" t="n"/>
    </row>
    <row r="322">
      <c r="A322" s="796" t="inlineStr">
        <is>
          <t>ER018</t>
        </is>
      </c>
      <c r="B322" s="796" t="inlineStr">
        <is>
          <t>Tiền và tương đương tiền/Tổng tài sản</t>
        </is>
      </c>
      <c r="C322" s="793" t="n"/>
      <c r="D322" s="793" t="n"/>
      <c r="E322" s="789">
        <f>IF('01. Thong tin chung'!$B$9="Đầy đủ", IF(ISBLANK('06. Phan tich tai chinh_DD'!J171),0,'06. Phan tich tai chinh_DD'!J171),IF(ISBLANK('06. Phan tich tai chinh_RG'!J96),0,'06. Phan tich tai chinh_RG'!J96))</f>
        <v/>
      </c>
      <c r="F322" s="804" t="n"/>
    </row>
    <row r="323">
      <c r="A323" s="796" t="inlineStr">
        <is>
          <t>ER019</t>
        </is>
      </c>
      <c r="B323" s="796" t="inlineStr">
        <is>
          <t>Phải thu khác/Tài sản ngắn hạn</t>
        </is>
      </c>
      <c r="C323" s="793" t="n"/>
      <c r="D323" s="793" t="n"/>
      <c r="E323" s="789">
        <f>IF('01. Thong tin chung'!$B$9="Đầy đủ",'06. Phan tich tai chinh_DD'!J172,-99999)</f>
        <v/>
      </c>
      <c r="F323" s="804" t="n"/>
    </row>
    <row r="324">
      <c r="A324" s="796" t="inlineStr">
        <is>
          <t>ER031</t>
        </is>
      </c>
      <c r="B324" s="805" t="inlineStr">
        <is>
          <t>Phải thu khác/Tổng tài sản</t>
        </is>
      </c>
      <c r="C324" s="793" t="n"/>
      <c r="D324" s="793" t="n"/>
      <c r="E324" s="789">
        <f>IF('01. Thong tin chung'!$B$9="Rút gọn",'06. Phan tich tai chinh_RG'!J97,-99999)</f>
        <v/>
      </c>
      <c r="F324" s="804" t="n"/>
    </row>
    <row r="325">
      <c r="A325" s="796" t="inlineStr">
        <is>
          <t>ER020</t>
        </is>
      </c>
      <c r="B325" s="806" t="inlineStr">
        <is>
          <t>Doanh thu thuần/Tổng tài sản</t>
        </is>
      </c>
      <c r="C325" s="793" t="n"/>
      <c r="D325" s="793" t="n"/>
      <c r="E325" s="789">
        <f>IF('01. Thong tin chung'!$B$9="Đầy đủ", IF(ISBLANK('06. Phan tich tai chinh_DD'!J177),0,'06. Phan tich tai chinh_DD'!J177),IF(ISBLANK('06. Phan tich tai chinh_RG'!J102),0,'06. Phan tich tai chinh_RG'!J102))</f>
        <v/>
      </c>
      <c r="F325" s="804" t="n"/>
    </row>
    <row r="326">
      <c r="A326" s="806" t="inlineStr">
        <is>
          <t>ER021</t>
        </is>
      </c>
      <c r="B326" s="807" t="inlineStr">
        <is>
          <t>Chi phí lãi vay</t>
        </is>
      </c>
      <c r="C326" s="793" t="n"/>
      <c r="D326" s="793" t="n"/>
      <c r="E326" s="789">
        <f>IF('01. Thong tin chung'!$B$9="Đầy đủ", IF(ISBLANK('06. Phan tich tai chinh_DD'!J166),0,'06. Phan tich tai chinh_DD'!J166),IF(ISBLANK('06. Phan tich tai chinh_RG'!J91),0,'06. Phan tich tai chinh_RG'!J91))</f>
        <v/>
      </c>
      <c r="F326" s="804" t="n"/>
    </row>
    <row r="327">
      <c r="A327" s="806" t="inlineStr">
        <is>
          <t>ER022</t>
        </is>
      </c>
      <c r="B327" s="808" t="inlineStr">
        <is>
          <t>Nhu cầu vốn 1 chu kì / Nợ vay ngắn hạn</t>
        </is>
      </c>
      <c r="C327" s="793" t="n"/>
      <c r="D327" s="793" t="n"/>
      <c r="E327" s="789">
        <f>IF('01. Thong tin chung'!$B$9="Đầy đủ",'06. Phan tich tai chinh_DD'!J179,-99999)</f>
        <v/>
      </c>
      <c r="F327" s="804" t="n"/>
    </row>
    <row r="328" ht="30" customHeight="1" s="782">
      <c r="A328" s="806" t="inlineStr">
        <is>
          <t>ER023</t>
        </is>
      </c>
      <c r="B328" s="808" t="inlineStr">
        <is>
          <t>(Phải thu ngắn hạn - Phải thu khách hàng ngắn hạn)/Tài sản ngắn hạn</t>
        </is>
      </c>
      <c r="C328" s="793" t="n"/>
      <c r="D328" s="793" t="n"/>
      <c r="E328" s="789">
        <f>IF('01. Thong tin chung'!$B$9="Đầy đủ",'06. Phan tich tai chinh_DD'!J180,-99999)</f>
        <v/>
      </c>
      <c r="F328" s="804" t="n"/>
    </row>
    <row r="329" ht="30" customHeight="1" s="782">
      <c r="A329" s="806" t="inlineStr">
        <is>
          <t>ER024</t>
        </is>
      </c>
      <c r="B329" s="808" t="inlineStr">
        <is>
          <t>(Phải thu ngắn hạn khác + Phải thu dài hạn khác)/Tổng tài sản</t>
        </is>
      </c>
      <c r="C329" s="793" t="n"/>
      <c r="D329" s="793" t="n"/>
      <c r="E329" s="789">
        <f>IF('01. Thong tin chung'!$B$9="Đầy đủ",'06. Phan tich tai chinh_DD'!J181,-99999)</f>
        <v/>
      </c>
      <c r="F329" s="804" t="n"/>
    </row>
    <row r="330">
      <c r="A330" s="806" t="inlineStr">
        <is>
          <t>ER025</t>
        </is>
      </c>
      <c r="B330" s="808" t="inlineStr">
        <is>
          <t>Tỷ số lợi nhuận gộp trên tổng nợ</t>
        </is>
      </c>
      <c r="C330" s="793" t="n"/>
      <c r="D330" s="793" t="n"/>
      <c r="E330" s="789">
        <f>IF('01. Thong tin chung'!$B$9="Đầy đủ", IF(ISBLANK('06. Phan tich tai chinh_DD'!J182),0,'06. Phan tich tai chinh_DD'!J182),IF(ISBLANK('06. Phan tich tai chinh_RG'!J107),0,'06. Phan tich tai chinh_RG'!J107))</f>
        <v/>
      </c>
      <c r="F330" s="804" t="n"/>
    </row>
    <row r="331">
      <c r="A331" s="806" t="inlineStr">
        <is>
          <t>ER026</t>
        </is>
      </c>
      <c r="B331" s="808" t="inlineStr">
        <is>
          <t>Lợi nhuận gộp/Chi phí lãi vay</t>
        </is>
      </c>
      <c r="C331" s="793" t="n"/>
      <c r="D331" s="793" t="n"/>
      <c r="E331" s="789">
        <f>IF('01. Thong tin chung'!$B$9="Đầy đủ", IF(ISBLANK('06. Phan tich tai chinh_DD'!J183),0,'06. Phan tich tai chinh_DD'!J183),IF(ISBLANK('06. Phan tich tai chinh_RG'!J108),0,'06. Phan tich tai chinh_RG'!J108))</f>
        <v/>
      </c>
      <c r="F331" s="804" t="n"/>
    </row>
    <row r="332">
      <c r="A332" s="806" t="inlineStr">
        <is>
          <t>ER027</t>
        </is>
      </c>
      <c r="B332" s="808" t="inlineStr">
        <is>
          <t>Tỷ số lợi nhuận sau thuế trên tổng nợ</t>
        </is>
      </c>
      <c r="C332" s="793" t="n"/>
      <c r="D332" s="793" t="n"/>
      <c r="E332" s="789">
        <f>IF('01. Thong tin chung'!$B$9="Đầy đủ", IF(ISBLANK('06. Phan tich tai chinh_DD'!J184),0,'06. Phan tich tai chinh_DD'!J184),IF(ISBLANK('06. Phan tich tai chinh_RG'!J109),0,'06. Phan tich tai chinh_RG'!J109))</f>
        <v/>
      </c>
      <c r="F332" s="804" t="n"/>
    </row>
    <row r="333">
      <c r="A333" s="806" t="inlineStr">
        <is>
          <t>ER028</t>
        </is>
      </c>
      <c r="B333" s="808" t="inlineStr">
        <is>
          <t>EBIT/Tổng nguồn vốn</t>
        </is>
      </c>
      <c r="C333" s="793" t="n"/>
      <c r="D333" s="793" t="n"/>
      <c r="E333" s="789">
        <f>IF('01. Thong tin chung'!$B$9="Đầy đủ", IF(ISBLANK('06. Phan tich tai chinh_DD'!J185),0,'06. Phan tich tai chinh_DD'!J185),IF(ISBLANK('06. Phan tich tai chinh_RG'!J110),0,'06. Phan tich tai chinh_RG'!J110))</f>
        <v/>
      </c>
      <c r="F333" s="804" t="n"/>
    </row>
    <row r="334" ht="30" customHeight="1" s="782">
      <c r="A334" s="806" t="inlineStr">
        <is>
          <t>ER029</t>
        </is>
      </c>
      <c r="B334" s="808" t="inlineStr">
        <is>
          <t>Tiền và tương đương tiền + phải thu ngắn hạn khách hàng + hàng tồn kho</t>
        </is>
      </c>
      <c r="C334" s="793" t="n"/>
      <c r="D334" s="793" t="n"/>
      <c r="E334" s="789">
        <f>IF('01. Thong tin chung'!$B$9="Đầy đủ",'06. Phan tich tai chinh_DD'!J186,-99999)</f>
        <v/>
      </c>
      <c r="F334" s="804" t="n"/>
    </row>
    <row r="335">
      <c r="A335" s="806" t="inlineStr">
        <is>
          <t>ER030</t>
        </is>
      </c>
      <c r="B335" s="808" t="inlineStr">
        <is>
          <t>Phải trả người bán ngắn hạn + nợ vay ngắn hạn</t>
        </is>
      </c>
      <c r="C335" s="793" t="n"/>
      <c r="D335" s="793" t="n"/>
      <c r="E335" s="789">
        <f>IF('01. Thong tin chung'!$B$9="Đầy đủ",'06. Phan tich tai chinh_DD'!J187,-99999)</f>
        <v/>
      </c>
      <c r="F335" s="804" t="n"/>
    </row>
  </sheetData>
  <sheetProtection selectLockedCells="1" selectUnlockedCells="0" algorithmName="SHA-512" sheet="1" objects="1" insertRows="1" insertHyperlinks="1" autoFilter="1" scenarios="1" formatColumns="1" deleteColumns="1" insertColumns="1" pivotTables="1" deleteRows="1" formatCells="1" saltValue="5fmw4CZLsHsDcsuccnLKMw==" formatRows="1" sort="1" spinCount="100000" hashValue="rWb3me9hKRbI4giyZeTGaoVNjrH1BhRWMpscbQkVMkllv2c/+I3BNXOgSkN+6y1As+8mgDWs/lEZFN+mPRUoGA=="/>
  <autoFilter ref="A1:I335"/>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D2"/>
  <sheetViews>
    <sheetView workbookViewId="0">
      <selection activeCell="D2" sqref="D2"/>
    </sheetView>
  </sheetViews>
  <sheetFormatPr baseColWidth="8" defaultRowHeight="15"/>
  <sheetData>
    <row r="1">
      <c r="A1" t="inlineStr">
        <is>
          <t>VND</t>
        </is>
      </c>
      <c r="C1" t="inlineStr">
        <is>
          <t>Loại BCTC</t>
        </is>
      </c>
      <c r="D1">
        <f>IF('01. Thong tin chung'!B9="Đầy đủ",1, IF('01. Thong tin chung'!B9="Rút gọn",2,0))</f>
        <v/>
      </c>
    </row>
    <row r="2">
      <c r="A2" t="inlineStr">
        <is>
          <t>Triệu VND</t>
        </is>
      </c>
    </row>
  </sheetData>
  <sheetProtection selectLockedCells="0" selectUnlockedCells="0" algorithmName="SHA-512" sheet="1" objects="1" insertRows="1" insertHyperlinks="1" autoFilter="1" scenarios="1" formatColumns="1" deleteColumns="1" insertColumns="1" pivotTables="1" deleteRows="1" formatCells="1" saltValue="FDw0QQltoutyTJm5wVEOZQ==" formatRows="1" sort="1" spinCount="100000" hashValue="9EQvkS2xH8OLnc1YfsUu7J71U0d97Xdykf+PQ8pTRvvi/JVBns6M3WPxRCgq04nuvk5Saifir7bg1eFcgHXyzQ=="/>
  <pageMargins left="0.7" right="0.7" top="0.75" bottom="0.75" header="0.3" footer="0.3"/>
</worksheet>
</file>

<file path=xl/worksheets/sheet3.xml><?xml version="1.0" encoding="utf-8"?>
<worksheet xmlns="http://schemas.openxmlformats.org/spreadsheetml/2006/main">
  <sheetPr codeName="Sheet5">
    <outlinePr summaryBelow="1" summaryRight="1"/>
    <pageSetUpPr/>
  </sheetPr>
  <dimension ref="A1:A1"/>
  <sheetViews>
    <sheetView workbookViewId="0">
      <selection activeCell="E13" sqref="E13"/>
    </sheetView>
  </sheetViews>
  <sheetFormatPr baseColWidth="8" defaultRowHeight="15"/>
  <sheetData/>
  <sheetProtection selectLockedCells="0" selectUnlockedCells="0" algorithmName="SHA-512" sheet="1" objects="1" insertRows="1" insertHyperlinks="1" autoFilter="1" scenarios="1" formatColumns="1" deleteColumns="1" insertColumns="1" pivotTables="1" deleteRows="1" formatCells="1" saltValue="pQN2IsezTLw5uYX1doMxlw==" formatRows="1" sort="1" spinCount="100000" hashValue="DPIcd8gJNRhyVlxtu2+nMUSFRwFqj6mpDv+aWi9Qly5mipS3+kaIW4Hs5GgIE5qHVpoqkLPNHa+3nsYNT4VHtg=="/>
  <pageMargins left="0.7" right="0.7" top="0.75" bottom="0.75" header="0.3" footer="0.3"/>
</worksheet>
</file>

<file path=xl/worksheets/sheet4.xml><?xml version="1.0" encoding="utf-8"?>
<worksheet xmlns="http://schemas.openxmlformats.org/spreadsheetml/2006/main">
  <sheetPr codeName="Sheet12">
    <outlinePr summaryBelow="1" summaryRight="1"/>
    <pageSetUpPr/>
  </sheetPr>
  <dimension ref="A1:B10"/>
  <sheetViews>
    <sheetView view="pageBreakPreview" zoomScaleNormal="100" zoomScaleSheetLayoutView="100" workbookViewId="0">
      <selection activeCell="B9" sqref="B9"/>
    </sheetView>
  </sheetViews>
  <sheetFormatPr baseColWidth="8" defaultRowHeight="15"/>
  <cols>
    <col width="51.42578125" customWidth="1" style="782" min="1" max="1"/>
    <col width="42" customWidth="1" style="782" min="2" max="2"/>
  </cols>
  <sheetData>
    <row r="1">
      <c r="A1" s="813" t="inlineStr">
        <is>
          <t>Template BCTC - Hiệu lực từ 05/11/2023</t>
        </is>
      </c>
    </row>
    <row r="2">
      <c r="A2" s="814" t="inlineStr">
        <is>
          <t>Thông tin chung về khách hàng</t>
        </is>
      </c>
      <c r="B2" s="867" t="n"/>
    </row>
    <row r="3">
      <c r="A3" s="2" t="inlineStr">
        <is>
          <t>Tên Công ty:</t>
        </is>
      </c>
      <c r="B3" s="3" t="inlineStr">
        <is>
          <t xml:space="preserve"> CÔNG TY CỔ PHẦN KẾT CẤU THÉP STEELTECH</t>
        </is>
      </c>
    </row>
    <row r="4">
      <c r="A4" s="2" t="inlineStr">
        <is>
          <t>Mã số thuế (Tax code)</t>
        </is>
      </c>
      <c r="B4" s="269" t="inlineStr">
        <is>
          <t xml:space="preserve"> 0319777888</t>
        </is>
      </c>
    </row>
    <row r="5">
      <c r="A5" s="2" t="inlineStr">
        <is>
          <t>Mã khách hàng (số CIF)</t>
        </is>
      </c>
      <c r="B5" s="293" t="n">
        <v>5162308</v>
      </c>
    </row>
    <row r="6">
      <c r="A6" s="2" t="inlineStr">
        <is>
          <t>Đơn vị tiền tệ sử dụng trong Báo cáo Tài chính:</t>
        </is>
      </c>
      <c r="B6" s="5" t="inlineStr">
        <is>
          <t>VND</t>
        </is>
      </c>
    </row>
    <row r="7">
      <c r="A7" s="2" t="inlineStr">
        <is>
          <t>Năm Tài chính gần nhất:</t>
        </is>
      </c>
      <c r="B7" s="5" t="n">
        <v>2025</v>
      </c>
    </row>
    <row r="8">
      <c r="A8" s="2" t="inlineStr">
        <is>
          <t>Thời điểm tài chính gần nhất</t>
        </is>
      </c>
      <c r="B8" s="6" t="n">
        <v>46022</v>
      </c>
    </row>
    <row r="9">
      <c r="A9" s="2" t="inlineStr">
        <is>
          <t>Loại BCTC</t>
        </is>
      </c>
      <c r="B9" s="5" t="inlineStr">
        <is>
          <t>Đầy đủ</t>
        </is>
      </c>
    </row>
    <row r="10" ht="18" customHeight="1" s="782">
      <c r="A10" s="1" t="inlineStr">
        <is>
          <t>CountBlank</t>
        </is>
      </c>
      <c r="B10">
        <f>COUNTIF(B3:B9,"")</f>
        <v/>
      </c>
    </row>
  </sheetData>
  <sheetProtection selectLockedCells="1" selectUnlockedCells="1" algorithmName="SHA-512" sheet="1" objects="1" insertRows="1" insertHyperlinks="1" autoFilter="1" scenarios="1" formatColumns="1" deleteColumns="1" insertColumns="1" pivotTables="1" deleteRows="1" formatCells="1" saltValue="JUSJ75WuMTicDOS3SVxoxQ==" formatRows="1" sort="1" spinCount="100000" hashValue="n+padZLJ/6rCBcWFIQbLSmn0J4rwJtxijX+sNTo17bcv5qApaUM9jmC+aNtXu7ID6Znl6nrqDq+sEA63wBn3Sw=="/>
  <mergeCells count="2">
    <mergeCell ref="A2:B2"/>
    <mergeCell ref="A1:B1"/>
  </mergeCells>
  <dataValidations count="1">
    <dataValidation sqref="B6 B9" showDropDown="0" showInputMessage="1" showErrorMessage="1" allowBlank="1"/>
  </dataValidations>
  <pageMargins left="0.7" right="0.7" top="0.75" bottom="0.75" header="0.3" footer="0.3"/>
  <pageSetup orientation="portrait" paperSize="9" scale="93"/>
</worksheet>
</file>

<file path=xl/worksheets/sheet5.xml><?xml version="1.0" encoding="utf-8"?>
<worksheet xmlns="http://schemas.openxmlformats.org/spreadsheetml/2006/main">
  <sheetPr codeName="Sheet6">
    <outlinePr summaryBelow="1" summaryRight="1"/>
    <pageSetUpPr/>
  </sheetPr>
  <dimension ref="A1:P80"/>
  <sheetViews>
    <sheetView view="pageBreakPreview" zoomScale="71" zoomScaleNormal="100" zoomScaleSheetLayoutView="71" workbookViewId="0">
      <selection activeCell="F18" sqref="F18"/>
    </sheetView>
  </sheetViews>
  <sheetFormatPr baseColWidth="8" defaultRowHeight="15"/>
  <cols>
    <col width="15.7109375" customWidth="1" style="782" min="1" max="1"/>
    <col width="57.5703125" customWidth="1" style="782" min="2" max="2"/>
    <col width="10.42578125" customWidth="1" style="782" min="3" max="3"/>
    <col width="22.42578125" customWidth="1" style="782" min="4" max="6"/>
    <col width="19.140625" customWidth="1" style="782" min="7" max="7"/>
    <col width="16.5703125" bestFit="1" customWidth="1" style="782" min="8" max="8"/>
    <col width="17" customWidth="1" style="782" min="15" max="15"/>
  </cols>
  <sheetData>
    <row r="1">
      <c r="B1" s="815" t="inlineStr">
        <is>
          <t>NHẬP SỐ LIỆU VỀ TÀI CHÍNH CỦA KHÁCH HÀNG</t>
        </is>
      </c>
      <c r="C1" s="867" t="n"/>
      <c r="D1" s="867" t="n"/>
      <c r="E1" s="867" t="n"/>
      <c r="F1" s="867" t="n"/>
      <c r="G1" s="867" t="n"/>
      <c r="H1" s="867" t="n"/>
      <c r="I1" s="868" t="inlineStr">
        <is>
          <t>Check thông tin báo cáo tài chính</t>
        </is>
      </c>
      <c r="J1" s="869" t="n"/>
      <c r="K1" s="869" t="n"/>
      <c r="L1" s="869" t="n"/>
      <c r="M1" s="870" t="n"/>
      <c r="P1" s="871" t="n"/>
    </row>
    <row r="2" ht="21.6" customHeight="1" s="782">
      <c r="B2" s="7" t="n"/>
      <c r="C2" s="8" t="inlineStr">
        <is>
          <t xml:space="preserve"> </t>
        </is>
      </c>
      <c r="D2" s="824" t="inlineStr">
        <is>
          <t>Lưu ý: bắt buộc điền sheet 01. Thông tin chung</t>
        </is>
      </c>
      <c r="E2" s="867" t="n"/>
      <c r="F2" s="9" t="inlineStr">
        <is>
          <t xml:space="preserve">Đơn vị:  </t>
        </is>
      </c>
      <c r="G2" s="298">
        <f>IF('01. Thong tin chung'!B6="","",'01. Thong tin chung'!B6)</f>
        <v/>
      </c>
      <c r="H2" s="18" t="n"/>
      <c r="I2" s="872" t="n"/>
      <c r="J2" s="867" t="n"/>
      <c r="K2" s="867" t="n"/>
      <c r="L2" s="867" t="n"/>
      <c r="M2" s="873" t="n"/>
      <c r="O2" t="inlineStr">
        <is>
          <t>CountNegProvision</t>
        </is>
      </c>
      <c r="P2" s="299">
        <f>COUNTIF(D17:H17,"&gt;0")+COUNTIF(D24:H24,"&gt;0")+COUNTIF(D27:H27,"&gt;0")+COUNTIF(D30:H30,"&gt;0")+COUNTIF(D33:H33,"&gt;0")</f>
        <v/>
      </c>
    </row>
    <row r="3" ht="16.5" customHeight="1" s="782">
      <c r="B3" s="11" t="inlineStr">
        <is>
          <t>I. Bảng cân đối kế toán</t>
        </is>
      </c>
      <c r="C3" s="12" t="n"/>
      <c r="D3" s="13" t="n"/>
      <c r="E3" s="14" t="n"/>
      <c r="F3" s="14" t="n"/>
      <c r="G3" s="15" t="n"/>
      <c r="H3" s="16" t="n"/>
      <c r="I3" s="872" t="n"/>
      <c r="J3" s="867" t="n"/>
      <c r="K3" s="867" t="n"/>
      <c r="L3" s="867" t="n"/>
      <c r="M3" s="873" t="n"/>
    </row>
    <row r="4" ht="15.75" customHeight="1" s="782" thickBot="1">
      <c r="B4" s="17" t="n"/>
      <c r="C4" s="18" t="n"/>
      <c r="D4" s="19">
        <f>IF(D11&lt;&gt;D38,"Chưa cân số","")</f>
        <v/>
      </c>
      <c r="E4" s="19">
        <f>IF(E11&lt;&gt;E38,"Chưa cân số","")</f>
        <v/>
      </c>
      <c r="F4" s="19">
        <f>IF(F11&lt;&gt;F38,"Chưa cân số","")</f>
        <v/>
      </c>
      <c r="G4" s="19">
        <f>IF(G11&lt;&gt;G38,"Chưa cân số","")</f>
        <v/>
      </c>
      <c r="H4" s="19">
        <f>IF(H11&lt;&gt;H38,"Chưa cân số","")</f>
        <v/>
      </c>
      <c r="I4" s="872" t="n"/>
      <c r="J4" s="867" t="n"/>
      <c r="K4" s="867" t="n"/>
      <c r="L4" s="867" t="n"/>
      <c r="M4" s="873" t="n"/>
    </row>
    <row r="5" ht="17.25" customHeight="1" s="782" thickTop="1">
      <c r="B5" s="271" t="inlineStr">
        <is>
          <t>Chỉ tiêu</t>
        </is>
      </c>
      <c r="C5" s="20" t="inlineStr">
        <is>
          <t>Mã số</t>
        </is>
      </c>
      <c r="D5" s="272" t="inlineStr">
        <is>
          <t>N-3</t>
        </is>
      </c>
      <c r="E5" s="273" t="inlineStr">
        <is>
          <t>N-2</t>
        </is>
      </c>
      <c r="F5" s="274" t="inlineStr">
        <is>
          <t>N-1</t>
        </is>
      </c>
      <c r="G5" s="275" t="inlineStr">
        <is>
          <t>Thời điểm hiện tại</t>
        </is>
      </c>
      <c r="H5" s="276" t="inlineStr">
        <is>
          <t>Dự tính N</t>
        </is>
      </c>
      <c r="I5" s="874" t="n"/>
      <c r="J5" s="875" t="n"/>
      <c r="K5" s="875" t="n"/>
      <c r="L5" s="875" t="n"/>
      <c r="M5" s="876" t="n"/>
    </row>
    <row r="6">
      <c r="B6" s="277" t="inlineStr">
        <is>
          <t>Mã số thuế</t>
        </is>
      </c>
      <c r="C6" s="21" t="n"/>
      <c r="D6" s="296">
        <f>'01. Thong tin chung'!$B$4</f>
        <v/>
      </c>
      <c r="E6" s="296">
        <f>'01. Thong tin chung'!$B$4</f>
        <v/>
      </c>
      <c r="F6" s="296">
        <f>'01. Thong tin chung'!$B$4</f>
        <v/>
      </c>
      <c r="G6" s="296">
        <f>'01. Thong tin chung'!$B$4</f>
        <v/>
      </c>
      <c r="H6" s="303">
        <f>'01. Thong tin chung'!$B$4</f>
        <v/>
      </c>
      <c r="I6" s="270">
        <f>D6='03. Dulieutaichinhlamsach_RG'!D6</f>
        <v/>
      </c>
      <c r="J6" s="25">
        <f>E6='03. Dulieutaichinhlamsach_RG'!E6</f>
        <v/>
      </c>
      <c r="K6" s="25">
        <f>F6='03. Dulieutaichinhlamsach_RG'!F6</f>
        <v/>
      </c>
      <c r="L6" s="25">
        <f>G6='03. Dulieutaichinhlamsach_RG'!G6</f>
        <v/>
      </c>
      <c r="M6" s="25">
        <f>H6='03. Dulieutaichinhlamsach_RG'!H6</f>
        <v/>
      </c>
    </row>
    <row r="7">
      <c r="B7" s="277" t="inlineStr">
        <is>
          <t>Năm</t>
        </is>
      </c>
      <c r="C7" s="21" t="n"/>
      <c r="D7" s="22" t="n"/>
      <c r="E7" s="22" t="n"/>
      <c r="F7" s="23" t="n"/>
      <c r="G7" s="24" t="n"/>
      <c r="H7" s="278" t="n"/>
      <c r="I7" s="270">
        <f>D7='03. Dulieutaichinhlamsach_RG'!D7</f>
        <v/>
      </c>
      <c r="J7" s="25">
        <f>E7='03. Dulieutaichinhlamsach_RG'!E7</f>
        <v/>
      </c>
      <c r="K7" s="25">
        <f>F7='03. Dulieutaichinhlamsach_RG'!F7</f>
        <v/>
      </c>
      <c r="L7" s="25">
        <f>G7='03. Dulieutaichinhlamsach_RG'!G7</f>
        <v/>
      </c>
      <c r="M7" s="25">
        <f>H7='03. Dulieutaichinhlamsach_RG'!H7</f>
        <v/>
      </c>
    </row>
    <row r="8">
      <c r="B8" s="277" t="inlineStr">
        <is>
          <t>Quý</t>
        </is>
      </c>
      <c r="C8" s="21" t="n"/>
      <c r="D8" s="22" t="n"/>
      <c r="E8" s="22" t="n"/>
      <c r="F8" s="23" t="n"/>
      <c r="G8" s="21" t="n"/>
      <c r="H8" s="278" t="n"/>
      <c r="I8" s="270">
        <f>D8='03. Dulieutaichinhlamsach_RG'!D8</f>
        <v/>
      </c>
      <c r="J8" s="25">
        <f>E8='03. Dulieutaichinhlamsach_RG'!E8</f>
        <v/>
      </c>
      <c r="K8" s="25">
        <f>F8='03. Dulieutaichinhlamsach_RG'!F8</f>
        <v/>
      </c>
      <c r="L8" s="25">
        <f>G8='03. Dulieutaichinhlamsach_RG'!G8</f>
        <v/>
      </c>
      <c r="M8" s="25">
        <f>H8='03. Dulieutaichinhlamsach_RG'!H8</f>
        <v/>
      </c>
    </row>
    <row r="9">
      <c r="B9" s="277" t="inlineStr">
        <is>
          <t>Tháng</t>
        </is>
      </c>
      <c r="C9" s="21" t="n"/>
      <c r="D9" s="22" t="n"/>
      <c r="E9" s="22" t="n"/>
      <c r="F9" s="23" t="n"/>
      <c r="G9" s="21" t="n"/>
      <c r="H9" s="278" t="n"/>
      <c r="I9" s="270">
        <f>D9='03. Dulieutaichinhlamsach_RG'!D9</f>
        <v/>
      </c>
      <c r="J9" s="25">
        <f>E9='03. Dulieutaichinhlamsach_RG'!E9</f>
        <v/>
      </c>
      <c r="K9" s="25">
        <f>F9='03. Dulieutaichinhlamsach_RG'!F9</f>
        <v/>
      </c>
      <c r="L9" s="25">
        <f>G9='03. Dulieutaichinhlamsach_RG'!G9</f>
        <v/>
      </c>
      <c r="M9" s="25">
        <f>H9='03. Dulieutaichinhlamsach_RG'!H9</f>
        <v/>
      </c>
    </row>
    <row r="10">
      <c r="B10" s="277" t="inlineStr">
        <is>
          <t>Đơn vị tính</t>
        </is>
      </c>
      <c r="C10" s="21" t="n"/>
      <c r="D10" s="297">
        <f>$G$2</f>
        <v/>
      </c>
      <c r="E10" s="297">
        <f>$G$2</f>
        <v/>
      </c>
      <c r="F10" s="297">
        <f>$G$2</f>
        <v/>
      </c>
      <c r="G10" s="297">
        <f>$G$2</f>
        <v/>
      </c>
      <c r="H10" s="301">
        <f>$G$2</f>
        <v/>
      </c>
      <c r="I10" s="270">
        <f>D10='03. Dulieutaichinhlamsach_RG'!D10</f>
        <v/>
      </c>
      <c r="J10" s="25">
        <f>E10='03. Dulieutaichinhlamsach_RG'!E10</f>
        <v/>
      </c>
      <c r="K10" s="25">
        <f>F10='03. Dulieutaichinhlamsach_RG'!F10</f>
        <v/>
      </c>
      <c r="L10" s="25">
        <f>G10='03. Dulieutaichinhlamsach_RG'!G10</f>
        <v/>
      </c>
      <c r="M10" s="25">
        <f>H10='03. Dulieutaichinhlamsach_RG'!H10</f>
        <v/>
      </c>
    </row>
    <row r="11">
      <c r="B11" s="419" t="inlineStr">
        <is>
          <t>TỔNG CỘNG TÀI SẢN</t>
        </is>
      </c>
      <c r="C11" s="26" t="n"/>
      <c r="D11" s="27" t="n"/>
      <c r="E11" s="27" t="n"/>
      <c r="F11" s="27" t="n"/>
      <c r="G11" s="27" t="n"/>
      <c r="H11" s="302" t="n"/>
      <c r="I11" s="270">
        <f>D11='03. Dulieutaichinhlamsach_RG'!D11</f>
        <v/>
      </c>
      <c r="J11" s="270">
        <f>E11='03. Dulieutaichinhlamsach_RG'!E11</f>
        <v/>
      </c>
      <c r="K11" s="270">
        <f>F11='03. Dulieutaichinhlamsach_RG'!F11</f>
        <v/>
      </c>
      <c r="L11" s="270">
        <f>G11='03. Dulieutaichinhlamsach_RG'!G11</f>
        <v/>
      </c>
      <c r="M11" s="270">
        <f>H11='03. Dulieutaichinhlamsach_RG'!H11</f>
        <v/>
      </c>
    </row>
    <row r="12">
      <c r="B12" s="420" t="inlineStr">
        <is>
          <t xml:space="preserve">    I. Tiền và các khoản tương đương tiền</t>
        </is>
      </c>
      <c r="D12" s="28" t="n"/>
      <c r="E12" s="877" t="n"/>
      <c r="F12" s="877" t="n"/>
      <c r="G12" s="29" t="n"/>
      <c r="H12" s="279" t="n"/>
      <c r="I12" s="270">
        <f>D12='03. Dulieutaichinhlamsach_RG'!D12</f>
        <v/>
      </c>
      <c r="J12" s="270">
        <f>E12='03. Dulieutaichinhlamsach_RG'!E12</f>
        <v/>
      </c>
      <c r="K12" s="270">
        <f>F12='03. Dulieutaichinhlamsach_RG'!F12</f>
        <v/>
      </c>
      <c r="L12" s="270">
        <f>G12='03. Dulieutaichinhlamsach_RG'!G12</f>
        <v/>
      </c>
      <c r="M12" s="270">
        <f>H12='03. Dulieutaichinhlamsach_RG'!H12</f>
        <v/>
      </c>
    </row>
    <row r="13">
      <c r="B13" s="423" t="inlineStr">
        <is>
          <t>II. Đầu tư tài chính</t>
        </is>
      </c>
      <c r="D13" s="30" t="n"/>
      <c r="E13" s="877" t="n"/>
      <c r="F13" s="418" t="n"/>
      <c r="G13" s="30" t="n"/>
      <c r="H13" s="281" t="n"/>
      <c r="I13" s="270">
        <f>D13='03. Dulieutaichinhlamsach_RG'!D13</f>
        <v/>
      </c>
      <c r="J13" s="270">
        <f>E13='03. Dulieutaichinhlamsach_RG'!E13</f>
        <v/>
      </c>
      <c r="K13" s="270">
        <f>F13='03. Dulieutaichinhlamsach_RG'!F13</f>
        <v/>
      </c>
      <c r="L13" s="270">
        <f>G13='03. Dulieutaichinhlamsach_RG'!G13</f>
        <v/>
      </c>
      <c r="M13" s="270">
        <f>H13='03. Dulieutaichinhlamsach_RG'!H13</f>
        <v/>
      </c>
    </row>
    <row r="14">
      <c r="B14" s="424" t="inlineStr">
        <is>
          <t>1. Chứng khoán kinh doanh</t>
        </is>
      </c>
      <c r="C14" s="421" t="n"/>
      <c r="D14" s="30" t="n"/>
      <c r="E14" s="877" t="n"/>
      <c r="F14" s="30" t="n"/>
      <c r="G14" s="30" t="n"/>
      <c r="H14" s="281" t="n"/>
      <c r="I14" s="270">
        <f>D14='03. Dulieutaichinhlamsach_RG'!D14</f>
        <v/>
      </c>
      <c r="J14" s="270">
        <f>E14='03. Dulieutaichinhlamsach_RG'!E14</f>
        <v/>
      </c>
      <c r="K14" s="270">
        <f>F14='03. Dulieutaichinhlamsach_RG'!F14</f>
        <v/>
      </c>
      <c r="L14" s="270">
        <f>G14='03. Dulieutaichinhlamsach_RG'!G14</f>
        <v/>
      </c>
      <c r="M14" s="270">
        <f>H14='03. Dulieutaichinhlamsach_RG'!H14</f>
        <v/>
      </c>
    </row>
    <row r="15">
      <c r="B15" s="424" t="inlineStr">
        <is>
          <t>2. Đầu tư nắm giữ đến ngày đáo hạn</t>
        </is>
      </c>
      <c r="C15" s="421" t="n"/>
      <c r="D15" s="429" t="n"/>
      <c r="E15" s="877" t="n"/>
      <c r="F15" s="30" t="n"/>
      <c r="G15" s="31" t="n"/>
      <c r="H15" s="281" t="n"/>
      <c r="I15" s="270">
        <f>D15='03. Dulieutaichinhlamsach_RG'!D15</f>
        <v/>
      </c>
      <c r="J15" s="270">
        <f>E15='03. Dulieutaichinhlamsach_RG'!E15</f>
        <v/>
      </c>
      <c r="K15" s="270">
        <f>F15='03. Dulieutaichinhlamsach_RG'!F15</f>
        <v/>
      </c>
      <c r="L15" s="270">
        <f>G15='03. Dulieutaichinhlamsach_RG'!G15</f>
        <v/>
      </c>
      <c r="M15" s="270">
        <f>H15='03. Dulieutaichinhlamsach_RG'!H15</f>
        <v/>
      </c>
    </row>
    <row r="16">
      <c r="B16" s="424" t="inlineStr">
        <is>
          <t>3. Đầu tư góp vốn vào đơn vị khác</t>
        </is>
      </c>
      <c r="C16" s="421" t="n"/>
      <c r="D16" s="30" t="n"/>
      <c r="E16" s="877" t="n"/>
      <c r="F16" s="29" t="n"/>
      <c r="G16" s="31" t="n"/>
      <c r="H16" s="281" t="n"/>
      <c r="I16" s="270">
        <f>D16='03. Dulieutaichinhlamsach_RG'!D16</f>
        <v/>
      </c>
      <c r="J16" s="270">
        <f>E16='03. Dulieutaichinhlamsach_RG'!E16</f>
        <v/>
      </c>
      <c r="K16" s="270">
        <f>F16='03. Dulieutaichinhlamsach_RG'!F16</f>
        <v/>
      </c>
      <c r="L16" s="270">
        <f>G16='03. Dulieutaichinhlamsach_RG'!G16</f>
        <v/>
      </c>
      <c r="M16" s="270">
        <f>H16='03. Dulieutaichinhlamsach_RG'!H16</f>
        <v/>
      </c>
    </row>
    <row r="17">
      <c r="B17" s="425" t="inlineStr">
        <is>
          <t>4. Dự phòng tổn thất đầu tư tài chính (*)</t>
        </is>
      </c>
      <c r="C17" s="421" t="n"/>
      <c r="D17" s="30" t="n"/>
      <c r="E17" s="877" t="n"/>
      <c r="F17" s="30" t="n"/>
      <c r="G17" s="31" t="n"/>
      <c r="H17" s="281" t="n"/>
      <c r="I17" s="270">
        <f>D17='03. Dulieutaichinhlamsach_RG'!D17</f>
        <v/>
      </c>
      <c r="J17" s="270">
        <f>E17='03. Dulieutaichinhlamsach_RG'!E17</f>
        <v/>
      </c>
      <c r="K17" s="270">
        <f>F17='03. Dulieutaichinhlamsach_RG'!F17</f>
        <v/>
      </c>
      <c r="L17" s="270">
        <f>G17='03. Dulieutaichinhlamsach_RG'!G17</f>
        <v/>
      </c>
      <c r="M17" s="270">
        <f>H17='03. Dulieutaichinhlamsach_RG'!H17</f>
        <v/>
      </c>
    </row>
    <row r="18">
      <c r="B18" s="423" t="inlineStr">
        <is>
          <t>III. Các khoản phải thu</t>
        </is>
      </c>
      <c r="C18" s="418" t="n"/>
      <c r="D18" s="30" t="n"/>
      <c r="E18" s="877" t="n"/>
      <c r="F18" s="30" t="n"/>
      <c r="G18" s="29" t="n"/>
      <c r="H18" s="279" t="n"/>
      <c r="I18" s="270">
        <f>D18='03. Dulieutaichinhlamsach_RG'!D18</f>
        <v/>
      </c>
      <c r="J18" s="270">
        <f>E18='03. Dulieutaichinhlamsach_RG'!E18</f>
        <v/>
      </c>
      <c r="K18" s="270">
        <f>F18='03. Dulieutaichinhlamsach_RG'!F18</f>
        <v/>
      </c>
      <c r="L18" s="270">
        <f>G18='03. Dulieutaichinhlamsach_RG'!G18</f>
        <v/>
      </c>
      <c r="M18" s="270">
        <f>H18='03. Dulieutaichinhlamsach_RG'!H18</f>
        <v/>
      </c>
    </row>
    <row r="19">
      <c r="B19" s="424" t="inlineStr">
        <is>
          <t>1. Phải thu của khách hàng</t>
        </is>
      </c>
      <c r="C19" s="421" t="n"/>
      <c r="D19" s="30" t="n"/>
      <c r="E19" s="877" t="n"/>
      <c r="F19" s="30" t="n"/>
      <c r="G19" s="31" t="n"/>
      <c r="H19" s="281" t="n"/>
      <c r="I19" s="270">
        <f>D19='03. Dulieutaichinhlamsach_RG'!D19</f>
        <v/>
      </c>
      <c r="J19" s="270">
        <f>E19='03. Dulieutaichinhlamsach_RG'!E19</f>
        <v/>
      </c>
      <c r="K19" s="270">
        <f>F19='03. Dulieutaichinhlamsach_RG'!F19</f>
        <v/>
      </c>
      <c r="L19" s="270">
        <f>G19='03. Dulieutaichinhlamsach_RG'!G19</f>
        <v/>
      </c>
      <c r="M19" s="270">
        <f>H19='03. Dulieutaichinhlamsach_RG'!H19</f>
        <v/>
      </c>
    </row>
    <row r="20">
      <c r="B20" s="424" t="inlineStr">
        <is>
          <t>2. Trả trước cho người bán</t>
        </is>
      </c>
      <c r="C20" s="421" t="n"/>
      <c r="D20" s="30" t="n"/>
      <c r="E20" s="877" t="n"/>
      <c r="F20" s="30" t="n"/>
      <c r="G20" s="30" t="n"/>
      <c r="H20" s="281" t="n"/>
      <c r="I20" s="270">
        <f>D20='03. Dulieutaichinhlamsach_RG'!D20</f>
        <v/>
      </c>
      <c r="J20" s="270">
        <f>E20='03. Dulieutaichinhlamsach_RG'!E20</f>
        <v/>
      </c>
      <c r="K20" s="270">
        <f>F20='03. Dulieutaichinhlamsach_RG'!F20</f>
        <v/>
      </c>
      <c r="L20" s="270">
        <f>G20='03. Dulieutaichinhlamsach_RG'!G20</f>
        <v/>
      </c>
      <c r="M20" s="270">
        <f>H20='03. Dulieutaichinhlamsach_RG'!H20</f>
        <v/>
      </c>
    </row>
    <row r="21">
      <c r="B21" s="424" t="inlineStr">
        <is>
          <t>3. Vốn kinh doanh ở đơn vị trực thuộc</t>
        </is>
      </c>
      <c r="C21" s="421" t="n"/>
      <c r="D21" s="30" t="n"/>
      <c r="E21" s="30" t="n"/>
      <c r="F21" s="30" t="n"/>
      <c r="G21" s="31" t="n"/>
      <c r="H21" s="281" t="n"/>
      <c r="I21" s="270">
        <f>D21='03. Dulieutaichinhlamsach_RG'!D21</f>
        <v/>
      </c>
      <c r="J21" s="270">
        <f>E21='03. Dulieutaichinhlamsach_RG'!E21</f>
        <v/>
      </c>
      <c r="K21" s="270">
        <f>F21='03. Dulieutaichinhlamsach_RG'!F21</f>
        <v/>
      </c>
      <c r="L21" s="270">
        <f>G21='03. Dulieutaichinhlamsach_RG'!G21</f>
        <v/>
      </c>
      <c r="M21" s="270">
        <f>H21='03. Dulieutaichinhlamsach_RG'!H21</f>
        <v/>
      </c>
    </row>
    <row r="22">
      <c r="B22" s="424" t="inlineStr">
        <is>
          <t>4. Phải thu khác</t>
        </is>
      </c>
      <c r="C22" s="421" t="n"/>
      <c r="D22" s="30" t="n"/>
      <c r="E22" s="30" t="n"/>
      <c r="F22" s="30" t="n"/>
      <c r="G22" s="31" t="n"/>
      <c r="H22" s="281" t="n"/>
      <c r="I22" s="270">
        <f>D22='03. Dulieutaichinhlamsach_RG'!D22</f>
        <v/>
      </c>
      <c r="J22" s="270">
        <f>E22='03. Dulieutaichinhlamsach_RG'!E22</f>
        <v/>
      </c>
      <c r="K22" s="270">
        <f>F22='03. Dulieutaichinhlamsach_RG'!F22</f>
        <v/>
      </c>
      <c r="L22" s="270">
        <f>G22='03. Dulieutaichinhlamsach_RG'!G22</f>
        <v/>
      </c>
      <c r="M22" s="270">
        <f>H22='03. Dulieutaichinhlamsach_RG'!H22</f>
        <v/>
      </c>
    </row>
    <row r="23">
      <c r="B23" s="424" t="inlineStr">
        <is>
          <t>5. Tài sản thiếu chờ xử lý</t>
        </is>
      </c>
      <c r="C23" s="421" t="n"/>
      <c r="D23" s="30" t="n"/>
      <c r="E23" s="30" t="n"/>
      <c r="F23" s="30" t="n"/>
      <c r="G23" s="31" t="n"/>
      <c r="H23" s="281" t="n"/>
      <c r="I23" s="270">
        <f>D23='03. Dulieutaichinhlamsach_RG'!D23</f>
        <v/>
      </c>
      <c r="J23" s="270">
        <f>E23='03. Dulieutaichinhlamsach_RG'!E23</f>
        <v/>
      </c>
      <c r="K23" s="270">
        <f>F23='03. Dulieutaichinhlamsach_RG'!F23</f>
        <v/>
      </c>
      <c r="L23" s="270">
        <f>G23='03. Dulieutaichinhlamsach_RG'!G23</f>
        <v/>
      </c>
      <c r="M23" s="270">
        <f>H23='03. Dulieutaichinhlamsach_RG'!H23</f>
        <v/>
      </c>
    </row>
    <row r="24">
      <c r="B24" s="425" t="inlineStr">
        <is>
          <t>6. Dự phòng phải thu khó đòi (*)</t>
        </is>
      </c>
      <c r="C24" s="421" t="n"/>
      <c r="D24" s="30" t="n"/>
      <c r="E24" s="30" t="n"/>
      <c r="F24" s="30" t="n"/>
      <c r="G24" s="31" t="n"/>
      <c r="H24" s="281" t="n"/>
      <c r="I24" s="270">
        <f>D24='03. Dulieutaichinhlamsach_RG'!D24</f>
        <v/>
      </c>
      <c r="J24" s="270">
        <f>E24='03. Dulieutaichinhlamsach_RG'!E24</f>
        <v/>
      </c>
      <c r="K24" s="270">
        <f>F24='03. Dulieutaichinhlamsach_RG'!F24</f>
        <v/>
      </c>
      <c r="L24" s="270">
        <f>G24='03. Dulieutaichinhlamsach_RG'!G24</f>
        <v/>
      </c>
      <c r="M24" s="270">
        <f>H24='03. Dulieutaichinhlamsach_RG'!H24</f>
        <v/>
      </c>
    </row>
    <row r="25">
      <c r="B25" s="420" t="inlineStr">
        <is>
          <t xml:space="preserve">    IV. Hàng tồn kho</t>
        </is>
      </c>
      <c r="C25" s="418" t="n"/>
      <c r="D25" s="30" t="n"/>
      <c r="E25" s="30" t="n"/>
      <c r="F25" s="30" t="n"/>
      <c r="G25" s="29" t="n"/>
      <c r="H25" s="279" t="n"/>
      <c r="I25" s="270">
        <f>D25='03. Dulieutaichinhlamsach_RG'!D25</f>
        <v/>
      </c>
      <c r="J25" s="270">
        <f>E25='03. Dulieutaichinhlamsach_RG'!E25</f>
        <v/>
      </c>
      <c r="K25" s="270">
        <f>F25='03. Dulieutaichinhlamsach_RG'!F25</f>
        <v/>
      </c>
      <c r="L25" s="270">
        <f>G25='03. Dulieutaichinhlamsach_RG'!G25</f>
        <v/>
      </c>
      <c r="M25" s="270">
        <f>H25='03. Dulieutaichinhlamsach_RG'!H25</f>
        <v/>
      </c>
    </row>
    <row r="26">
      <c r="B26" s="424" t="inlineStr">
        <is>
          <t>1. Hàng tồn kho</t>
        </is>
      </c>
      <c r="C26" s="421" t="n"/>
      <c r="D26" s="30" t="n"/>
      <c r="E26" s="30" t="n"/>
      <c r="F26" s="30" t="n"/>
      <c r="G26" s="31" t="n"/>
      <c r="H26" s="281" t="n"/>
      <c r="I26" s="270">
        <f>D26='03. Dulieutaichinhlamsach_RG'!D26</f>
        <v/>
      </c>
      <c r="J26" s="270">
        <f>E26='03. Dulieutaichinhlamsach_RG'!E26</f>
        <v/>
      </c>
      <c r="K26" s="270">
        <f>F26='03. Dulieutaichinhlamsach_RG'!F26</f>
        <v/>
      </c>
      <c r="L26" s="270">
        <f>G26='03. Dulieutaichinhlamsach_RG'!G26</f>
        <v/>
      </c>
      <c r="M26" s="270">
        <f>H26='03. Dulieutaichinhlamsach_RG'!H26</f>
        <v/>
      </c>
    </row>
    <row r="27">
      <c r="B27" s="425" t="inlineStr">
        <is>
          <t>2. Dự phòng giảm giả hàng tồn kho (*)</t>
        </is>
      </c>
      <c r="C27" s="421" t="n"/>
      <c r="D27" s="30" t="n"/>
      <c r="E27" s="30" t="n"/>
      <c r="F27" s="30" t="n"/>
      <c r="G27" s="30" t="n"/>
      <c r="H27" s="281" t="n"/>
      <c r="I27" s="270">
        <f>D27='03. Dulieutaichinhlamsach_RG'!D27</f>
        <v/>
      </c>
      <c r="J27" s="270">
        <f>E27='03. Dulieutaichinhlamsach_RG'!E27</f>
        <v/>
      </c>
      <c r="K27" s="270">
        <f>F27='03. Dulieutaichinhlamsach_RG'!F27</f>
        <v/>
      </c>
      <c r="L27" s="270">
        <f>G27='03. Dulieutaichinhlamsach_RG'!G27</f>
        <v/>
      </c>
      <c r="M27" s="270">
        <f>H27='03. Dulieutaichinhlamsach_RG'!H27</f>
        <v/>
      </c>
    </row>
    <row r="28">
      <c r="B28" s="423" t="inlineStr">
        <is>
          <t xml:space="preserve">V. Tài sản cố định </t>
        </is>
      </c>
      <c r="C28" s="421" t="n"/>
      <c r="D28" s="30" t="n"/>
      <c r="E28" s="30" t="n"/>
      <c r="F28" s="30" t="n"/>
      <c r="G28" s="29" t="n"/>
      <c r="H28" s="279" t="n"/>
      <c r="I28" s="270">
        <f>D28='03. Dulieutaichinhlamsach_RG'!D28</f>
        <v/>
      </c>
      <c r="J28" s="270">
        <f>E28='03. Dulieutaichinhlamsach_RG'!E28</f>
        <v/>
      </c>
      <c r="K28" s="270">
        <f>F28='03. Dulieutaichinhlamsach_RG'!F28</f>
        <v/>
      </c>
      <c r="L28" s="270">
        <f>G28='03. Dulieutaichinhlamsach_RG'!G28</f>
        <v/>
      </c>
      <c r="M28" s="270">
        <f>H28='03. Dulieutaichinhlamsach_RG'!H28</f>
        <v/>
      </c>
    </row>
    <row r="29">
      <c r="B29" s="424" t="inlineStr">
        <is>
          <t>- Nguyên giá</t>
        </is>
      </c>
      <c r="C29" s="421" t="n"/>
      <c r="D29" s="31" t="n"/>
      <c r="E29" s="30" t="n"/>
      <c r="F29" s="31" t="n"/>
      <c r="G29" s="31" t="n"/>
      <c r="H29" s="279" t="n"/>
      <c r="I29" s="270">
        <f>D29='03. Dulieutaichinhlamsach_RG'!D29</f>
        <v/>
      </c>
      <c r="J29" s="270">
        <f>E29='03. Dulieutaichinhlamsach_RG'!E29</f>
        <v/>
      </c>
      <c r="K29" s="270">
        <f>F29='03. Dulieutaichinhlamsach_RG'!F29</f>
        <v/>
      </c>
      <c r="L29" s="270">
        <f>G29='03. Dulieutaichinhlamsach_RG'!G29</f>
        <v/>
      </c>
      <c r="M29" s="270">
        <f>H29='03. Dulieutaichinhlamsach_RG'!H29</f>
        <v/>
      </c>
    </row>
    <row r="30">
      <c r="B30" s="425" t="inlineStr">
        <is>
          <t>- Giá trị hao mòn lũy kế</t>
        </is>
      </c>
      <c r="C30" s="421" t="n"/>
      <c r="D30" s="31" t="n"/>
      <c r="E30" s="31" t="n"/>
      <c r="F30" s="31" t="n"/>
      <c r="G30" s="31" t="n"/>
      <c r="H30" s="282" t="n"/>
      <c r="I30" s="270">
        <f>D30='03. Dulieutaichinhlamsach_RG'!D30</f>
        <v/>
      </c>
      <c r="J30" s="270">
        <f>E30='03. Dulieutaichinhlamsach_RG'!E30</f>
        <v/>
      </c>
      <c r="K30" s="270">
        <f>F30='03. Dulieutaichinhlamsach_RG'!F30</f>
        <v/>
      </c>
      <c r="L30" s="270">
        <f>G30='03. Dulieutaichinhlamsach_RG'!G30</f>
        <v/>
      </c>
      <c r="M30" s="270">
        <f>H30='03. Dulieutaichinhlamsach_RG'!H30</f>
        <v/>
      </c>
    </row>
    <row r="31">
      <c r="B31" s="423" t="inlineStr">
        <is>
          <t>VI. Bất động sản đầu tư</t>
        </is>
      </c>
      <c r="C31" s="418" t="n"/>
      <c r="D31" s="30" t="n"/>
      <c r="E31" s="30" t="n"/>
      <c r="F31" s="30" t="n"/>
      <c r="G31" s="29" t="n"/>
      <c r="H31" s="279" t="n"/>
      <c r="I31" s="270">
        <f>D31='03. Dulieutaichinhlamsach_RG'!D31</f>
        <v/>
      </c>
      <c r="J31" s="270">
        <f>E31='03. Dulieutaichinhlamsach_RG'!E31</f>
        <v/>
      </c>
      <c r="K31" s="270">
        <f>F31='03. Dulieutaichinhlamsach_RG'!F31</f>
        <v/>
      </c>
      <c r="L31" s="270">
        <f>G31='03. Dulieutaichinhlamsach_RG'!G31</f>
        <v/>
      </c>
      <c r="M31" s="270">
        <f>H31='03. Dulieutaichinhlamsach_RG'!H31</f>
        <v/>
      </c>
    </row>
    <row r="32">
      <c r="B32" s="424" t="inlineStr">
        <is>
          <t>- Nguyên giá</t>
        </is>
      </c>
      <c r="C32" s="421" t="n"/>
      <c r="D32" s="31" t="n"/>
      <c r="E32" s="30" t="n"/>
      <c r="F32" s="31" t="n"/>
      <c r="G32" s="31" t="n"/>
      <c r="H32" s="282" t="n"/>
      <c r="I32" s="270">
        <f>D32='03. Dulieutaichinhlamsach_RG'!D32</f>
        <v/>
      </c>
      <c r="J32" s="270">
        <f>E32='03. Dulieutaichinhlamsach_RG'!E32</f>
        <v/>
      </c>
      <c r="K32" s="270">
        <f>F32='03. Dulieutaichinhlamsach_RG'!F32</f>
        <v/>
      </c>
      <c r="L32" s="270">
        <f>G32='03. Dulieutaichinhlamsach_RG'!G32</f>
        <v/>
      </c>
      <c r="M32" s="270">
        <f>H32='03. Dulieutaichinhlamsach_RG'!H32</f>
        <v/>
      </c>
    </row>
    <row r="33">
      <c r="B33" s="425" t="inlineStr">
        <is>
          <t>- Giá trị hao mòn lũy kế (*)</t>
        </is>
      </c>
      <c r="C33" s="421" t="n"/>
      <c r="D33" s="30" t="n"/>
      <c r="E33" s="30" t="n"/>
      <c r="F33" s="30" t="n"/>
      <c r="G33" s="31" t="n"/>
      <c r="H33" s="281" t="n"/>
      <c r="I33" s="270">
        <f>D33='03. Dulieutaichinhlamsach_RG'!D33</f>
        <v/>
      </c>
      <c r="J33" s="270">
        <f>E33='03. Dulieutaichinhlamsach_RG'!E33</f>
        <v/>
      </c>
      <c r="K33" s="270">
        <f>F33='03. Dulieutaichinhlamsach_RG'!F33</f>
        <v/>
      </c>
      <c r="L33" s="270">
        <f>G33='03. Dulieutaichinhlamsach_RG'!G33</f>
        <v/>
      </c>
      <c r="M33" s="270">
        <f>H33='03. Dulieutaichinhlamsach_RG'!H33</f>
        <v/>
      </c>
    </row>
    <row r="34">
      <c r="B34" s="423" t="inlineStr">
        <is>
          <t>VII. XDCB dở dang</t>
        </is>
      </c>
      <c r="C34" s="418" t="n"/>
      <c r="D34" s="31" t="n"/>
      <c r="E34" s="30" t="n"/>
      <c r="F34" s="31" t="n"/>
      <c r="G34" s="29" t="n"/>
      <c r="H34" s="279" t="n"/>
      <c r="I34" s="270">
        <f>D34='03. Dulieutaichinhlamsach_RG'!D34</f>
        <v/>
      </c>
      <c r="J34" s="270">
        <f>E34='03. Dulieutaichinhlamsach_RG'!E34</f>
        <v/>
      </c>
      <c r="K34" s="270">
        <f>F34='03. Dulieutaichinhlamsach_RG'!F34</f>
        <v/>
      </c>
      <c r="L34" s="270">
        <f>G34='03. Dulieutaichinhlamsach_RG'!G34</f>
        <v/>
      </c>
      <c r="M34" s="270">
        <f>H34='03. Dulieutaichinhlamsach_RG'!H34</f>
        <v/>
      </c>
    </row>
    <row r="35">
      <c r="B35" s="423" t="inlineStr">
        <is>
          <t>VIII. Tài sản khác</t>
        </is>
      </c>
      <c r="C35" s="421" t="n"/>
      <c r="D35" s="30" t="n"/>
      <c r="E35" s="30" t="n"/>
      <c r="F35" s="30" t="n"/>
      <c r="G35" s="32" t="n"/>
      <c r="H35" s="282" t="n"/>
      <c r="I35" s="270">
        <f>D35='03. Dulieutaichinhlamsach_RG'!D35</f>
        <v/>
      </c>
      <c r="J35" s="270">
        <f>E35='03. Dulieutaichinhlamsach_RG'!E35</f>
        <v/>
      </c>
      <c r="K35" s="270">
        <f>F35='03. Dulieutaichinhlamsach_RG'!F35</f>
        <v/>
      </c>
      <c r="L35" s="270">
        <f>G35='03. Dulieutaichinhlamsach_RG'!G35</f>
        <v/>
      </c>
      <c r="M35" s="270">
        <f>H35='03. Dulieutaichinhlamsach_RG'!H35</f>
        <v/>
      </c>
    </row>
    <row r="36">
      <c r="B36" s="424" t="inlineStr">
        <is>
          <t>1. Thuế GTGT được khấu trừ</t>
        </is>
      </c>
      <c r="C36" s="421" t="n"/>
      <c r="D36" s="30" t="n"/>
      <c r="E36" s="30" t="n"/>
      <c r="F36" s="30" t="n"/>
      <c r="G36" s="32" t="n"/>
      <c r="H36" s="282" t="n"/>
      <c r="I36" s="270">
        <f>D36='03. Dulieutaichinhlamsach_RG'!D36</f>
        <v/>
      </c>
      <c r="J36" s="270">
        <f>E36='03. Dulieutaichinhlamsach_RG'!E36</f>
        <v/>
      </c>
      <c r="K36" s="270">
        <f>F36='03. Dulieutaichinhlamsach_RG'!F36</f>
        <v/>
      </c>
      <c r="L36" s="270">
        <f>G36='03. Dulieutaichinhlamsach_RG'!G36</f>
        <v/>
      </c>
      <c r="M36" s="270">
        <f>H36='03. Dulieutaichinhlamsach_RG'!H36</f>
        <v/>
      </c>
    </row>
    <row r="37">
      <c r="B37" s="424" t="inlineStr">
        <is>
          <t>2. Tài sản khác</t>
        </is>
      </c>
      <c r="C37" s="421" t="n"/>
      <c r="D37" s="30" t="n"/>
      <c r="E37" s="30" t="n"/>
      <c r="F37" s="30" t="n"/>
      <c r="G37" s="32" t="n"/>
      <c r="H37" s="282" t="n"/>
      <c r="I37" s="270">
        <f>D37='03. Dulieutaichinhlamsach_RG'!D37</f>
        <v/>
      </c>
      <c r="J37" s="270">
        <f>E37='03. Dulieutaichinhlamsach_RG'!E37</f>
        <v/>
      </c>
      <c r="K37" s="270">
        <f>F37='03. Dulieutaichinhlamsach_RG'!F37</f>
        <v/>
      </c>
      <c r="L37" s="270">
        <f>G37='03. Dulieutaichinhlamsach_RG'!G37</f>
        <v/>
      </c>
      <c r="M37" s="270">
        <f>H37='03. Dulieutaichinhlamsach_RG'!H37</f>
        <v/>
      </c>
    </row>
    <row r="38">
      <c r="B38" s="426" t="inlineStr">
        <is>
          <t>TỔNG CỘNG NGUỒN VỐN</t>
        </is>
      </c>
      <c r="C38" s="422" t="n"/>
      <c r="D38" s="30" t="n"/>
      <c r="E38" s="433" t="n"/>
      <c r="F38" s="433" t="n"/>
      <c r="G38" s="30" t="n"/>
      <c r="H38" s="300" t="n"/>
      <c r="I38" s="270">
        <f>D38='03. Dulieutaichinhlamsach_RG'!D38</f>
        <v/>
      </c>
      <c r="J38" s="270">
        <f>E38='03. Dulieutaichinhlamsach_RG'!E38</f>
        <v/>
      </c>
      <c r="K38" s="270">
        <f>F38='03. Dulieutaichinhlamsach_RG'!F38</f>
        <v/>
      </c>
      <c r="L38" s="270">
        <f>G38='03. Dulieutaichinhlamsach_RG'!G38</f>
        <v/>
      </c>
      <c r="M38" s="270">
        <f>H38='03. Dulieutaichinhlamsach_RG'!H38</f>
        <v/>
      </c>
    </row>
    <row r="39">
      <c r="B39" s="427" t="inlineStr">
        <is>
          <t>I. Nợ phải trả</t>
        </is>
      </c>
      <c r="C39" s="418" t="n"/>
      <c r="D39" s="30" t="n"/>
      <c r="E39" s="30" t="n"/>
      <c r="F39" s="30" t="n"/>
      <c r="G39" s="29" t="n"/>
      <c r="H39" s="279" t="n"/>
      <c r="I39" s="270">
        <f>D39='03. Dulieutaichinhlamsach_RG'!D39</f>
        <v/>
      </c>
      <c r="J39" s="270">
        <f>E39='03. Dulieutaichinhlamsach_RG'!E39</f>
        <v/>
      </c>
      <c r="K39" s="270">
        <f>F39='03. Dulieutaichinhlamsach_RG'!F39</f>
        <v/>
      </c>
      <c r="L39" s="270">
        <f>G39='03. Dulieutaichinhlamsach_RG'!G39</f>
        <v/>
      </c>
      <c r="M39" s="270">
        <f>H39='03. Dulieutaichinhlamsach_RG'!H39</f>
        <v/>
      </c>
    </row>
    <row r="40">
      <c r="B40" s="424" t="inlineStr">
        <is>
          <t>1. Phải trả người bán</t>
        </is>
      </c>
      <c r="C40" s="418" t="n"/>
      <c r="D40" s="30" t="n"/>
      <c r="E40" s="30" t="n"/>
      <c r="F40" s="30" t="n"/>
      <c r="G40" s="29" t="n"/>
      <c r="H40" s="279" t="n"/>
      <c r="I40" s="270">
        <f>D40='03. Dulieutaichinhlamsach_RG'!D40</f>
        <v/>
      </c>
      <c r="J40" s="270">
        <f>E40='03. Dulieutaichinhlamsach_RG'!E40</f>
        <v/>
      </c>
      <c r="K40" s="270">
        <f>F40='03. Dulieutaichinhlamsach_RG'!F40</f>
        <v/>
      </c>
      <c r="L40" s="270">
        <f>G40='03. Dulieutaichinhlamsach_RG'!G40</f>
        <v/>
      </c>
      <c r="M40" s="270">
        <f>H40='03. Dulieutaichinhlamsach_RG'!H40</f>
        <v/>
      </c>
    </row>
    <row r="41">
      <c r="B41" s="424" t="inlineStr">
        <is>
          <t>2. Người mua trả tiền trước</t>
        </is>
      </c>
      <c r="C41" s="418" t="n"/>
      <c r="D41" s="31" t="n"/>
      <c r="E41" s="31" t="n"/>
      <c r="F41" s="31" t="n"/>
      <c r="G41" s="31" t="n"/>
      <c r="H41" s="281" t="n"/>
      <c r="I41" s="270">
        <f>D41='03. Dulieutaichinhlamsach_RG'!D41</f>
        <v/>
      </c>
      <c r="J41" s="270">
        <f>E41='03. Dulieutaichinhlamsach_RG'!E41</f>
        <v/>
      </c>
      <c r="K41" s="270">
        <f>F41='03. Dulieutaichinhlamsach_RG'!F41</f>
        <v/>
      </c>
      <c r="L41" s="270">
        <f>G41='03. Dulieutaichinhlamsach_RG'!G41</f>
        <v/>
      </c>
      <c r="M41" s="270">
        <f>H41='03. Dulieutaichinhlamsach_RG'!H41</f>
        <v/>
      </c>
    </row>
    <row r="42">
      <c r="B42" s="424" t="inlineStr">
        <is>
          <t>3. Thuế và các khoản phải nộp Nhà nước</t>
        </is>
      </c>
      <c r="C42" s="418" t="n"/>
      <c r="D42" s="31" t="n"/>
      <c r="E42" s="31" t="n"/>
      <c r="F42" s="31" t="n"/>
      <c r="G42" s="31" t="n"/>
      <c r="H42" s="282" t="n"/>
      <c r="I42" s="270">
        <f>D42='03. Dulieutaichinhlamsach_RG'!D42</f>
        <v/>
      </c>
      <c r="J42" s="270">
        <f>E42='03. Dulieutaichinhlamsach_RG'!E42</f>
        <v/>
      </c>
      <c r="K42" s="270">
        <f>F42='03. Dulieutaichinhlamsach_RG'!F42</f>
        <v/>
      </c>
      <c r="L42" s="270">
        <f>G42='03. Dulieutaichinhlamsach_RG'!G42</f>
        <v/>
      </c>
      <c r="M42" s="270">
        <f>H42='03. Dulieutaichinhlamsach_RG'!H42</f>
        <v/>
      </c>
    </row>
    <row r="43">
      <c r="B43" s="424" t="inlineStr">
        <is>
          <t>4. Phải trả người lao động</t>
        </is>
      </c>
      <c r="C43" s="418" t="n"/>
      <c r="D43" s="31" t="n"/>
      <c r="E43" s="31" t="n"/>
      <c r="F43" s="31" t="n"/>
      <c r="G43" s="31" t="n"/>
      <c r="H43" s="282" t="n"/>
      <c r="I43" s="270">
        <f>D43='03. Dulieutaichinhlamsach_RG'!D43</f>
        <v/>
      </c>
      <c r="J43" s="270">
        <f>E43='03. Dulieutaichinhlamsach_RG'!E43</f>
        <v/>
      </c>
      <c r="K43" s="270">
        <f>F43='03. Dulieutaichinhlamsach_RG'!F43</f>
        <v/>
      </c>
      <c r="L43" s="270">
        <f>G43='03. Dulieutaichinhlamsach_RG'!G43</f>
        <v/>
      </c>
      <c r="M43" s="270">
        <f>H43='03. Dulieutaichinhlamsach_RG'!H43</f>
        <v/>
      </c>
    </row>
    <row r="44">
      <c r="B44" s="424" t="inlineStr">
        <is>
          <t>5. Phải trả khác</t>
        </is>
      </c>
      <c r="C44" s="418" t="n"/>
      <c r="D44" s="31" t="n"/>
      <c r="E44" s="31" t="n"/>
      <c r="F44" s="31" t="n"/>
      <c r="G44" s="31" t="n"/>
      <c r="H44" s="282" t="n"/>
      <c r="I44" s="270">
        <f>D44='03. Dulieutaichinhlamsach_RG'!D44</f>
        <v/>
      </c>
      <c r="J44" s="270">
        <f>E44='03. Dulieutaichinhlamsach_RG'!E44</f>
        <v/>
      </c>
      <c r="K44" s="270">
        <f>F44='03. Dulieutaichinhlamsach_RG'!F44</f>
        <v/>
      </c>
      <c r="L44" s="270">
        <f>G44='03. Dulieutaichinhlamsach_RG'!G44</f>
        <v/>
      </c>
      <c r="M44" s="270">
        <f>H44='03. Dulieutaichinhlamsach_RG'!H44</f>
        <v/>
      </c>
    </row>
    <row r="45">
      <c r="B45" s="424" t="inlineStr">
        <is>
          <t>6. Vay và nợ thuê tài chính</t>
        </is>
      </c>
      <c r="C45" s="418" t="n"/>
      <c r="D45" s="31" t="n"/>
      <c r="E45" s="31" t="n"/>
      <c r="F45" s="31" t="n"/>
      <c r="G45" s="31" t="n"/>
      <c r="H45" s="282" t="n"/>
      <c r="I45" s="270">
        <f>D45='03. Dulieutaichinhlamsach_RG'!D45</f>
        <v/>
      </c>
      <c r="J45" s="270">
        <f>E45='03. Dulieutaichinhlamsach_RG'!E45</f>
        <v/>
      </c>
      <c r="K45" s="270">
        <f>F45='03. Dulieutaichinhlamsach_RG'!F45</f>
        <v/>
      </c>
      <c r="L45" s="270">
        <f>G45='03. Dulieutaichinhlamsach_RG'!G45</f>
        <v/>
      </c>
      <c r="M45" s="270">
        <f>H45='03. Dulieutaichinhlamsach_RG'!H45</f>
        <v/>
      </c>
    </row>
    <row r="46">
      <c r="B46" s="424" t="inlineStr">
        <is>
          <t>7. Phải trả nội bộ về vốn kinh doanh</t>
        </is>
      </c>
      <c r="C46" s="418" t="n"/>
      <c r="D46" s="31" t="n"/>
      <c r="E46" s="31" t="n"/>
      <c r="F46" s="31" t="n"/>
      <c r="G46" s="31" t="n"/>
      <c r="H46" s="282" t="n"/>
      <c r="I46" s="270">
        <f>D46='03. Dulieutaichinhlamsach_RG'!D46</f>
        <v/>
      </c>
      <c r="J46" s="270">
        <f>E46='03. Dulieutaichinhlamsach_RG'!E46</f>
        <v/>
      </c>
      <c r="K46" s="270">
        <f>F46='03. Dulieutaichinhlamsach_RG'!F46</f>
        <v/>
      </c>
      <c r="L46" s="270">
        <f>G46='03. Dulieutaichinhlamsach_RG'!G46</f>
        <v/>
      </c>
      <c r="M46" s="270">
        <f>H46='03. Dulieutaichinhlamsach_RG'!H46</f>
        <v/>
      </c>
    </row>
    <row r="47">
      <c r="B47" s="424" t="inlineStr">
        <is>
          <t>8. Dự phòng phải trả</t>
        </is>
      </c>
      <c r="C47" s="418" t="n"/>
      <c r="D47" s="31" t="n"/>
      <c r="E47" s="31" t="n"/>
      <c r="F47" s="31" t="n"/>
      <c r="G47" s="31" t="n"/>
      <c r="H47" s="282" t="n"/>
      <c r="I47" s="270">
        <f>D47='03. Dulieutaichinhlamsach_RG'!D47</f>
        <v/>
      </c>
      <c r="J47" s="270">
        <f>E47='03. Dulieutaichinhlamsach_RG'!E47</f>
        <v/>
      </c>
      <c r="K47" s="270">
        <f>F47='03. Dulieutaichinhlamsach_RG'!F47</f>
        <v/>
      </c>
      <c r="L47" s="270">
        <f>G47='03. Dulieutaichinhlamsach_RG'!G47</f>
        <v/>
      </c>
      <c r="M47" s="270">
        <f>H47='03. Dulieutaichinhlamsach_RG'!H47</f>
        <v/>
      </c>
    </row>
    <row r="48">
      <c r="B48" s="424" t="inlineStr">
        <is>
          <t>9. Quỹ khen thưởng, phúc lợi</t>
        </is>
      </c>
      <c r="C48" s="421" t="n"/>
      <c r="D48" s="31" t="n"/>
      <c r="E48" s="31" t="n"/>
      <c r="F48" s="31" t="n"/>
      <c r="G48" s="31" t="n"/>
      <c r="H48" s="281" t="n"/>
      <c r="I48" s="270">
        <f>D48='03. Dulieutaichinhlamsach_RG'!D48</f>
        <v/>
      </c>
      <c r="J48" s="270">
        <f>E48='03. Dulieutaichinhlamsach_RG'!E48</f>
        <v/>
      </c>
      <c r="K48" s="270">
        <f>F48='03. Dulieutaichinhlamsach_RG'!F48</f>
        <v/>
      </c>
      <c r="L48" s="270">
        <f>G48='03. Dulieutaichinhlamsach_RG'!G48</f>
        <v/>
      </c>
      <c r="M48" s="270">
        <f>H48='03. Dulieutaichinhlamsach_RG'!H48</f>
        <v/>
      </c>
    </row>
    <row r="49">
      <c r="B49" s="428" t="inlineStr">
        <is>
          <t>10. Quỹ phát triển khoa học và công nghệ</t>
        </is>
      </c>
      <c r="C49" s="421" t="n"/>
      <c r="D49" s="31" t="n"/>
      <c r="E49" s="31" t="n"/>
      <c r="F49" s="31" t="n"/>
      <c r="G49" s="31" t="n"/>
      <c r="H49" s="281" t="n"/>
      <c r="I49" s="270">
        <f>D49='03. Dulieutaichinhlamsach_RG'!D49</f>
        <v/>
      </c>
      <c r="J49" s="270">
        <f>E49='03. Dulieutaichinhlamsach_RG'!E49</f>
        <v/>
      </c>
      <c r="K49" s="270">
        <f>F49='03. Dulieutaichinhlamsach_RG'!F49</f>
        <v/>
      </c>
      <c r="L49" s="270">
        <f>G49='03. Dulieutaichinhlamsach_RG'!G49</f>
        <v/>
      </c>
      <c r="M49" s="270">
        <f>H49='03. Dulieutaichinhlamsach_RG'!H49</f>
        <v/>
      </c>
    </row>
    <row r="50">
      <c r="B50" s="427" t="inlineStr">
        <is>
          <t>II. Vốn chủ sở hữu</t>
        </is>
      </c>
      <c r="C50" s="418" t="n"/>
      <c r="D50" s="30" t="n"/>
      <c r="E50" s="30" t="n"/>
      <c r="F50" s="30" t="n"/>
      <c r="G50" s="29" t="n"/>
      <c r="H50" s="279" t="n"/>
      <c r="I50" s="270">
        <f>D50='03. Dulieutaichinhlamsach_RG'!D50</f>
        <v/>
      </c>
      <c r="J50" s="270">
        <f>E50='03. Dulieutaichinhlamsach_RG'!E50</f>
        <v/>
      </c>
      <c r="K50" s="270">
        <f>F50='03. Dulieutaichinhlamsach_RG'!F50</f>
        <v/>
      </c>
      <c r="L50" s="270">
        <f>G50='03. Dulieutaichinhlamsach_RG'!G50</f>
        <v/>
      </c>
      <c r="M50" s="270">
        <f>H50='03. Dulieutaichinhlamsach_RG'!H50</f>
        <v/>
      </c>
    </row>
    <row r="51">
      <c r="B51" s="424" t="inlineStr">
        <is>
          <t>1. Vốn góp của chủ sở hữu</t>
        </is>
      </c>
      <c r="C51" s="418" t="n"/>
      <c r="D51" s="30" t="n"/>
      <c r="E51" s="30" t="n"/>
      <c r="F51" s="30" t="n"/>
      <c r="G51" s="29" t="n"/>
      <c r="H51" s="279" t="n"/>
      <c r="I51" s="270">
        <f>D51='03. Dulieutaichinhlamsach_RG'!D51</f>
        <v/>
      </c>
      <c r="J51" s="270">
        <f>E51='03. Dulieutaichinhlamsach_RG'!E51</f>
        <v/>
      </c>
      <c r="K51" s="270">
        <f>F51='03. Dulieutaichinhlamsach_RG'!F51</f>
        <v/>
      </c>
      <c r="L51" s="270">
        <f>G51='03. Dulieutaichinhlamsach_RG'!G51</f>
        <v/>
      </c>
      <c r="M51" s="270">
        <f>H51='03. Dulieutaichinhlamsach_RG'!H51</f>
        <v/>
      </c>
    </row>
    <row r="52">
      <c r="B52" s="424" t="inlineStr">
        <is>
          <t>2. Thặng dư vốn cổ phần</t>
        </is>
      </c>
      <c r="C52" s="418" t="n"/>
      <c r="D52" s="31" t="n"/>
      <c r="E52" s="31" t="n"/>
      <c r="F52" s="31" t="n"/>
      <c r="G52" s="31" t="n"/>
      <c r="H52" s="281" t="n"/>
      <c r="I52" s="270">
        <f>D52='03. Dulieutaichinhlamsach_RG'!D52</f>
        <v/>
      </c>
      <c r="J52" s="270">
        <f>E52='03. Dulieutaichinhlamsach_RG'!E52</f>
        <v/>
      </c>
      <c r="K52" s="270">
        <f>F52='03. Dulieutaichinhlamsach_RG'!F52</f>
        <v/>
      </c>
      <c r="L52" s="270">
        <f>G52='03. Dulieutaichinhlamsach_RG'!G52</f>
        <v/>
      </c>
      <c r="M52" s="270">
        <f>H52='03. Dulieutaichinhlamsach_RG'!H52</f>
        <v/>
      </c>
    </row>
    <row r="53">
      <c r="B53" s="424" t="inlineStr">
        <is>
          <t>3. Vốn khác của chủ sở hữu</t>
        </is>
      </c>
      <c r="C53" s="418" t="n"/>
      <c r="D53" s="30" t="n"/>
      <c r="E53" s="30" t="n"/>
      <c r="F53" s="30" t="n"/>
      <c r="G53" s="31" t="n"/>
      <c r="H53" s="282" t="n"/>
      <c r="I53" s="270">
        <f>D53='03. Dulieutaichinhlamsach_RG'!D53</f>
        <v/>
      </c>
      <c r="J53" s="270">
        <f>E53='03. Dulieutaichinhlamsach_RG'!E53</f>
        <v/>
      </c>
      <c r="K53" s="270">
        <f>F53='03. Dulieutaichinhlamsach_RG'!F53</f>
        <v/>
      </c>
      <c r="L53" s="270">
        <f>G53='03. Dulieutaichinhlamsach_RG'!G53</f>
        <v/>
      </c>
      <c r="M53" s="270">
        <f>H53='03. Dulieutaichinhlamsach_RG'!H53</f>
        <v/>
      </c>
    </row>
    <row r="54">
      <c r="B54" s="424" t="inlineStr">
        <is>
          <t>4. Cổ phiếu quỹ (*)</t>
        </is>
      </c>
      <c r="C54" s="418" t="n"/>
      <c r="D54" s="30" t="n"/>
      <c r="E54" s="30" t="n"/>
      <c r="F54" s="30" t="n"/>
      <c r="G54" s="31" t="n"/>
      <c r="H54" s="282" t="n"/>
      <c r="I54" s="270">
        <f>D54='03. Dulieutaichinhlamsach_RG'!D54</f>
        <v/>
      </c>
      <c r="J54" s="270">
        <f>E54='03. Dulieutaichinhlamsach_RG'!E54</f>
        <v/>
      </c>
      <c r="K54" s="270">
        <f>F54='03. Dulieutaichinhlamsach_RG'!F54</f>
        <v/>
      </c>
      <c r="L54" s="270">
        <f>G54='03. Dulieutaichinhlamsach_RG'!G54</f>
        <v/>
      </c>
      <c r="M54" s="270">
        <f>H54='03. Dulieutaichinhlamsach_RG'!H54</f>
        <v/>
      </c>
    </row>
    <row r="55">
      <c r="B55" s="424" t="inlineStr">
        <is>
          <t>5. Chênh lệch tỷ giá hối đoái</t>
        </is>
      </c>
      <c r="C55" s="418" t="n"/>
      <c r="D55" s="30" t="n"/>
      <c r="E55" s="30" t="n"/>
      <c r="F55" s="30" t="n"/>
      <c r="G55" s="31" t="n"/>
      <c r="H55" s="282" t="n"/>
      <c r="I55" s="270">
        <f>D55='03. Dulieutaichinhlamsach_RG'!D55</f>
        <v/>
      </c>
      <c r="J55" s="270">
        <f>E55='03. Dulieutaichinhlamsach_RG'!E55</f>
        <v/>
      </c>
      <c r="K55" s="270">
        <f>F55='03. Dulieutaichinhlamsach_RG'!F55</f>
        <v/>
      </c>
      <c r="L55" s="270">
        <f>G55='03. Dulieutaichinhlamsach_RG'!G55</f>
        <v/>
      </c>
      <c r="M55" s="270">
        <f>H55='03. Dulieutaichinhlamsach_RG'!H55</f>
        <v/>
      </c>
    </row>
    <row r="56">
      <c r="B56" s="424" t="inlineStr">
        <is>
          <t>6. Các quỹ thuộc vốn chủ sở hữu</t>
        </is>
      </c>
      <c r="C56" s="418" t="n"/>
      <c r="D56" s="30" t="n"/>
      <c r="E56" s="30" t="n"/>
      <c r="F56" s="30" t="n"/>
      <c r="G56" s="31" t="n"/>
      <c r="H56" s="282" t="n"/>
      <c r="I56" s="270">
        <f>D56='03. Dulieutaichinhlamsach_RG'!D56</f>
        <v/>
      </c>
      <c r="J56" s="270">
        <f>E56='03. Dulieutaichinhlamsach_RG'!E56</f>
        <v/>
      </c>
      <c r="K56" s="270">
        <f>F56='03. Dulieutaichinhlamsach_RG'!F56</f>
        <v/>
      </c>
      <c r="L56" s="270">
        <f>G56='03. Dulieutaichinhlamsach_RG'!G56</f>
        <v/>
      </c>
      <c r="M56" s="270">
        <f>H56='03. Dulieutaichinhlamsach_RG'!H56</f>
        <v/>
      </c>
    </row>
    <row r="57">
      <c r="B57" s="424" t="inlineStr">
        <is>
          <t>7. Lợi nhuận sau thuế chưa phân phối</t>
        </is>
      </c>
      <c r="C57" s="418" t="n"/>
      <c r="D57" s="30" t="n"/>
      <c r="E57" s="30" t="n"/>
      <c r="F57" s="30" t="n"/>
      <c r="G57" s="31" t="n"/>
      <c r="H57" s="282" t="n"/>
      <c r="I57" s="270">
        <f>D57='03. Dulieutaichinhlamsach_RG'!D57</f>
        <v/>
      </c>
      <c r="J57" s="270">
        <f>E57='03. Dulieutaichinhlamsach_RG'!E57</f>
        <v/>
      </c>
      <c r="K57" s="270">
        <f>F57='03. Dulieutaichinhlamsach_RG'!F57</f>
        <v/>
      </c>
      <c r="L57" s="270">
        <f>G57='03. Dulieutaichinhlamsach_RG'!G57</f>
        <v/>
      </c>
      <c r="M57" s="270">
        <f>H57='03. Dulieutaichinhlamsach_RG'!H57</f>
        <v/>
      </c>
    </row>
    <row r="58">
      <c r="B58" s="430" t="inlineStr">
        <is>
          <t xml:space="preserve">II. Báo cáo kết quả hoạt động SXKD </t>
        </is>
      </c>
      <c r="C58" s="438" t="n"/>
      <c r="D58" s="439" t="n"/>
      <c r="E58" s="439" t="n"/>
      <c r="F58" s="439" t="n"/>
      <c r="G58" s="439" t="n"/>
      <c r="H58" s="505" t="n"/>
      <c r="I58" s="270">
        <f>D58='03. Dulieutaichinhlamsach_RG'!D58</f>
        <v/>
      </c>
      <c r="J58" s="270">
        <f>E58='03. Dulieutaichinhlamsach_RG'!E58</f>
        <v/>
      </c>
      <c r="K58" s="270">
        <f>F58='03. Dulieutaichinhlamsach_RG'!F58</f>
        <v/>
      </c>
      <c r="L58" s="270">
        <f>G58='03. Dulieutaichinhlamsach_RG'!G58</f>
        <v/>
      </c>
      <c r="M58" s="270">
        <f>H58='03. Dulieutaichinhlamsach_RG'!H58</f>
        <v/>
      </c>
    </row>
    <row r="59">
      <c r="B59" s="420" t="inlineStr">
        <is>
          <t>Doanh thu bán hàng và cung cấp dịch vụ</t>
        </is>
      </c>
      <c r="C59" s="418" t="n"/>
      <c r="D59" s="31" t="n"/>
      <c r="E59" s="31" t="n"/>
      <c r="F59" s="31" t="n"/>
      <c r="G59" s="31" t="n"/>
      <c r="H59" s="282" t="n"/>
      <c r="I59" s="270">
        <f>D59='03. Dulieutaichinhlamsach_RG'!D72</f>
        <v/>
      </c>
      <c r="J59" s="270">
        <f>E59='03. Dulieutaichinhlamsach_RG'!E72</f>
        <v/>
      </c>
      <c r="K59" s="270">
        <f>F59='03. Dulieutaichinhlamsach_RG'!F72</f>
        <v/>
      </c>
      <c r="L59" s="270">
        <f>G59='03. Dulieutaichinhlamsach_RG'!G72</f>
        <v/>
      </c>
      <c r="M59" s="270">
        <f>H59='03. Dulieutaichinhlamsach_RG'!H72</f>
        <v/>
      </c>
    </row>
    <row r="60">
      <c r="B60" s="283" t="inlineStr">
        <is>
          <t>Các khoản giảm trừ doanh thu</t>
        </is>
      </c>
      <c r="C60" s="33" t="n"/>
      <c r="D60" s="34" t="n"/>
      <c r="E60" s="34" t="n"/>
      <c r="F60" s="34" t="n"/>
      <c r="G60" s="34" t="n"/>
      <c r="H60" s="284" t="n"/>
      <c r="I60" s="270">
        <f>D60='03. Dulieutaichinhlamsach_RG'!D73</f>
        <v/>
      </c>
      <c r="J60" s="270">
        <f>E60='03. Dulieutaichinhlamsach_RG'!E73</f>
        <v/>
      </c>
      <c r="K60" s="270">
        <f>F60='03. Dulieutaichinhlamsach_RG'!F73</f>
        <v/>
      </c>
      <c r="L60" s="270">
        <f>G60='03. Dulieutaichinhlamsach_RG'!G73</f>
        <v/>
      </c>
      <c r="M60" s="270">
        <f>H60='03. Dulieutaichinhlamsach_RG'!H73</f>
        <v/>
      </c>
    </row>
    <row r="61">
      <c r="B61" s="280" t="inlineStr">
        <is>
          <t xml:space="preserve">      - Chiết khấu</t>
        </is>
      </c>
      <c r="C61" s="33" t="n"/>
      <c r="D61" s="34" t="n"/>
      <c r="E61" s="34" t="n"/>
      <c r="F61" s="34" t="n"/>
      <c r="G61" s="34" t="n"/>
      <c r="H61" s="285" t="n"/>
      <c r="I61" s="270">
        <f>D61='03. Dulieutaichinhlamsach_RG'!D74</f>
        <v/>
      </c>
      <c r="J61" s="270">
        <f>E61='03. Dulieutaichinhlamsach_RG'!E74</f>
        <v/>
      </c>
      <c r="K61" s="270">
        <f>F61='03. Dulieutaichinhlamsach_RG'!F74</f>
        <v/>
      </c>
      <c r="L61" s="270">
        <f>G61='03. Dulieutaichinhlamsach_RG'!G74</f>
        <v/>
      </c>
      <c r="M61" s="270">
        <f>H61='03. Dulieutaichinhlamsach_RG'!H74</f>
        <v/>
      </c>
    </row>
    <row r="62">
      <c r="B62" s="280" t="inlineStr">
        <is>
          <t xml:space="preserve">      - Giảm giá</t>
        </is>
      </c>
      <c r="C62" s="33" t="n"/>
      <c r="D62" s="34" t="n"/>
      <c r="E62" s="34" t="n"/>
      <c r="F62" s="34" t="n"/>
      <c r="G62" s="34" t="n"/>
      <c r="H62" s="285" t="n"/>
      <c r="I62" s="270">
        <f>D62='03. Dulieutaichinhlamsach_RG'!D75</f>
        <v/>
      </c>
      <c r="J62" s="270">
        <f>E62='03. Dulieutaichinhlamsach_RG'!E75</f>
        <v/>
      </c>
      <c r="K62" s="270">
        <f>F62='03. Dulieutaichinhlamsach_RG'!F75</f>
        <v/>
      </c>
      <c r="L62" s="270">
        <f>G62='03. Dulieutaichinhlamsach_RG'!G75</f>
        <v/>
      </c>
      <c r="M62" s="270">
        <f>H62='03. Dulieutaichinhlamsach_RG'!H75</f>
        <v/>
      </c>
    </row>
    <row r="63">
      <c r="B63" s="280" t="inlineStr">
        <is>
          <t xml:space="preserve">      - Hàng bán bị trả lại</t>
        </is>
      </c>
      <c r="C63" s="33" t="n"/>
      <c r="D63" s="34" t="n"/>
      <c r="E63" s="34" t="n"/>
      <c r="F63" s="34" t="n"/>
      <c r="G63" s="34" t="n"/>
      <c r="H63" s="285" t="n"/>
      <c r="I63" s="270">
        <f>D63='03. Dulieutaichinhlamsach_RG'!D76</f>
        <v/>
      </c>
      <c r="J63" s="270">
        <f>E63='03. Dulieutaichinhlamsach_RG'!E76</f>
        <v/>
      </c>
      <c r="K63" s="270">
        <f>F63='03. Dulieutaichinhlamsach_RG'!F76</f>
        <v/>
      </c>
      <c r="L63" s="270">
        <f>G63='03. Dulieutaichinhlamsach_RG'!G76</f>
        <v/>
      </c>
      <c r="M63" s="270">
        <f>H63='03. Dulieutaichinhlamsach_RG'!H76</f>
        <v/>
      </c>
    </row>
    <row r="64">
      <c r="B64" s="280" t="inlineStr">
        <is>
          <t xml:space="preserve">      - Thuế VAT, thuế xuất khẩu</t>
        </is>
      </c>
      <c r="C64" s="33" t="n"/>
      <c r="D64" s="34" t="n"/>
      <c r="E64" s="34" t="n"/>
      <c r="F64" s="34" t="n"/>
      <c r="G64" s="34" t="n"/>
      <c r="H64" s="285" t="n"/>
      <c r="I64" s="270">
        <f>D64='03. Dulieutaichinhlamsach_RG'!D77</f>
        <v/>
      </c>
      <c r="J64" s="270">
        <f>E64='03. Dulieutaichinhlamsach_RG'!E77</f>
        <v/>
      </c>
      <c r="K64" s="270">
        <f>F64='03. Dulieutaichinhlamsach_RG'!F77</f>
        <v/>
      </c>
      <c r="L64" s="270">
        <f>G64='03. Dulieutaichinhlamsach_RG'!G77</f>
        <v/>
      </c>
      <c r="M64" s="270">
        <f>H64='03. Dulieutaichinhlamsach_RG'!H77</f>
        <v/>
      </c>
    </row>
    <row r="65">
      <c r="B65" s="432" t="inlineStr">
        <is>
          <t>Doanh thu thuần về bán hàng và cung cấp dịch vụ</t>
        </is>
      </c>
      <c r="C65" s="35" t="n"/>
      <c r="D65" s="31" t="n"/>
      <c r="E65" s="31" t="n"/>
      <c r="F65" s="31" t="n"/>
      <c r="G65" s="31" t="n"/>
      <c r="H65" s="284" t="n"/>
      <c r="I65" s="270">
        <f>D65='03. Dulieutaichinhlamsach_RG'!D78</f>
        <v/>
      </c>
      <c r="J65" s="270">
        <f>E65='03. Dulieutaichinhlamsach_RG'!E78</f>
        <v/>
      </c>
      <c r="K65" s="270">
        <f>F65='03. Dulieutaichinhlamsach_RG'!F78</f>
        <v/>
      </c>
      <c r="L65" s="270">
        <f>G65='03. Dulieutaichinhlamsach_RG'!G78</f>
        <v/>
      </c>
      <c r="M65" s="270">
        <f>H65='03. Dulieutaichinhlamsach_RG'!H78</f>
        <v/>
      </c>
    </row>
    <row r="66">
      <c r="B66" s="283" t="inlineStr">
        <is>
          <t>Giá vốn hàng bán</t>
        </is>
      </c>
      <c r="C66" s="33" t="n"/>
      <c r="D66" s="31" t="n"/>
      <c r="E66" s="31" t="n"/>
      <c r="F66" s="31" t="n"/>
      <c r="G66" s="31" t="n"/>
      <c r="H66" s="285" t="n"/>
      <c r="I66" s="270">
        <f>D66='03. Dulieutaichinhlamsach_RG'!D79</f>
        <v/>
      </c>
      <c r="J66" s="270">
        <f>E66='03. Dulieutaichinhlamsach_RG'!E79</f>
        <v/>
      </c>
      <c r="K66" s="270">
        <f>F66='03. Dulieutaichinhlamsach_RG'!F79</f>
        <v/>
      </c>
      <c r="L66" s="270">
        <f>G66='03. Dulieutaichinhlamsach_RG'!G79</f>
        <v/>
      </c>
      <c r="M66" s="270">
        <f>H66='03. Dulieutaichinhlamsach_RG'!H79</f>
        <v/>
      </c>
    </row>
    <row r="67">
      <c r="B67" s="286" t="inlineStr">
        <is>
          <t xml:space="preserve">     - Tr/đó: Khấu hao trong giá vốn hàng bán</t>
        </is>
      </c>
      <c r="C67" s="33" t="n"/>
      <c r="D67" s="31" t="n"/>
      <c r="E67" s="31" t="n"/>
      <c r="G67" s="31" t="n"/>
      <c r="H67" s="285" t="n"/>
      <c r="I67" s="270">
        <f>D67='03. Dulieutaichinhlamsach_RG'!D80</f>
        <v/>
      </c>
      <c r="J67" s="270">
        <f>E67='03. Dulieutaichinhlamsach_RG'!E80</f>
        <v/>
      </c>
      <c r="K67" s="270">
        <f>F67='03. Dulieutaichinhlamsach_RG'!F80</f>
        <v/>
      </c>
      <c r="L67" s="270">
        <f>G67='03. Dulieutaichinhlamsach_RG'!G80</f>
        <v/>
      </c>
      <c r="M67" s="270">
        <f>H67='03. Dulieutaichinhlamsach_RG'!H80</f>
        <v/>
      </c>
    </row>
    <row r="68">
      <c r="B68" s="432" t="inlineStr">
        <is>
          <t>Lợi nhuận gộp về bán hàng và cung cấp dịch vụ</t>
        </is>
      </c>
      <c r="C68" s="35" t="n"/>
      <c r="D68" s="31" t="n"/>
      <c r="E68" s="31" t="n"/>
      <c r="F68" s="31" t="n"/>
      <c r="G68" s="31" t="n"/>
      <c r="H68" s="284" t="n"/>
      <c r="I68" s="270">
        <f>D68='03. Dulieutaichinhlamsach_RG'!D81</f>
        <v/>
      </c>
      <c r="J68" s="270">
        <f>E68='03. Dulieutaichinhlamsach_RG'!E81</f>
        <v/>
      </c>
      <c r="K68" s="270">
        <f>F68='03. Dulieutaichinhlamsach_RG'!F81</f>
        <v/>
      </c>
      <c r="L68" s="270">
        <f>G68='03. Dulieutaichinhlamsach_RG'!G81</f>
        <v/>
      </c>
      <c r="M68" s="270">
        <f>H68='03. Dulieutaichinhlamsach_RG'!H81</f>
        <v/>
      </c>
    </row>
    <row r="69">
      <c r="B69" s="283" t="inlineStr">
        <is>
          <t>Doanh thu hoạt động tài chính</t>
        </is>
      </c>
      <c r="C69" s="35" t="n"/>
      <c r="D69" s="31" t="n"/>
      <c r="E69" s="31" t="n"/>
      <c r="F69" s="31" t="n"/>
      <c r="G69" s="31" t="n"/>
      <c r="H69" s="285" t="n"/>
      <c r="I69" s="270">
        <f>D69='03. Dulieutaichinhlamsach_RG'!D82</f>
        <v/>
      </c>
      <c r="J69" s="270">
        <f>E69='03. Dulieutaichinhlamsach_RG'!E82</f>
        <v/>
      </c>
      <c r="K69" s="270">
        <f>F69='03. Dulieutaichinhlamsach_RG'!F82</f>
        <v/>
      </c>
      <c r="L69" s="270">
        <f>G69='03. Dulieutaichinhlamsach_RG'!G82</f>
        <v/>
      </c>
      <c r="M69" s="270">
        <f>H69='03. Dulieutaichinhlamsach_RG'!H82</f>
        <v/>
      </c>
    </row>
    <row r="70">
      <c r="B70" s="283" t="inlineStr">
        <is>
          <t>Chi phí tài chính</t>
        </is>
      </c>
      <c r="C70" s="35" t="n"/>
      <c r="D70" s="31" t="n"/>
      <c r="E70" s="31" t="n"/>
      <c r="F70" s="31" t="n"/>
      <c r="G70" s="31" t="n"/>
      <c r="H70" s="285" t="n"/>
      <c r="I70" s="270">
        <f>D70='03. Dulieutaichinhlamsach_RG'!D83</f>
        <v/>
      </c>
      <c r="J70" s="270">
        <f>E70='03. Dulieutaichinhlamsach_RG'!E83</f>
        <v/>
      </c>
      <c r="K70" s="270">
        <f>F70='03. Dulieutaichinhlamsach_RG'!F83</f>
        <v/>
      </c>
      <c r="L70" s="270">
        <f>G70='03. Dulieutaichinhlamsach_RG'!G83</f>
        <v/>
      </c>
      <c r="M70" s="270">
        <f>H70='03. Dulieutaichinhlamsach_RG'!H83</f>
        <v/>
      </c>
    </row>
    <row r="71">
      <c r="B71" s="435" t="inlineStr">
        <is>
          <t xml:space="preserve">     - Tr/đó: Chi phí lãi vay</t>
        </is>
      </c>
      <c r="C71" s="436" t="n"/>
      <c r="D71" s="437" t="n"/>
      <c r="E71" s="437" t="n"/>
      <c r="F71" s="437" t="n"/>
      <c r="G71" s="31" t="n"/>
      <c r="H71" s="285" t="n"/>
      <c r="I71" s="270">
        <f>D71='03. Dulieutaichinhlamsach_RG'!D84</f>
        <v/>
      </c>
      <c r="J71" s="270">
        <f>E71='03. Dulieutaichinhlamsach_RG'!E84</f>
        <v/>
      </c>
      <c r="K71" s="270">
        <f>F71='03. Dulieutaichinhlamsach_RG'!F84</f>
        <v/>
      </c>
      <c r="L71" s="270">
        <f>G71='03. Dulieutaichinhlamsach_RG'!G84</f>
        <v/>
      </c>
      <c r="M71" s="270">
        <f>H71='03. Dulieutaichinhlamsach_RG'!H84</f>
        <v/>
      </c>
    </row>
    <row r="72">
      <c r="B72" s="283" t="inlineStr">
        <is>
          <t>Chi phí quản lý kinh doanh</t>
        </is>
      </c>
      <c r="C72" s="35" t="n"/>
      <c r="D72" s="31" t="n"/>
      <c r="E72" s="31" t="n"/>
      <c r="F72" s="31" t="n"/>
      <c r="G72" s="31" t="n"/>
      <c r="H72" s="287" t="n"/>
      <c r="I72" s="270">
        <f>D72='03. Dulieutaichinhlamsach_RG'!D85</f>
        <v/>
      </c>
      <c r="J72" s="270">
        <f>E72='03. Dulieutaichinhlamsach_RG'!E85</f>
        <v/>
      </c>
      <c r="K72" s="270">
        <f>F72='03. Dulieutaichinhlamsach_RG'!F85</f>
        <v/>
      </c>
      <c r="L72" s="270">
        <f>G72='03. Dulieutaichinhlamsach_RG'!G85</f>
        <v/>
      </c>
      <c r="M72" s="270">
        <f>H72='03. Dulieutaichinhlamsach_RG'!H85</f>
        <v/>
      </c>
    </row>
    <row r="73">
      <c r="B73" s="432" t="inlineStr">
        <is>
          <t>Lợi nhuận thuần từ HĐKD</t>
        </is>
      </c>
      <c r="C73" s="35" t="n"/>
      <c r="D73" s="31" t="n"/>
      <c r="E73" s="31" t="n"/>
      <c r="F73" s="31" t="n"/>
      <c r="G73" s="31" t="n"/>
      <c r="H73" s="284" t="n"/>
      <c r="I73" s="270">
        <f>D73='03. Dulieutaichinhlamsach_RG'!D86</f>
        <v/>
      </c>
      <c r="J73" s="270">
        <f>E73='03. Dulieutaichinhlamsach_RG'!E86</f>
        <v/>
      </c>
      <c r="K73" s="270">
        <f>F73='03. Dulieutaichinhlamsach_RG'!F86</f>
        <v/>
      </c>
      <c r="L73" s="270">
        <f>G73='03. Dulieutaichinhlamsach_RG'!G86</f>
        <v/>
      </c>
      <c r="M73" s="270">
        <f>H73='03. Dulieutaichinhlamsach_RG'!H86</f>
        <v/>
      </c>
    </row>
    <row r="74">
      <c r="B74" s="283" t="inlineStr">
        <is>
          <t>Thu nhập khác</t>
        </is>
      </c>
      <c r="C74" s="33" t="n"/>
      <c r="D74" s="31" t="n"/>
      <c r="E74" s="31" t="n"/>
      <c r="F74" s="31" t="n"/>
      <c r="G74" s="31" t="n"/>
      <c r="H74" s="285" t="n"/>
      <c r="I74" s="270">
        <f>D74='03. Dulieutaichinhlamsach_RG'!D87</f>
        <v/>
      </c>
      <c r="J74" s="270">
        <f>E74='03. Dulieutaichinhlamsach_RG'!E87</f>
        <v/>
      </c>
      <c r="K74" s="270">
        <f>F74='03. Dulieutaichinhlamsach_RG'!F87</f>
        <v/>
      </c>
      <c r="L74" s="270">
        <f>G74='03. Dulieutaichinhlamsach_RG'!G87</f>
        <v/>
      </c>
      <c r="M74" s="270">
        <f>H74='03. Dulieutaichinhlamsach_RG'!H87</f>
        <v/>
      </c>
    </row>
    <row r="75">
      <c r="B75" s="283" t="inlineStr">
        <is>
          <t>Chi phí khác</t>
        </is>
      </c>
      <c r="C75" s="33" t="n"/>
      <c r="D75" s="31" t="n"/>
      <c r="E75" s="31" t="n"/>
      <c r="F75" s="31" t="n"/>
      <c r="G75" s="31" t="n"/>
      <c r="H75" s="285" t="n"/>
      <c r="I75" s="270">
        <f>D75='03. Dulieutaichinhlamsach_RG'!D88</f>
        <v/>
      </c>
      <c r="J75" s="270">
        <f>E75='03. Dulieutaichinhlamsach_RG'!E88</f>
        <v/>
      </c>
      <c r="K75" s="270">
        <f>F75='03. Dulieutaichinhlamsach_RG'!F88</f>
        <v/>
      </c>
      <c r="L75" s="270">
        <f>G75='03. Dulieutaichinhlamsach_RG'!G88</f>
        <v/>
      </c>
      <c r="M75" s="270">
        <f>H75='03. Dulieutaichinhlamsach_RG'!H88</f>
        <v/>
      </c>
    </row>
    <row r="76">
      <c r="B76" s="283" t="inlineStr">
        <is>
          <t>Lợi nhuận khác</t>
        </is>
      </c>
      <c r="C76" s="35" t="n"/>
      <c r="D76" s="31" t="n"/>
      <c r="E76" s="31" t="n"/>
      <c r="F76" s="31" t="n"/>
      <c r="G76" s="31" t="n"/>
      <c r="H76" s="284" t="n"/>
      <c r="I76" s="270">
        <f>D76='03. Dulieutaichinhlamsach_RG'!D89</f>
        <v/>
      </c>
      <c r="J76" s="270">
        <f>E76='03. Dulieutaichinhlamsach_RG'!E89</f>
        <v/>
      </c>
      <c r="K76" s="270">
        <f>F76='03. Dulieutaichinhlamsach_RG'!F89</f>
        <v/>
      </c>
      <c r="L76" s="270">
        <f>G76='03. Dulieutaichinhlamsach_RG'!G89</f>
        <v/>
      </c>
      <c r="M76" s="270">
        <f>H76='03. Dulieutaichinhlamsach_RG'!H89</f>
        <v/>
      </c>
    </row>
    <row r="77">
      <c r="B77" s="432" t="inlineStr">
        <is>
          <t>Tổng lợi nhuận kế toán trước thuế</t>
        </is>
      </c>
      <c r="C77" s="33" t="n"/>
      <c r="D77" s="31" t="n"/>
      <c r="E77" s="31" t="n"/>
      <c r="F77" s="31" t="n"/>
      <c r="G77" s="31" t="n"/>
      <c r="H77" s="284" t="n"/>
      <c r="I77" s="270">
        <f>D77='03. Dulieutaichinhlamsach_RG'!D90</f>
        <v/>
      </c>
      <c r="J77" s="270">
        <f>E77='03. Dulieutaichinhlamsach_RG'!E90</f>
        <v/>
      </c>
      <c r="K77" s="270">
        <f>F77='03. Dulieutaichinhlamsach_RG'!F90</f>
        <v/>
      </c>
      <c r="L77" s="270">
        <f>G77='03. Dulieutaichinhlamsach_RG'!G90</f>
        <v/>
      </c>
      <c r="M77" s="270">
        <f>H77='03. Dulieutaichinhlamsach_RG'!H90</f>
        <v/>
      </c>
    </row>
    <row r="78">
      <c r="B78" s="283" t="inlineStr">
        <is>
          <t>Chi phí thuế TNDN</t>
        </is>
      </c>
      <c r="C78" s="33" t="n"/>
      <c r="D78" s="31" t="n"/>
      <c r="E78" s="31" t="n"/>
      <c r="F78" s="31" t="n"/>
      <c r="G78" s="31" t="n"/>
      <c r="H78" s="285" t="n"/>
      <c r="I78" s="270">
        <f>D78='03. Dulieutaichinhlamsach_RG'!D91</f>
        <v/>
      </c>
      <c r="J78" s="270">
        <f>E78='03. Dulieutaichinhlamsach_RG'!E91</f>
        <v/>
      </c>
      <c r="K78" s="270">
        <f>F78='03. Dulieutaichinhlamsach_RG'!F91</f>
        <v/>
      </c>
      <c r="L78" s="270">
        <f>G78='03. Dulieutaichinhlamsach_RG'!G91</f>
        <v/>
      </c>
      <c r="M78" s="270">
        <f>H78='03. Dulieutaichinhlamsach_RG'!H91</f>
        <v/>
      </c>
    </row>
    <row r="79">
      <c r="B79" s="432" t="inlineStr">
        <is>
          <t>Lợi nhuận sau thuế TNDN</t>
        </is>
      </c>
      <c r="C79" s="33" t="n"/>
      <c r="D79" s="31" t="n"/>
      <c r="E79" s="31" t="n"/>
      <c r="F79" s="31" t="n"/>
      <c r="G79" s="31" t="n"/>
      <c r="H79" s="284" t="n"/>
      <c r="I79" s="270">
        <f>D79='03. Dulieutaichinhlamsach_RG'!D92</f>
        <v/>
      </c>
      <c r="J79" s="270">
        <f>E79='03. Dulieutaichinhlamsach_RG'!E92</f>
        <v/>
      </c>
      <c r="K79" s="270">
        <f>F79='03. Dulieutaichinhlamsach_RG'!F92</f>
        <v/>
      </c>
      <c r="L79" s="270">
        <f>G79='03. Dulieutaichinhlamsach_RG'!G92</f>
        <v/>
      </c>
      <c r="M79" s="270">
        <f>H79='03. Dulieutaichinhlamsach_RG'!H92</f>
        <v/>
      </c>
    </row>
    <row r="80" ht="15.75" customHeight="1" s="782" thickBot="1">
      <c r="B80" s="288" t="inlineStr">
        <is>
          <t>Lãi cơ bản trên cổ phiếu</t>
        </is>
      </c>
      <c r="C80" s="289" t="n"/>
      <c r="D80" s="290" t="n"/>
      <c r="E80" s="290" t="n"/>
      <c r="F80" s="290" t="n"/>
      <c r="G80" s="290" t="n"/>
      <c r="H80" s="291" t="n"/>
      <c r="I80" s="270">
        <f>D80='03. Dulieutaichinhlamsach_RG'!D93</f>
        <v/>
      </c>
      <c r="J80" s="270">
        <f>E80='03. Dulieutaichinhlamsach_RG'!E93</f>
        <v/>
      </c>
      <c r="K80" s="270">
        <f>F80='03. Dulieutaichinhlamsach_RG'!F93</f>
        <v/>
      </c>
      <c r="L80" s="270">
        <f>G80='03. Dulieutaichinhlamsach_RG'!G93</f>
        <v/>
      </c>
      <c r="M80" s="270">
        <f>H80='03. Dulieutaichinhlamsach_RG'!H93</f>
        <v/>
      </c>
    </row>
    <row r="81" ht="15.75" customHeight="1" s="782" thickTop="1"/>
  </sheetData>
  <sheetProtection selectLockedCells="1" selectUnlockedCells="0" algorithmName="SHA-512" sheet="1" objects="1" insertRows="1" insertHyperlinks="1" autoFilter="1" scenarios="1" formatColumns="1" deleteColumns="1" insertColumns="1" pivotTables="1" deleteRows="1" formatCells="1" saltValue="cB7iCtmaEmDu654fuNFOiA==" formatRows="1" sort="1" spinCount="100000" hashValue="jo/iFCiZxhGSkyOarUE9+239XxPmOmx8X9nAG/pnG6R8qFO5v2BrkGR8g/2ytKPEV6knRbqKkgbOCUNh4IiUJQ=="/>
  <mergeCells count="3">
    <mergeCell ref="B1:H1"/>
    <mergeCell ref="I1:M5"/>
    <mergeCell ref="D2:E2"/>
  </mergeCells>
  <conditionalFormatting sqref="I1 I6:M80">
    <cfRule type="containsText" priority="1" operator="containsText" dxfId="0" stopIfTrue="1" text="FALSE">
      <formula>NOT(ISERROR(SEARCH("FALSE",I1)))</formula>
    </cfRule>
  </conditionalFormatting>
  <pageMargins left="0.7" right="0.7" top="0.75" bottom="0.75" header="0.3" footer="0.3"/>
  <pageSetup orientation="portrait" paperSize="9" scale="31"/>
  <legacyDrawing xmlns:r="http://schemas.openxmlformats.org/officeDocument/2006/relationships" r:id="anysvml"/>
</worksheet>
</file>

<file path=xl/worksheets/sheet6.xml><?xml version="1.0" encoding="utf-8"?>
<worksheet xmlns="http://schemas.openxmlformats.org/spreadsheetml/2006/main">
  <sheetPr codeName="Sheet7">
    <outlinePr summaryBelow="1" summaryRight="1"/>
    <pageSetUpPr/>
  </sheetPr>
  <dimension ref="A1:R738"/>
  <sheetViews>
    <sheetView topLeftCell="A19" zoomScale="88" zoomScaleNormal="88" workbookViewId="0">
      <selection activeCell="H35" sqref="H35"/>
    </sheetView>
  </sheetViews>
  <sheetFormatPr baseColWidth="8" defaultRowHeight="15"/>
  <cols>
    <col width="3.7109375" customWidth="1" style="782" min="1" max="1"/>
    <col width="57.5703125" customWidth="1" style="782" min="2" max="2"/>
    <col width="17.85546875" customWidth="1" style="782" min="3" max="3"/>
    <col width="22.42578125" customWidth="1" style="468" min="4" max="6"/>
    <col width="18.85546875" customWidth="1" style="468" min="7" max="7"/>
    <col width="19.140625" customWidth="1" style="468" min="8" max="8"/>
    <col width="4.28515625" customWidth="1" style="782" min="9" max="9"/>
    <col width="15.85546875" customWidth="1" style="782" min="10" max="10"/>
    <col width="22.85546875" bestFit="1" customWidth="1" style="782" min="14" max="16"/>
    <col width="22.85546875" customWidth="1" style="782" min="17" max="17"/>
    <col width="22.85546875" bestFit="1" customWidth="1" style="782" min="18" max="18"/>
  </cols>
  <sheetData>
    <row r="1">
      <c r="B1" s="825" t="inlineStr">
        <is>
          <t>NHẬP SỐ LIỆU VỀ TÀI CHÍNH CỦA KHÁCH HÀNG</t>
        </is>
      </c>
      <c r="I1" s="45" t="n"/>
      <c r="J1" s="45" t="n"/>
      <c r="K1" s="45" t="n"/>
      <c r="L1" s="45" t="n"/>
      <c r="M1" s="45" t="n"/>
      <c r="N1" s="45" t="n"/>
      <c r="O1" s="45" t="n"/>
      <c r="P1" s="45" t="n"/>
      <c r="Q1" s="45" t="n"/>
      <c r="R1" s="45" t="n"/>
    </row>
    <row r="2">
      <c r="B2" s="51" t="n"/>
      <c r="C2" s="38">
        <f>IF(OR(E11=0,F11=0),"Đề nghị nhấp số liệu tối thiểu 2 năm gần nhất"," ")</f>
        <v/>
      </c>
      <c r="D2" s="469" t="n"/>
      <c r="E2" s="470" t="n"/>
      <c r="F2" s="40" t="inlineStr">
        <is>
          <t xml:space="preserve">Đơn vị:  </t>
        </is>
      </c>
      <c r="G2" s="40">
        <f>'01. Thong tin chung'!B6</f>
        <v/>
      </c>
      <c r="H2" s="470">
        <f>G2</f>
        <v/>
      </c>
      <c r="I2" s="45" t="n"/>
      <c r="J2" t="inlineStr">
        <is>
          <t>CountBlankBCTC</t>
        </is>
      </c>
      <c r="K2" s="871">
        <f>COUNTIF(D4:G4,"Chưa cân số") + COUNTIF(G2,"")</f>
        <v/>
      </c>
      <c r="L2" s="45" t="n"/>
      <c r="M2" s="45" t="n"/>
      <c r="N2" s="45" t="n"/>
      <c r="O2" s="45" t="n"/>
      <c r="P2" s="45" t="n"/>
      <c r="Q2" s="45" t="n"/>
      <c r="R2" s="45" t="n"/>
    </row>
    <row r="3">
      <c r="B3" s="41" t="inlineStr">
        <is>
          <t>I. Bảng cân đối kế toán</t>
        </is>
      </c>
      <c r="C3" s="41" t="n"/>
      <c r="D3" s="471" t="n"/>
      <c r="E3" s="441" t="n"/>
      <c r="F3" s="441" t="n"/>
      <c r="G3" s="441" t="n"/>
      <c r="H3" s="441" t="n"/>
      <c r="I3" s="45" t="n"/>
      <c r="J3" s="45" t="n"/>
      <c r="K3" s="45" t="n"/>
      <c r="L3" s="45" t="n"/>
      <c r="M3" s="45" t="n"/>
      <c r="N3" s="45" t="n"/>
      <c r="O3" s="45" t="n"/>
      <c r="P3" s="45" t="n"/>
      <c r="Q3" s="45" t="n"/>
      <c r="R3" s="45" t="n"/>
    </row>
    <row r="4" ht="15.75" customHeight="1" s="782" thickBot="1">
      <c r="B4" s="43" t="n"/>
      <c r="C4" s="43" t="n"/>
      <c r="D4" s="472">
        <f>IF(D11&lt;&gt;D38,"Chưa cân số", "  ")</f>
        <v/>
      </c>
      <c r="E4" s="442">
        <f>IF(E11&lt;&gt;E38,"Chưa cân số", "  ")</f>
        <v/>
      </c>
      <c r="F4" s="442">
        <f>IF(F11&lt;&gt;F38,"Chưa cân số", "  ")</f>
        <v/>
      </c>
      <c r="G4" s="442">
        <f>IF(G11&lt;&gt;G38,"Chưa cân số", "  ")</f>
        <v/>
      </c>
      <c r="H4" s="473">
        <f>IF(H11&lt;&gt;H38,"Chưa cân số", "  ")</f>
        <v/>
      </c>
      <c r="I4" s="45" t="n"/>
      <c r="J4" s="45" t="n"/>
      <c r="K4" s="45" t="n"/>
      <c r="L4" s="45" t="n"/>
      <c r="M4" s="45" t="n"/>
      <c r="N4" s="45" t="n"/>
      <c r="O4" s="45" t="n"/>
      <c r="P4" s="45" t="n"/>
      <c r="Q4" s="45" t="n"/>
      <c r="R4" s="45" t="n"/>
    </row>
    <row r="5" ht="15.75" customHeight="1" s="782" thickTop="1">
      <c r="B5" s="262" t="inlineStr">
        <is>
          <t>Chỉ tiêu</t>
        </is>
      </c>
      <c r="C5" s="55" t="inlineStr">
        <is>
          <t>Mã số</t>
        </is>
      </c>
      <c r="D5" s="443">
        <f>E5-1</f>
        <v/>
      </c>
      <c r="E5" s="443">
        <f>F5-1</f>
        <v/>
      </c>
      <c r="F5" s="444">
        <f>'01. Thong tin chung'!B7</f>
        <v/>
      </c>
      <c r="G5" s="474">
        <f>'01. Thong tin chung'!B8</f>
        <v/>
      </c>
      <c r="H5" s="475">
        <f>"Dự tính " &amp;F5+1</f>
        <v/>
      </c>
      <c r="I5" s="45" t="n"/>
      <c r="J5" s="45" t="n"/>
      <c r="K5" s="45" t="n"/>
      <c r="L5" s="45" t="n"/>
      <c r="M5" s="45" t="n"/>
      <c r="N5" s="45" t="n"/>
      <c r="O5" s="45" t="n"/>
      <c r="P5" s="45" t="n"/>
      <c r="Q5" s="45" t="n"/>
      <c r="R5" s="45" t="n"/>
    </row>
    <row r="6">
      <c r="B6" s="257" t="inlineStr">
        <is>
          <t>Mã số thuế</t>
        </is>
      </c>
      <c r="C6" s="46" t="n"/>
      <c r="D6" s="445">
        <f>'02. Nhap lieu tai chinh_RG'!D6</f>
        <v/>
      </c>
      <c r="E6" s="445">
        <f>'02. Nhap lieu tai chinh_RG'!E6</f>
        <v/>
      </c>
      <c r="F6" s="445">
        <f>'02. Nhap lieu tai chinh_RG'!F6</f>
        <v/>
      </c>
      <c r="G6" s="445">
        <f>'02. Nhap lieu tai chinh_RG'!G6</f>
        <v/>
      </c>
      <c r="H6" s="476">
        <f>'02. Nhap lieu tai chinh_RG'!H6</f>
        <v/>
      </c>
      <c r="I6" s="45" t="n"/>
      <c r="J6" s="45" t="n"/>
      <c r="K6" s="45" t="n"/>
      <c r="L6" s="45" t="n"/>
      <c r="M6" s="45" t="n"/>
      <c r="N6" s="45" t="n"/>
      <c r="O6" s="45" t="n"/>
      <c r="P6" s="45" t="n"/>
      <c r="Q6" s="45" t="n"/>
      <c r="R6" s="45" t="n"/>
    </row>
    <row r="7">
      <c r="B7" s="257" t="inlineStr">
        <is>
          <t>Năm</t>
        </is>
      </c>
      <c r="C7" s="46" t="n"/>
      <c r="D7" s="445">
        <f>'02. Nhap lieu tai chinh_RG'!D7</f>
        <v/>
      </c>
      <c r="E7" s="445">
        <f>'02. Nhap lieu tai chinh_RG'!E7</f>
        <v/>
      </c>
      <c r="F7" s="445">
        <f>'02. Nhap lieu tai chinh_RG'!F7</f>
        <v/>
      </c>
      <c r="G7" s="477">
        <f>'02. Nhap lieu tai chinh_RG'!G7</f>
        <v/>
      </c>
      <c r="H7" s="476">
        <f>'02. Nhap lieu tai chinh_RG'!H7</f>
        <v/>
      </c>
      <c r="I7" s="45" t="n"/>
      <c r="J7" s="45" t="n"/>
      <c r="K7" s="45" t="n"/>
      <c r="L7" s="45" t="n"/>
      <c r="M7" s="45" t="n"/>
      <c r="N7" s="45" t="n"/>
      <c r="O7" s="45" t="n"/>
      <c r="P7" s="45" t="n"/>
      <c r="Q7" s="45" t="n"/>
      <c r="R7" s="45" t="n"/>
    </row>
    <row r="8">
      <c r="B8" s="257" t="inlineStr">
        <is>
          <t>Quý</t>
        </is>
      </c>
      <c r="C8" s="46" t="n"/>
      <c r="D8" s="445">
        <f>'02. Nhap lieu tai chinh_RG'!D8</f>
        <v/>
      </c>
      <c r="E8" s="445">
        <f>'02. Nhap lieu tai chinh_RG'!E8</f>
        <v/>
      </c>
      <c r="F8" s="445">
        <f>'02. Nhap lieu tai chinh_RG'!F8</f>
        <v/>
      </c>
      <c r="G8" s="445">
        <f>'02. Nhap lieu tai chinh_RG'!G8</f>
        <v/>
      </c>
      <c r="H8" s="476">
        <f>'02. Nhap lieu tai chinh_RG'!H8</f>
        <v/>
      </c>
      <c r="I8" s="45" t="n"/>
      <c r="J8" s="45" t="n"/>
      <c r="K8" s="45" t="n"/>
      <c r="L8" s="45" t="n"/>
      <c r="M8" s="45" t="n"/>
      <c r="N8" s="45" t="n"/>
      <c r="O8" s="45" t="n"/>
      <c r="P8" s="45" t="n"/>
      <c r="Q8" s="45" t="n"/>
      <c r="R8" s="45" t="n"/>
    </row>
    <row r="9">
      <c r="B9" s="257" t="inlineStr">
        <is>
          <t>Tháng</t>
        </is>
      </c>
      <c r="C9" s="46" t="n"/>
      <c r="D9" s="445">
        <f>'02. Nhap lieu tai chinh_RG'!D9</f>
        <v/>
      </c>
      <c r="E9" s="445">
        <f>'02. Nhap lieu tai chinh_RG'!E9</f>
        <v/>
      </c>
      <c r="F9" s="445">
        <f>'02. Nhap lieu tai chinh_RG'!F9</f>
        <v/>
      </c>
      <c r="G9" s="445">
        <f>'02. Nhap lieu tai chinh_RG'!G9</f>
        <v/>
      </c>
      <c r="H9" s="476">
        <f>'02. Nhap lieu tai chinh_RG'!H9</f>
        <v/>
      </c>
      <c r="I9" s="45" t="n"/>
      <c r="J9" s="45" t="n"/>
      <c r="K9" s="45" t="n"/>
      <c r="L9" s="45" t="n"/>
      <c r="M9" s="45" t="n"/>
      <c r="N9" s="45" t="n"/>
      <c r="O9" s="45" t="n"/>
      <c r="P9" s="45" t="n"/>
      <c r="Q9" s="45" t="n"/>
      <c r="R9" s="45" t="n"/>
    </row>
    <row r="10">
      <c r="B10" s="257" t="inlineStr">
        <is>
          <t>Đơn vị tính</t>
        </is>
      </c>
      <c r="C10" s="46" t="n"/>
      <c r="D10" s="445">
        <f>'02. Nhap lieu tai chinh_RG'!D10</f>
        <v/>
      </c>
      <c r="E10" s="445">
        <f>'02. Nhap lieu tai chinh_RG'!E10</f>
        <v/>
      </c>
      <c r="F10" s="445">
        <f>'02. Nhap lieu tai chinh_RG'!F10</f>
        <v/>
      </c>
      <c r="G10" s="445">
        <f>'02. Nhap lieu tai chinh_RG'!G10</f>
        <v/>
      </c>
      <c r="H10" s="476">
        <f>'02. Nhap lieu tai chinh_RG'!H10</f>
        <v/>
      </c>
      <c r="I10" s="45" t="n"/>
      <c r="J10" s="45" t="n"/>
      <c r="K10" s="45" t="n"/>
      <c r="L10" s="45" t="n"/>
      <c r="M10" s="45" t="n"/>
      <c r="N10" s="45" t="n"/>
      <c r="O10" s="45" t="n"/>
      <c r="P10" s="45" t="n"/>
      <c r="Q10" s="45" t="n"/>
      <c r="R10" s="45" t="n"/>
    </row>
    <row r="11">
      <c r="B11" s="258" t="inlineStr">
        <is>
          <t>TỔNG TÀI SẢN</t>
        </is>
      </c>
      <c r="C11" s="47" t="n"/>
      <c r="D11" s="446">
        <f>D12+D13+D18+D25+D28+D31+D34+D35</f>
        <v/>
      </c>
      <c r="E11" s="446">
        <f>E12+E13+E18+E25+E28+E31+E34+E35</f>
        <v/>
      </c>
      <c r="F11" s="446">
        <f>F12+F13+F18+F25+F28+F31+F34+F35</f>
        <v/>
      </c>
      <c r="G11" s="446">
        <f>G12+G13+G18+G25+G28+G31+G34+G35</f>
        <v/>
      </c>
      <c r="H11" s="446">
        <f>H12+H13+H18+H25+H28+H31+H34+H35</f>
        <v/>
      </c>
      <c r="I11" s="48" t="n"/>
      <c r="J11" s="48" t="n"/>
      <c r="K11" s="48" t="n"/>
      <c r="L11" s="48" t="n"/>
      <c r="M11" s="48" t="n"/>
      <c r="N11" s="48" t="n"/>
      <c r="O11" s="48" t="n"/>
      <c r="P11" s="48" t="n"/>
      <c r="Q11" s="48" t="n"/>
      <c r="R11" s="48" t="n"/>
    </row>
    <row r="12">
      <c r="B12" s="420" t="inlineStr">
        <is>
          <t xml:space="preserve">    I. Tiền và các khoản tương đương tiền</t>
        </is>
      </c>
      <c r="C12" s="49" t="n"/>
      <c r="D12" s="447">
        <f>'02. Nhap lieu tai chinh_RG'!D12</f>
        <v/>
      </c>
      <c r="E12" s="447">
        <f>'02. Nhap lieu tai chinh_RG'!E12</f>
        <v/>
      </c>
      <c r="F12" s="447">
        <f>'02. Nhap lieu tai chinh_RG'!F12</f>
        <v/>
      </c>
      <c r="G12" s="447">
        <f>'02. Nhap lieu tai chinh_RG'!G12</f>
        <v/>
      </c>
      <c r="H12" s="447">
        <f>'02. Nhap lieu tai chinh_RG'!H12</f>
        <v/>
      </c>
      <c r="I12" s="45" t="n"/>
      <c r="J12" s="45" t="n"/>
      <c r="K12" s="45" t="n"/>
      <c r="L12" s="45" t="n"/>
      <c r="M12" s="45" t="n"/>
      <c r="N12" s="45" t="n"/>
      <c r="O12" s="45" t="n"/>
      <c r="P12" s="45" t="n"/>
      <c r="Q12" s="45" t="n"/>
      <c r="R12" s="45" t="n"/>
    </row>
    <row r="13">
      <c r="B13" s="423" t="inlineStr">
        <is>
          <t>II. Đầu tư tài chính</t>
        </is>
      </c>
      <c r="C13" s="50" t="n"/>
      <c r="D13" s="448">
        <f>SUM(D14:D17)</f>
        <v/>
      </c>
      <c r="E13" s="448">
        <f>SUM(E14:E17)</f>
        <v/>
      </c>
      <c r="F13" s="448">
        <f>SUM(F14:F17)</f>
        <v/>
      </c>
      <c r="G13" s="448">
        <f>SUM(G14:G17)</f>
        <v/>
      </c>
      <c r="H13" s="448">
        <f>SUM(H14:H17)</f>
        <v/>
      </c>
      <c r="I13" s="51" t="n"/>
      <c r="J13" s="51" t="n"/>
      <c r="K13" s="51" t="n"/>
      <c r="L13" s="51" t="n"/>
      <c r="M13" s="51" t="n"/>
      <c r="N13" s="51" t="n"/>
      <c r="O13" s="51" t="n"/>
      <c r="P13" s="51" t="n"/>
      <c r="Q13" s="51" t="n"/>
      <c r="R13" s="51" t="n"/>
    </row>
    <row r="14">
      <c r="B14" s="424" t="inlineStr">
        <is>
          <t>1. Chứng khoán kinh doanh</t>
        </is>
      </c>
      <c r="C14" s="52" t="n"/>
      <c r="D14" s="449">
        <f>'02. Nhap lieu tai chinh_RG'!D14</f>
        <v/>
      </c>
      <c r="E14" s="449">
        <f>'02. Nhap lieu tai chinh_RG'!E14</f>
        <v/>
      </c>
      <c r="F14" s="449">
        <f>'02. Nhap lieu tai chinh_RG'!F14</f>
        <v/>
      </c>
      <c r="G14" s="449">
        <f>'02. Nhap lieu tai chinh_RG'!G14</f>
        <v/>
      </c>
      <c r="H14" s="449">
        <f>'02. Nhap lieu tai chinh_RG'!H14</f>
        <v/>
      </c>
      <c r="I14" s="51" t="n"/>
      <c r="J14" s="51" t="n"/>
      <c r="K14" s="51" t="n"/>
      <c r="L14" s="51" t="n"/>
      <c r="M14" s="51" t="n"/>
      <c r="N14" s="51" t="n"/>
      <c r="O14" s="51" t="n"/>
      <c r="P14" s="51" t="n"/>
      <c r="Q14" s="51" t="n"/>
      <c r="R14" s="51" t="n"/>
    </row>
    <row r="15">
      <c r="B15" s="424" t="inlineStr">
        <is>
          <t>2. Đầu tư nắm giữ đến ngày đáo hạn</t>
        </is>
      </c>
      <c r="C15" s="52" t="n"/>
      <c r="D15" s="449">
        <f>'02. Nhap lieu tai chinh_RG'!D15</f>
        <v/>
      </c>
      <c r="E15" s="449">
        <f>'02. Nhap lieu tai chinh_RG'!E15</f>
        <v/>
      </c>
      <c r="F15" s="449">
        <f>'02. Nhap lieu tai chinh_RG'!F15</f>
        <v/>
      </c>
      <c r="G15" s="449">
        <f>'02. Nhap lieu tai chinh_RG'!G15</f>
        <v/>
      </c>
      <c r="H15" s="449">
        <f>'02. Nhap lieu tai chinh_RG'!H15</f>
        <v/>
      </c>
      <c r="I15" s="51" t="n"/>
      <c r="J15" s="51" t="n"/>
      <c r="K15" s="51" t="n"/>
      <c r="L15" s="51" t="n"/>
      <c r="M15" s="51" t="n"/>
      <c r="N15" s="51" t="n"/>
      <c r="O15" s="51" t="n"/>
      <c r="P15" s="51" t="n"/>
      <c r="Q15" s="51" t="n"/>
      <c r="R15" s="51" t="n"/>
    </row>
    <row r="16">
      <c r="B16" s="424" t="inlineStr">
        <is>
          <t>3. Đầu tư góp vốn vào đơn vị khác</t>
        </is>
      </c>
      <c r="C16" s="52" t="n"/>
      <c r="D16" s="449">
        <f>'02. Nhap lieu tai chinh_RG'!D16</f>
        <v/>
      </c>
      <c r="E16" s="449">
        <f>'02. Nhap lieu tai chinh_RG'!E16</f>
        <v/>
      </c>
      <c r="F16" s="449">
        <f>'02. Nhap lieu tai chinh_RG'!F16</f>
        <v/>
      </c>
      <c r="G16" s="449">
        <f>'02. Nhap lieu tai chinh_RG'!G16</f>
        <v/>
      </c>
      <c r="H16" s="449">
        <f>'02. Nhap lieu tai chinh_RG'!H16</f>
        <v/>
      </c>
      <c r="I16" s="51" t="n"/>
      <c r="J16" s="51" t="n"/>
      <c r="K16" s="51" t="n"/>
      <c r="L16" s="51" t="n"/>
      <c r="M16" s="51" t="n"/>
      <c r="N16" s="51" t="n"/>
      <c r="O16" s="51" t="n"/>
      <c r="P16" s="51" t="n"/>
      <c r="Q16" s="51" t="n"/>
      <c r="R16" s="51" t="n"/>
    </row>
    <row r="17">
      <c r="B17" s="425" t="inlineStr">
        <is>
          <t>4. Dự phòng tổn thất đầu tư tài chính (*)</t>
        </is>
      </c>
      <c r="C17" s="52" t="n"/>
      <c r="D17" s="449">
        <f>'02. Nhap lieu tai chinh_RG'!D17</f>
        <v/>
      </c>
      <c r="E17" s="449">
        <f>'02. Nhap lieu tai chinh_RG'!E17</f>
        <v/>
      </c>
      <c r="F17" s="449">
        <f>'02. Nhap lieu tai chinh_RG'!F17</f>
        <v/>
      </c>
      <c r="G17" s="449">
        <f>'02. Nhap lieu tai chinh_RG'!G17</f>
        <v/>
      </c>
      <c r="H17" s="449">
        <f>'02. Nhap lieu tai chinh_RG'!H17</f>
        <v/>
      </c>
      <c r="I17" s="51" t="n"/>
      <c r="J17" s="51" t="n"/>
      <c r="K17" s="51" t="n"/>
      <c r="L17" s="51" t="n"/>
      <c r="M17" s="51" t="n"/>
      <c r="N17" s="51" t="n"/>
      <c r="O17" s="51" t="n"/>
      <c r="P17" s="51" t="n"/>
      <c r="Q17" s="51" t="n"/>
      <c r="R17" s="51" t="n"/>
    </row>
    <row r="18">
      <c r="B18" s="423" t="inlineStr">
        <is>
          <t>III. Các khoản phải thu</t>
        </is>
      </c>
      <c r="C18" s="52" t="n"/>
      <c r="D18" s="450">
        <f>SUM(D19:D24)</f>
        <v/>
      </c>
      <c r="E18" s="878">
        <f>SUM(E19:E24)</f>
        <v/>
      </c>
      <c r="F18" s="878">
        <f>SUM(F19:F24)</f>
        <v/>
      </c>
      <c r="G18" s="450">
        <f>SUM(G19:G24)</f>
        <v/>
      </c>
      <c r="H18" s="478">
        <f>SUM(H19:H24)</f>
        <v/>
      </c>
      <c r="I18" s="51" t="n"/>
      <c r="J18" s="51" t="n"/>
      <c r="K18" s="51" t="n"/>
      <c r="L18" s="51" t="n"/>
      <c r="M18" s="51" t="n"/>
      <c r="N18" s="51" t="n"/>
      <c r="O18" s="51" t="n"/>
      <c r="P18" s="51" t="n"/>
      <c r="Q18" s="51" t="n"/>
      <c r="R18" s="51" t="n"/>
    </row>
    <row r="19">
      <c r="B19" s="424" t="inlineStr">
        <is>
          <t>1. Phải thu của khách hàng</t>
        </is>
      </c>
      <c r="C19" s="50" t="n"/>
      <c r="D19" s="449">
        <f>'02. Nhap lieu tai chinh_RG'!D19</f>
        <v/>
      </c>
      <c r="E19" s="449">
        <f>'02. Nhap lieu tai chinh_RG'!E19</f>
        <v/>
      </c>
      <c r="F19" s="449">
        <f>'02. Nhap lieu tai chinh_RG'!F19</f>
        <v/>
      </c>
      <c r="G19" s="449">
        <f>'02. Nhap lieu tai chinh_RG'!G19</f>
        <v/>
      </c>
      <c r="H19" s="449">
        <f>'02. Nhap lieu tai chinh_RG'!H19</f>
        <v/>
      </c>
      <c r="I19" s="51" t="n"/>
      <c r="J19" s="51" t="n"/>
      <c r="K19" s="51" t="n"/>
      <c r="L19" s="51" t="n"/>
      <c r="M19" s="51" t="n"/>
      <c r="N19" s="51" t="n"/>
      <c r="O19" s="51" t="n"/>
      <c r="P19" s="51" t="n"/>
      <c r="Q19" s="51" t="n"/>
      <c r="R19" s="51" t="n"/>
    </row>
    <row r="20">
      <c r="B20" s="424" t="inlineStr">
        <is>
          <t>2. Trả trước cho người bán</t>
        </is>
      </c>
      <c r="C20" s="52" t="n"/>
      <c r="D20" s="449">
        <f>'02. Nhap lieu tai chinh_RG'!D20</f>
        <v/>
      </c>
      <c r="E20" s="449">
        <f>'02. Nhap lieu tai chinh_RG'!E20</f>
        <v/>
      </c>
      <c r="F20" s="449">
        <f>'02. Nhap lieu tai chinh_RG'!F20</f>
        <v/>
      </c>
      <c r="G20" s="449">
        <f>'02. Nhap lieu tai chinh_RG'!G20</f>
        <v/>
      </c>
      <c r="H20" s="449">
        <f>'02. Nhap lieu tai chinh_RG'!H20</f>
        <v/>
      </c>
      <c r="I20" s="51" t="n"/>
      <c r="J20" s="51" t="n"/>
      <c r="K20" s="51" t="n"/>
      <c r="L20" s="51" t="n"/>
      <c r="M20" s="51" t="n"/>
      <c r="N20" s="51" t="n"/>
      <c r="O20" s="51" t="n"/>
      <c r="P20" s="51" t="n"/>
      <c r="Q20" s="51" t="n"/>
      <c r="R20" s="51" t="n"/>
    </row>
    <row r="21">
      <c r="B21" s="424" t="inlineStr">
        <is>
          <t>3. Vốn kinh doanh ở đơn vị trực thuộc</t>
        </is>
      </c>
      <c r="C21" s="52" t="n"/>
      <c r="D21" s="449">
        <f>'02. Nhap lieu tai chinh_RG'!D21</f>
        <v/>
      </c>
      <c r="E21" s="449">
        <f>'02. Nhap lieu tai chinh_RG'!E21</f>
        <v/>
      </c>
      <c r="F21" s="449">
        <f>'02. Nhap lieu tai chinh_RG'!F21</f>
        <v/>
      </c>
      <c r="G21" s="449">
        <f>'02. Nhap lieu tai chinh_RG'!G21</f>
        <v/>
      </c>
      <c r="H21" s="449">
        <f>'02. Nhap lieu tai chinh_RG'!H21</f>
        <v/>
      </c>
      <c r="I21" s="51" t="n"/>
      <c r="J21" s="51" t="n"/>
      <c r="K21" s="51" t="n"/>
      <c r="L21" s="51" t="n"/>
      <c r="M21" s="51" t="n"/>
      <c r="N21" s="51" t="n"/>
      <c r="O21" s="51" t="n"/>
      <c r="P21" s="51" t="n"/>
      <c r="Q21" s="51" t="n"/>
      <c r="R21" s="51" t="n"/>
    </row>
    <row r="22">
      <c r="B22" s="424" t="inlineStr">
        <is>
          <t>4. Phải thu khác</t>
        </is>
      </c>
      <c r="C22" s="52" t="n"/>
      <c r="D22" s="449">
        <f>'02. Nhap lieu tai chinh_RG'!D22</f>
        <v/>
      </c>
      <c r="E22" s="449">
        <f>'02. Nhap lieu tai chinh_RG'!E22</f>
        <v/>
      </c>
      <c r="F22" s="449">
        <f>'02. Nhap lieu tai chinh_RG'!F22</f>
        <v/>
      </c>
      <c r="G22" s="449">
        <f>'02. Nhap lieu tai chinh_RG'!G22</f>
        <v/>
      </c>
      <c r="H22" s="449">
        <f>'02. Nhap lieu tai chinh_RG'!H22</f>
        <v/>
      </c>
      <c r="I22" s="51" t="n"/>
      <c r="J22" s="51" t="n"/>
      <c r="K22" s="51" t="n"/>
      <c r="L22" s="51" t="n"/>
      <c r="M22" s="51" t="n"/>
      <c r="N22" s="51" t="n"/>
      <c r="O22" s="51" t="n"/>
      <c r="P22" s="51" t="n"/>
      <c r="Q22" s="51" t="n"/>
      <c r="R22" s="51" t="n"/>
    </row>
    <row r="23">
      <c r="B23" s="424" t="inlineStr">
        <is>
          <t>5. Tài sản thiếu chờ xử lý</t>
        </is>
      </c>
      <c r="C23" s="52" t="n"/>
      <c r="D23" s="449">
        <f>'02. Nhap lieu tai chinh_RG'!D23</f>
        <v/>
      </c>
      <c r="E23" s="449">
        <f>'02. Nhap lieu tai chinh_RG'!E23</f>
        <v/>
      </c>
      <c r="F23" s="449">
        <f>'02. Nhap lieu tai chinh_RG'!F23</f>
        <v/>
      </c>
      <c r="G23" s="449">
        <f>'02. Nhap lieu tai chinh_RG'!G23</f>
        <v/>
      </c>
      <c r="H23" s="449">
        <f>'02. Nhap lieu tai chinh_RG'!H23</f>
        <v/>
      </c>
      <c r="I23" s="51" t="n"/>
      <c r="J23" s="51" t="n"/>
      <c r="K23" s="51" t="n"/>
      <c r="L23" s="51" t="n"/>
      <c r="M23" s="51" t="n"/>
      <c r="N23" s="51" t="n"/>
      <c r="O23" s="51" t="n"/>
      <c r="P23" s="51" t="n"/>
      <c r="Q23" s="51" t="n"/>
      <c r="R23" s="51" t="n"/>
    </row>
    <row r="24">
      <c r="B24" s="425" t="inlineStr">
        <is>
          <t>6. Dự phòng phải thu khó đòi (*)</t>
        </is>
      </c>
      <c r="C24" s="50" t="n"/>
      <c r="D24" s="449">
        <f>'02. Nhap lieu tai chinh_RG'!D24</f>
        <v/>
      </c>
      <c r="E24" s="449">
        <f>'02. Nhap lieu tai chinh_RG'!E24</f>
        <v/>
      </c>
      <c r="F24" s="449">
        <f>'02. Nhap lieu tai chinh_RG'!F24</f>
        <v/>
      </c>
      <c r="G24" s="449">
        <f>'02. Nhap lieu tai chinh_RG'!G24</f>
        <v/>
      </c>
      <c r="H24" s="449">
        <f>'02. Nhap lieu tai chinh_RG'!H24</f>
        <v/>
      </c>
      <c r="I24" s="51" t="n"/>
      <c r="J24" s="51" t="n"/>
      <c r="K24" s="51" t="n"/>
      <c r="L24" s="51" t="n"/>
      <c r="M24" s="51" t="n"/>
      <c r="N24" s="51" t="n"/>
      <c r="O24" s="51" t="n"/>
      <c r="P24" s="51" t="n"/>
      <c r="Q24" s="51" t="n"/>
      <c r="R24" s="51" t="n"/>
    </row>
    <row r="25">
      <c r="B25" s="420" t="inlineStr">
        <is>
          <t xml:space="preserve">    IV. Hàng tồn kho</t>
        </is>
      </c>
      <c r="C25" s="879" t="n"/>
      <c r="D25" s="500">
        <f>SUM(D26:D27)</f>
        <v/>
      </c>
      <c r="E25" s="500">
        <f>SUM(E26:E27)</f>
        <v/>
      </c>
      <c r="F25" s="500">
        <f>SUM(F26:F27)</f>
        <v/>
      </c>
      <c r="G25" s="500">
        <f>SUM(G26:G27)</f>
        <v/>
      </c>
      <c r="H25" s="500">
        <f>SUM(H26:H27)</f>
        <v/>
      </c>
      <c r="I25" s="51" t="n"/>
      <c r="J25" s="51" t="n"/>
      <c r="K25" s="51" t="n"/>
      <c r="L25" s="51" t="n"/>
      <c r="M25" s="51" t="n"/>
      <c r="N25" s="51" t="n"/>
      <c r="O25" s="51" t="n"/>
      <c r="P25" s="51" t="n"/>
      <c r="Q25" s="51" t="n"/>
      <c r="R25" s="51" t="n"/>
    </row>
    <row r="26">
      <c r="B26" s="424" t="inlineStr">
        <is>
          <t>1. Hàng tồn kho</t>
        </is>
      </c>
      <c r="C26" s="52" t="n"/>
      <c r="D26" s="449">
        <f>'02. Nhap lieu tai chinh_RG'!D26</f>
        <v/>
      </c>
      <c r="E26" s="449">
        <f>'02. Nhap lieu tai chinh_RG'!E26</f>
        <v/>
      </c>
      <c r="F26" s="449">
        <f>'02. Nhap lieu tai chinh_RG'!F26</f>
        <v/>
      </c>
      <c r="G26" s="449">
        <f>'02. Nhap lieu tai chinh_RG'!G26</f>
        <v/>
      </c>
      <c r="H26" s="449">
        <f>'02. Nhap lieu tai chinh_RG'!H26</f>
        <v/>
      </c>
      <c r="I26" s="51" t="n"/>
      <c r="J26" s="51" t="n"/>
      <c r="K26" s="51" t="n"/>
      <c r="L26" s="51" t="n"/>
      <c r="M26" s="51" t="n"/>
      <c r="N26" s="51" t="n"/>
      <c r="O26" s="51" t="n"/>
      <c r="P26" s="51" t="n"/>
      <c r="Q26" s="51" t="n"/>
      <c r="R26" s="51" t="n"/>
    </row>
    <row r="27">
      <c r="B27" s="425" t="inlineStr">
        <is>
          <t>2. Dự phòng giảm giả hàng tồn kho (*)</t>
        </is>
      </c>
      <c r="C27" s="52" t="n"/>
      <c r="D27" s="449">
        <f>'02. Nhap lieu tai chinh_RG'!D27</f>
        <v/>
      </c>
      <c r="E27" s="449">
        <f>'02. Nhap lieu tai chinh_RG'!E27</f>
        <v/>
      </c>
      <c r="F27" s="449">
        <f>'02. Nhap lieu tai chinh_RG'!F27</f>
        <v/>
      </c>
      <c r="G27" s="449">
        <f>'02. Nhap lieu tai chinh_RG'!G27</f>
        <v/>
      </c>
      <c r="H27" s="449">
        <f>'02. Nhap lieu tai chinh_RG'!H27</f>
        <v/>
      </c>
      <c r="I27" s="51" t="n"/>
      <c r="J27" s="51" t="n"/>
      <c r="K27" s="51" t="n"/>
      <c r="L27" s="51" t="n"/>
      <c r="M27" s="51" t="n"/>
      <c r="N27" s="51" t="n"/>
      <c r="O27" s="51" t="n"/>
      <c r="P27" s="51" t="n"/>
      <c r="Q27" s="51" t="n"/>
      <c r="R27" s="51" t="n"/>
    </row>
    <row r="28">
      <c r="B28" s="423" t="inlineStr">
        <is>
          <t xml:space="preserve">V. Tài sản cố định </t>
        </is>
      </c>
      <c r="C28" s="52" t="n"/>
      <c r="D28" s="500">
        <f>SUM(D29:D30)</f>
        <v/>
      </c>
      <c r="E28" s="500">
        <f>SUM(E29:E30)</f>
        <v/>
      </c>
      <c r="F28" s="500">
        <f>SUM(F29:F30)</f>
        <v/>
      </c>
      <c r="G28" s="500">
        <f>SUM(G29:G30)</f>
        <v/>
      </c>
      <c r="H28" s="500">
        <f>SUM(H29:H30)</f>
        <v/>
      </c>
      <c r="I28" s="51" t="n"/>
      <c r="J28" s="51" t="n"/>
      <c r="K28" s="51" t="n"/>
      <c r="L28" s="51" t="n"/>
      <c r="M28" s="51" t="n"/>
      <c r="N28" s="51" t="n"/>
      <c r="O28" s="51" t="n"/>
      <c r="P28" s="51" t="n"/>
      <c r="Q28" s="51" t="n"/>
      <c r="R28" s="51" t="n"/>
    </row>
    <row r="29">
      <c r="B29" s="424" t="inlineStr">
        <is>
          <t>- Nguyên giá</t>
        </is>
      </c>
      <c r="C29" s="52" t="n"/>
      <c r="D29" s="449">
        <f>'02. Nhap lieu tai chinh_RG'!D29</f>
        <v/>
      </c>
      <c r="E29" s="449">
        <f>'02. Nhap lieu tai chinh_RG'!E29</f>
        <v/>
      </c>
      <c r="F29" s="449">
        <f>'02. Nhap lieu tai chinh_RG'!F29</f>
        <v/>
      </c>
      <c r="G29" s="449">
        <f>'02. Nhap lieu tai chinh_RG'!G29</f>
        <v/>
      </c>
      <c r="H29" s="449">
        <f>'02. Nhap lieu tai chinh_RG'!H29</f>
        <v/>
      </c>
      <c r="I29" s="51" t="n"/>
      <c r="J29" s="51" t="n"/>
      <c r="K29" s="51" t="n"/>
      <c r="L29" s="51" t="n"/>
      <c r="M29" s="51" t="n"/>
      <c r="N29" s="51" t="n"/>
      <c r="O29" s="51" t="n"/>
      <c r="P29" s="51" t="n"/>
      <c r="Q29" s="51" t="n"/>
      <c r="R29" s="51" t="n"/>
    </row>
    <row r="30">
      <c r="B30" s="425" t="inlineStr">
        <is>
          <t>- Giá trị hao mòn lũy kế</t>
        </is>
      </c>
      <c r="C30" s="52" t="n"/>
      <c r="D30" s="449">
        <f>'02. Nhap lieu tai chinh_RG'!D30</f>
        <v/>
      </c>
      <c r="E30" s="449">
        <f>'02. Nhap lieu tai chinh_RG'!E30</f>
        <v/>
      </c>
      <c r="F30" s="449">
        <f>'02. Nhap lieu tai chinh_RG'!F30</f>
        <v/>
      </c>
      <c r="G30" s="449">
        <f>'02. Nhap lieu tai chinh_RG'!G30</f>
        <v/>
      </c>
      <c r="H30" s="449">
        <f>'02. Nhap lieu tai chinh_RG'!H30</f>
        <v/>
      </c>
      <c r="I30" s="51" t="n"/>
      <c r="J30" s="51" t="n"/>
      <c r="K30" s="51" t="n"/>
      <c r="L30" s="51" t="n"/>
      <c r="M30" s="51" t="n"/>
      <c r="N30" s="51" t="n"/>
      <c r="O30" s="51" t="n"/>
      <c r="P30" s="51" t="n"/>
      <c r="Q30" s="51" t="n"/>
      <c r="R30" s="51" t="n"/>
    </row>
    <row r="31">
      <c r="B31" s="423" t="inlineStr">
        <is>
          <t>VI. Bất động sản đầu tư</t>
        </is>
      </c>
      <c r="C31" s="50" t="n"/>
      <c r="D31" s="500">
        <f>SUM(D32:D33)</f>
        <v/>
      </c>
      <c r="E31" s="500">
        <f>SUM(E32:E33)</f>
        <v/>
      </c>
      <c r="F31" s="500">
        <f>SUM(F32:F33)</f>
        <v/>
      </c>
      <c r="G31" s="500">
        <f>SUM(G32:G33)</f>
        <v/>
      </c>
      <c r="H31" s="500">
        <f>SUM(H32:H33)</f>
        <v/>
      </c>
      <c r="I31" s="51" t="n"/>
      <c r="J31" s="51" t="n"/>
      <c r="K31" s="51" t="n"/>
      <c r="L31" s="51" t="n"/>
      <c r="M31" s="51" t="n"/>
      <c r="N31" s="51" t="n"/>
      <c r="O31" s="51" t="n"/>
      <c r="P31" s="51" t="n"/>
      <c r="Q31" s="51" t="n"/>
      <c r="R31" s="51" t="n"/>
    </row>
    <row r="32">
      <c r="B32" s="424" t="inlineStr">
        <is>
          <t>- Nguyên giá</t>
        </is>
      </c>
      <c r="C32" s="52" t="n"/>
      <c r="D32" s="449">
        <f>'02. Nhap lieu tai chinh_RG'!D32</f>
        <v/>
      </c>
      <c r="E32" s="449">
        <f>'02. Nhap lieu tai chinh_RG'!E32</f>
        <v/>
      </c>
      <c r="F32" s="449">
        <f>'02. Nhap lieu tai chinh_RG'!F32</f>
        <v/>
      </c>
      <c r="G32" s="449">
        <f>'02. Nhap lieu tai chinh_RG'!G32</f>
        <v/>
      </c>
      <c r="H32" s="449">
        <f>'02. Nhap lieu tai chinh_RG'!H32</f>
        <v/>
      </c>
      <c r="I32" s="51" t="n"/>
      <c r="J32" s="51" t="n"/>
      <c r="K32" s="51" t="n"/>
      <c r="L32" s="51" t="n"/>
      <c r="M32" s="51" t="n"/>
      <c r="N32" s="51" t="n"/>
      <c r="O32" s="51" t="n"/>
      <c r="P32" s="51" t="n"/>
      <c r="Q32" s="51" t="n"/>
      <c r="R32" s="51" t="n"/>
    </row>
    <row r="33">
      <c r="B33" s="425" t="inlineStr">
        <is>
          <t>- Giá trị hao mòn lũy kế (*)</t>
        </is>
      </c>
      <c r="C33" s="52" t="n"/>
      <c r="D33" s="449">
        <f>'02. Nhap lieu tai chinh_RG'!D33</f>
        <v/>
      </c>
      <c r="E33" s="449">
        <f>'02. Nhap lieu tai chinh_RG'!E33</f>
        <v/>
      </c>
      <c r="F33" s="449">
        <f>'02. Nhap lieu tai chinh_RG'!F33</f>
        <v/>
      </c>
      <c r="G33" s="449">
        <f>'02. Nhap lieu tai chinh_RG'!G33</f>
        <v/>
      </c>
      <c r="H33" s="449">
        <f>'02. Nhap lieu tai chinh_RG'!H33</f>
        <v/>
      </c>
      <c r="I33" s="51" t="n"/>
      <c r="J33" s="51" t="n"/>
      <c r="K33" s="51" t="n"/>
      <c r="L33" s="51" t="n"/>
      <c r="M33" s="51" t="n"/>
      <c r="N33" s="51" t="n"/>
      <c r="O33" s="51" t="n"/>
      <c r="P33" s="51" t="n"/>
      <c r="Q33" s="51" t="n"/>
      <c r="R33" s="51" t="n"/>
    </row>
    <row r="34">
      <c r="B34" s="423" t="inlineStr">
        <is>
          <t>VII. XDCB dở dang</t>
        </is>
      </c>
      <c r="C34" s="52" t="n"/>
      <c r="D34" s="500">
        <f>'02. Nhap lieu tai chinh_RG'!D34</f>
        <v/>
      </c>
      <c r="E34" s="500">
        <f>'02. Nhap lieu tai chinh_RG'!E34</f>
        <v/>
      </c>
      <c r="F34" s="500">
        <f>'02. Nhap lieu tai chinh_RG'!F34</f>
        <v/>
      </c>
      <c r="G34" s="500">
        <f>'02. Nhap lieu tai chinh_RG'!G34</f>
        <v/>
      </c>
      <c r="H34" s="500">
        <f>'02. Nhap lieu tai chinh_RG'!H34</f>
        <v/>
      </c>
      <c r="I34" s="51" t="n"/>
      <c r="J34" s="51" t="n"/>
      <c r="K34" s="51" t="n"/>
      <c r="L34" s="51" t="n"/>
      <c r="M34" s="51" t="n"/>
      <c r="N34" s="51" t="n"/>
      <c r="O34" s="51" t="n"/>
      <c r="P34" s="51" t="n"/>
      <c r="Q34" s="51" t="n"/>
      <c r="R34" s="51" t="n"/>
    </row>
    <row r="35">
      <c r="B35" s="423" t="inlineStr">
        <is>
          <t>VIII. Tài sản khác</t>
        </is>
      </c>
      <c r="C35" s="52" t="n"/>
      <c r="D35" s="500">
        <f>SUM(D36:D37)</f>
        <v/>
      </c>
      <c r="E35" s="500">
        <f>SUM(E36:E37)</f>
        <v/>
      </c>
      <c r="F35" s="500">
        <f>SUM(F36:F37)</f>
        <v/>
      </c>
      <c r="G35" s="500">
        <f>SUM(G36:G37)</f>
        <v/>
      </c>
      <c r="H35" s="500">
        <f>SUM(H36:H37)</f>
        <v/>
      </c>
      <c r="I35" s="51" t="n"/>
      <c r="J35" s="51" t="n"/>
      <c r="K35" s="51" t="n"/>
      <c r="L35" s="51" t="n"/>
      <c r="M35" s="51" t="n"/>
      <c r="N35" s="51" t="n"/>
      <c r="O35" s="51" t="n"/>
      <c r="P35" s="51" t="n"/>
      <c r="Q35" s="51" t="n"/>
      <c r="R35" s="51" t="n"/>
    </row>
    <row r="36">
      <c r="B36" s="424" t="inlineStr">
        <is>
          <t>1. Thuế GTGT được khấu trừ</t>
        </is>
      </c>
      <c r="C36" s="52" t="n"/>
      <c r="D36" s="449">
        <f>'02. Nhap lieu tai chinh_RG'!D36</f>
        <v/>
      </c>
      <c r="E36" s="449">
        <f>'02. Nhap lieu tai chinh_RG'!E36</f>
        <v/>
      </c>
      <c r="F36" s="449">
        <f>'02. Nhap lieu tai chinh_RG'!F36</f>
        <v/>
      </c>
      <c r="G36" s="449">
        <f>'02. Nhap lieu tai chinh_RG'!G36</f>
        <v/>
      </c>
      <c r="H36" s="449">
        <f>'02. Nhap lieu tai chinh_RG'!H36</f>
        <v/>
      </c>
      <c r="I36" s="51" t="n"/>
      <c r="J36" s="51" t="n"/>
      <c r="K36" s="51" t="n"/>
      <c r="L36" s="51" t="n"/>
      <c r="M36" s="51" t="n"/>
      <c r="N36" s="51" t="n"/>
      <c r="O36" s="51" t="n"/>
      <c r="P36" s="51" t="n"/>
      <c r="Q36" s="51" t="n"/>
      <c r="R36" s="51" t="n"/>
    </row>
    <row r="37">
      <c r="B37" s="424" t="inlineStr">
        <is>
          <t>2. Tài sản khác</t>
        </is>
      </c>
      <c r="C37" s="52" t="n"/>
      <c r="D37" s="449">
        <f>'02. Nhap lieu tai chinh_RG'!D37</f>
        <v/>
      </c>
      <c r="E37" s="449">
        <f>'02. Nhap lieu tai chinh_RG'!E37</f>
        <v/>
      </c>
      <c r="F37" s="449">
        <f>'02. Nhap lieu tai chinh_RG'!F37</f>
        <v/>
      </c>
      <c r="G37" s="449">
        <f>'02. Nhap lieu tai chinh_RG'!G37</f>
        <v/>
      </c>
      <c r="H37" s="449">
        <f>'02. Nhap lieu tai chinh_RG'!H37</f>
        <v/>
      </c>
      <c r="I37" s="51" t="n"/>
      <c r="J37" s="51" t="n"/>
      <c r="K37" s="51" t="n"/>
      <c r="L37" s="51" t="n"/>
      <c r="M37" s="51" t="n"/>
      <c r="N37" s="51" t="n"/>
      <c r="O37" s="51" t="n"/>
      <c r="P37" s="51" t="n"/>
      <c r="Q37" s="51" t="n"/>
      <c r="R37" s="51" t="n"/>
    </row>
    <row r="38">
      <c r="B38" s="261" t="inlineStr">
        <is>
          <t>TỔNG NGUỒN VỐN</t>
        </is>
      </c>
      <c r="C38" s="53" t="n"/>
      <c r="D38" s="502">
        <f>D39+D50</f>
        <v/>
      </c>
      <c r="E38" s="880">
        <f>E39+E50</f>
        <v/>
      </c>
      <c r="F38" s="880">
        <f>F39+F50</f>
        <v/>
      </c>
      <c r="G38" s="880">
        <f>G39+G50</f>
        <v/>
      </c>
      <c r="H38" s="880">
        <f>H39+H50</f>
        <v/>
      </c>
      <c r="I38" s="51" t="n"/>
      <c r="J38" s="51" t="n"/>
      <c r="K38" s="51" t="n"/>
      <c r="L38" s="51" t="n"/>
      <c r="M38" s="51" t="n"/>
      <c r="N38" s="51" t="n"/>
      <c r="O38" s="51" t="n"/>
      <c r="P38" s="51" t="n"/>
      <c r="Q38" s="51" t="n"/>
      <c r="R38" s="51" t="n"/>
    </row>
    <row r="39">
      <c r="B39" s="427" t="inlineStr">
        <is>
          <t>I. Nợ phải trả</t>
        </is>
      </c>
      <c r="C39" s="50" t="n"/>
      <c r="D39" s="500">
        <f>SUM(D40:D49)</f>
        <v/>
      </c>
      <c r="E39" s="881">
        <f>SUM(E40:E49)</f>
        <v/>
      </c>
      <c r="F39" s="881">
        <f>SUM(F40:F49)</f>
        <v/>
      </c>
      <c r="G39" s="881">
        <f>SUM(G40:G49)</f>
        <v/>
      </c>
      <c r="H39" s="881">
        <f>SUM(H40:H49)</f>
        <v/>
      </c>
      <c r="I39" s="51" t="n"/>
      <c r="J39" s="51" t="n"/>
      <c r="K39" s="51" t="n"/>
      <c r="L39" s="51" t="n"/>
      <c r="M39" s="51" t="n"/>
      <c r="N39" s="51" t="n"/>
      <c r="O39" s="51" t="n"/>
      <c r="P39" s="51" t="n"/>
      <c r="Q39" s="51" t="n"/>
      <c r="R39" s="51" t="n"/>
    </row>
    <row r="40">
      <c r="B40" s="424" t="inlineStr">
        <is>
          <t>1. Phải trả người bán</t>
        </is>
      </c>
      <c r="C40" s="50" t="n"/>
      <c r="D40" s="449">
        <f>'02. Nhap lieu tai chinh_RG'!D40</f>
        <v/>
      </c>
      <c r="E40" s="449">
        <f>'02. Nhap lieu tai chinh_RG'!E40</f>
        <v/>
      </c>
      <c r="F40" s="449">
        <f>'02. Nhap lieu tai chinh_RG'!F40</f>
        <v/>
      </c>
      <c r="G40" s="449">
        <f>'02. Nhap lieu tai chinh_RG'!G40</f>
        <v/>
      </c>
      <c r="H40" s="449">
        <f>'02. Nhap lieu tai chinh_RG'!H40</f>
        <v/>
      </c>
      <c r="I40" s="51" t="n"/>
      <c r="J40" s="51" t="n"/>
      <c r="K40" s="51" t="n"/>
      <c r="L40" s="51" t="n"/>
      <c r="M40" s="51" t="n"/>
      <c r="N40" s="51" t="n"/>
      <c r="O40" s="51" t="n"/>
      <c r="P40" s="51" t="n"/>
      <c r="Q40" s="51" t="n"/>
      <c r="R40" s="51" t="n"/>
    </row>
    <row r="41">
      <c r="B41" s="424" t="inlineStr">
        <is>
          <t>2. Người mua trả tiền trước</t>
        </is>
      </c>
      <c r="C41" s="50" t="n"/>
      <c r="D41" s="449">
        <f>'02. Nhap lieu tai chinh_RG'!D41</f>
        <v/>
      </c>
      <c r="E41" s="449">
        <f>'02. Nhap lieu tai chinh_RG'!E41</f>
        <v/>
      </c>
      <c r="F41" s="449">
        <f>'02. Nhap lieu tai chinh_RG'!F41</f>
        <v/>
      </c>
      <c r="G41" s="449">
        <f>'02. Nhap lieu tai chinh_RG'!G41</f>
        <v/>
      </c>
      <c r="H41" s="449">
        <f>'02. Nhap lieu tai chinh_RG'!H41</f>
        <v/>
      </c>
      <c r="I41" s="51" t="n"/>
      <c r="J41" s="51" t="n"/>
      <c r="K41" s="51" t="n"/>
      <c r="L41" s="51" t="n"/>
      <c r="M41" s="51" t="n"/>
      <c r="N41" s="51" t="n"/>
      <c r="O41" s="51" t="n"/>
      <c r="P41" s="51" t="n"/>
      <c r="Q41" s="51" t="n"/>
      <c r="R41" s="51" t="n"/>
    </row>
    <row r="42">
      <c r="B42" s="424" t="inlineStr">
        <is>
          <t>3. Thuế và các khoản phải nộp Nhà nước</t>
        </is>
      </c>
      <c r="C42" s="50" t="n"/>
      <c r="D42" s="449">
        <f>'02. Nhap lieu tai chinh_RG'!D42</f>
        <v/>
      </c>
      <c r="E42" s="449">
        <f>'02. Nhap lieu tai chinh_RG'!E42</f>
        <v/>
      </c>
      <c r="F42" s="449">
        <f>'02. Nhap lieu tai chinh_RG'!F42</f>
        <v/>
      </c>
      <c r="G42" s="449">
        <f>'02. Nhap lieu tai chinh_RG'!G42</f>
        <v/>
      </c>
      <c r="H42" s="449">
        <f>'02. Nhap lieu tai chinh_RG'!H42</f>
        <v/>
      </c>
      <c r="I42" s="51" t="n"/>
      <c r="J42" s="51" t="n"/>
      <c r="K42" s="51" t="n"/>
      <c r="L42" s="51" t="n"/>
      <c r="M42" s="51" t="n"/>
      <c r="N42" s="51" t="n"/>
      <c r="O42" s="51" t="n"/>
      <c r="P42" s="51" t="n"/>
      <c r="Q42" s="51" t="n"/>
      <c r="R42" s="51" t="n"/>
    </row>
    <row r="43">
      <c r="B43" s="424" t="inlineStr">
        <is>
          <t>4. Phải trả người lao động</t>
        </is>
      </c>
      <c r="C43" s="50" t="n"/>
      <c r="D43" s="449">
        <f>'02. Nhap lieu tai chinh_RG'!D43</f>
        <v/>
      </c>
      <c r="E43" s="449">
        <f>'02. Nhap lieu tai chinh_RG'!E43</f>
        <v/>
      </c>
      <c r="F43" s="449">
        <f>'02. Nhap lieu tai chinh_RG'!F43</f>
        <v/>
      </c>
      <c r="G43" s="449">
        <f>'02. Nhap lieu tai chinh_RG'!G43</f>
        <v/>
      </c>
      <c r="H43" s="449">
        <f>'02. Nhap lieu tai chinh_RG'!H43</f>
        <v/>
      </c>
      <c r="I43" s="51" t="n"/>
      <c r="J43" s="51" t="n"/>
      <c r="K43" s="51" t="n"/>
      <c r="L43" s="51" t="n"/>
      <c r="M43" s="51" t="n"/>
      <c r="N43" s="51" t="n"/>
      <c r="O43" s="51" t="n"/>
      <c r="P43" s="51" t="n"/>
      <c r="Q43" s="51" t="n"/>
      <c r="R43" s="51" t="n"/>
    </row>
    <row r="44">
      <c r="B44" s="424" t="inlineStr">
        <is>
          <t>5. Phải trả khác</t>
        </is>
      </c>
      <c r="C44" s="50" t="n"/>
      <c r="D44" s="449">
        <f>'02. Nhap lieu tai chinh_RG'!D44</f>
        <v/>
      </c>
      <c r="E44" s="449">
        <f>'02. Nhap lieu tai chinh_RG'!E44</f>
        <v/>
      </c>
      <c r="F44" s="449">
        <f>'02. Nhap lieu tai chinh_RG'!F44</f>
        <v/>
      </c>
      <c r="G44" s="449">
        <f>'02. Nhap lieu tai chinh_RG'!G44</f>
        <v/>
      </c>
      <c r="H44" s="449">
        <f>'02. Nhap lieu tai chinh_RG'!H44</f>
        <v/>
      </c>
      <c r="I44" s="51" t="n"/>
      <c r="J44" s="51" t="n"/>
      <c r="K44" s="51" t="n"/>
      <c r="L44" s="51" t="n"/>
      <c r="M44" s="51" t="n"/>
      <c r="N44" s="51" t="n"/>
      <c r="O44" s="51" t="n"/>
      <c r="P44" s="51" t="n"/>
      <c r="Q44" s="51" t="n"/>
      <c r="R44" s="51" t="n"/>
    </row>
    <row r="45">
      <c r="B45" s="424" t="inlineStr">
        <is>
          <t>6. Vay và nợ thuê tài chính</t>
        </is>
      </c>
      <c r="C45" s="50" t="n"/>
      <c r="D45" s="449">
        <f>'02. Nhap lieu tai chinh_RG'!D45</f>
        <v/>
      </c>
      <c r="E45" s="449">
        <f>'02. Nhap lieu tai chinh_RG'!E45</f>
        <v/>
      </c>
      <c r="F45" s="449">
        <f>'02. Nhap lieu tai chinh_RG'!F45</f>
        <v/>
      </c>
      <c r="G45" s="449">
        <f>'02. Nhap lieu tai chinh_RG'!G45</f>
        <v/>
      </c>
      <c r="H45" s="449">
        <f>'02. Nhap lieu tai chinh_RG'!H45</f>
        <v/>
      </c>
      <c r="I45" s="51" t="n"/>
      <c r="J45" s="51" t="n"/>
      <c r="K45" s="51" t="n"/>
      <c r="L45" s="51" t="n"/>
      <c r="M45" s="51" t="n"/>
      <c r="N45" s="51" t="n"/>
      <c r="O45" s="51" t="n"/>
      <c r="P45" s="51" t="n"/>
      <c r="Q45" s="51" t="n"/>
      <c r="R45" s="51" t="n"/>
    </row>
    <row r="46">
      <c r="B46" s="424" t="inlineStr">
        <is>
          <t>7. Phải trả nội bộ về vốn kinh doanh</t>
        </is>
      </c>
      <c r="C46" s="50" t="n"/>
      <c r="D46" s="449">
        <f>'02. Nhap lieu tai chinh_RG'!D46</f>
        <v/>
      </c>
      <c r="E46" s="449">
        <f>'02. Nhap lieu tai chinh_RG'!E46</f>
        <v/>
      </c>
      <c r="F46" s="449">
        <f>'02. Nhap lieu tai chinh_RG'!F46</f>
        <v/>
      </c>
      <c r="G46" s="449">
        <f>'02. Nhap lieu tai chinh_RG'!G46</f>
        <v/>
      </c>
      <c r="H46" s="449">
        <f>'02. Nhap lieu tai chinh_RG'!H46</f>
        <v/>
      </c>
      <c r="I46" s="51" t="n"/>
      <c r="J46" s="51" t="n"/>
      <c r="K46" s="51" t="n"/>
      <c r="L46" s="51" t="n"/>
      <c r="M46" s="51" t="n"/>
      <c r="N46" s="51" t="n"/>
      <c r="O46" s="51" t="n"/>
      <c r="P46" s="51" t="n"/>
      <c r="Q46" s="51" t="n"/>
      <c r="R46" s="51" t="n"/>
    </row>
    <row r="47">
      <c r="B47" s="424" t="inlineStr">
        <is>
          <t>8. Dự phòng phải trả</t>
        </is>
      </c>
      <c r="C47" s="50" t="n"/>
      <c r="D47" s="449">
        <f>'02. Nhap lieu tai chinh_RG'!D47</f>
        <v/>
      </c>
      <c r="E47" s="449">
        <f>'02. Nhap lieu tai chinh_RG'!E47</f>
        <v/>
      </c>
      <c r="F47" s="449">
        <f>'02. Nhap lieu tai chinh_RG'!F47</f>
        <v/>
      </c>
      <c r="G47" s="449">
        <f>'02. Nhap lieu tai chinh_RG'!G47</f>
        <v/>
      </c>
      <c r="H47" s="449">
        <f>'02. Nhap lieu tai chinh_RG'!H47</f>
        <v/>
      </c>
      <c r="I47" s="51" t="n"/>
      <c r="J47" s="51" t="n"/>
      <c r="K47" s="51" t="n"/>
      <c r="L47" s="51" t="n"/>
      <c r="M47" s="51" t="n"/>
      <c r="N47" s="51" t="n"/>
      <c r="O47" s="51" t="n"/>
      <c r="P47" s="51" t="n"/>
      <c r="Q47" s="51" t="n"/>
      <c r="R47" s="51" t="n"/>
    </row>
    <row r="48">
      <c r="B48" s="424" t="inlineStr">
        <is>
          <t>9. Quỹ khen thưởng, phúc lợi</t>
        </is>
      </c>
      <c r="C48" s="52" t="n"/>
      <c r="D48" s="449">
        <f>'02. Nhap lieu tai chinh_RG'!D48</f>
        <v/>
      </c>
      <c r="E48" s="449">
        <f>'02. Nhap lieu tai chinh_RG'!E48</f>
        <v/>
      </c>
      <c r="F48" s="449">
        <f>'02. Nhap lieu tai chinh_RG'!F48</f>
        <v/>
      </c>
      <c r="G48" s="449">
        <f>'02. Nhap lieu tai chinh_RG'!G48</f>
        <v/>
      </c>
      <c r="H48" s="449">
        <f>'02. Nhap lieu tai chinh_RG'!H48</f>
        <v/>
      </c>
      <c r="I48" s="45" t="n"/>
      <c r="J48" s="45" t="n"/>
      <c r="K48" s="45" t="n"/>
      <c r="L48" s="45" t="n"/>
      <c r="M48" s="45" t="n"/>
      <c r="N48" s="45" t="n"/>
      <c r="O48" s="45" t="n"/>
      <c r="P48" s="45" t="n"/>
      <c r="Q48" s="45" t="n"/>
      <c r="R48" s="45" t="n"/>
    </row>
    <row r="49">
      <c r="B49" s="428" t="inlineStr">
        <is>
          <t>10. Quỹ phát triển khoa học và công nghệ</t>
        </is>
      </c>
      <c r="C49" s="52" t="n"/>
      <c r="D49" s="449">
        <f>'02. Nhap lieu tai chinh_RG'!D49</f>
        <v/>
      </c>
      <c r="E49" s="449">
        <f>'02. Nhap lieu tai chinh_RG'!E49</f>
        <v/>
      </c>
      <c r="F49" s="449">
        <f>'02. Nhap lieu tai chinh_RG'!F49</f>
        <v/>
      </c>
      <c r="G49" s="449">
        <f>'02. Nhap lieu tai chinh_RG'!G49</f>
        <v/>
      </c>
      <c r="H49" s="449">
        <f>'02. Nhap lieu tai chinh_RG'!H49</f>
        <v/>
      </c>
      <c r="I49" s="45" t="n"/>
      <c r="J49" s="45" t="n"/>
      <c r="K49" s="45" t="n"/>
      <c r="L49" s="45" t="n"/>
      <c r="M49" s="45" t="n"/>
      <c r="N49" s="45" t="n"/>
      <c r="O49" s="45" t="n"/>
      <c r="P49" s="45" t="n"/>
      <c r="Q49" s="45" t="n"/>
      <c r="R49" s="45" t="n"/>
    </row>
    <row r="50">
      <c r="B50" s="427" t="inlineStr">
        <is>
          <t>II. Vốn chủ sở hữu</t>
        </is>
      </c>
      <c r="C50" s="52" t="n"/>
      <c r="D50" s="501">
        <f>SUM(D51:D57)</f>
        <v/>
      </c>
      <c r="E50" s="881">
        <f>SUM(E51:E57)</f>
        <v/>
      </c>
      <c r="F50" s="881">
        <f>SUM(F51:F57)</f>
        <v/>
      </c>
      <c r="G50" s="882">
        <f>SUM(G51:G57)</f>
        <v/>
      </c>
      <c r="H50" s="882">
        <f>SUM(H51:H57)</f>
        <v/>
      </c>
      <c r="I50" s="45" t="n"/>
      <c r="J50" s="45" t="n"/>
      <c r="K50" s="45" t="n"/>
      <c r="L50" s="45" t="n"/>
      <c r="M50" s="45" t="n"/>
      <c r="N50" s="45" t="n"/>
      <c r="O50" s="45" t="n"/>
      <c r="P50" s="45" t="n"/>
      <c r="Q50" s="45" t="n"/>
      <c r="R50" s="45" t="n"/>
    </row>
    <row r="51">
      <c r="B51" s="424" t="inlineStr">
        <is>
          <t>1. Vốn góp của chủ sở hữu</t>
        </is>
      </c>
      <c r="C51" s="52" t="n"/>
      <c r="D51" s="449">
        <f>'02. Nhap lieu tai chinh_RG'!D51</f>
        <v/>
      </c>
      <c r="E51" s="449">
        <f>'02. Nhap lieu tai chinh_RG'!E51</f>
        <v/>
      </c>
      <c r="F51" s="449">
        <f>'02. Nhap lieu tai chinh_RG'!F51</f>
        <v/>
      </c>
      <c r="G51" s="449">
        <f>'02. Nhap lieu tai chinh_RG'!G51</f>
        <v/>
      </c>
      <c r="H51" s="449">
        <f>'02. Nhap lieu tai chinh_RG'!H51</f>
        <v/>
      </c>
      <c r="I51" s="45" t="n"/>
      <c r="J51" s="45" t="n"/>
      <c r="K51" s="45" t="n"/>
      <c r="L51" s="45" t="n"/>
      <c r="M51" s="45" t="n"/>
      <c r="N51" s="45" t="n"/>
      <c r="O51" s="45" t="n"/>
      <c r="P51" s="45" t="n"/>
      <c r="Q51" s="45" t="n"/>
      <c r="R51" s="45" t="n"/>
    </row>
    <row r="52">
      <c r="B52" s="424" t="inlineStr">
        <is>
          <t>2. Thặng dư vốn cổ phần</t>
        </is>
      </c>
      <c r="C52" s="52" t="n"/>
      <c r="D52" s="449">
        <f>'02. Nhap lieu tai chinh_RG'!D52</f>
        <v/>
      </c>
      <c r="E52" s="449">
        <f>'02. Nhap lieu tai chinh_RG'!E52</f>
        <v/>
      </c>
      <c r="F52" s="449">
        <f>'02. Nhap lieu tai chinh_RG'!F52</f>
        <v/>
      </c>
      <c r="G52" s="449">
        <f>'02. Nhap lieu tai chinh_RG'!G52</f>
        <v/>
      </c>
      <c r="H52" s="449">
        <f>'02. Nhap lieu tai chinh_RG'!H52</f>
        <v/>
      </c>
      <c r="I52" s="45" t="n"/>
      <c r="J52" s="45" t="n"/>
      <c r="K52" s="45" t="n"/>
      <c r="L52" s="45" t="n"/>
      <c r="M52" s="45" t="n"/>
      <c r="N52" s="45" t="n"/>
      <c r="O52" s="45" t="n"/>
      <c r="P52" s="45" t="n"/>
      <c r="Q52" s="45" t="n"/>
      <c r="R52" s="45" t="n"/>
    </row>
    <row r="53">
      <c r="B53" s="424" t="inlineStr">
        <is>
          <t>3. Vốn khác của chủ sở hữu</t>
        </is>
      </c>
      <c r="C53" s="52" t="n"/>
      <c r="D53" s="449">
        <f>'02. Nhap lieu tai chinh_RG'!D53</f>
        <v/>
      </c>
      <c r="E53" s="449">
        <f>'02. Nhap lieu tai chinh_RG'!E53</f>
        <v/>
      </c>
      <c r="F53" s="449">
        <f>'02. Nhap lieu tai chinh_RG'!F53</f>
        <v/>
      </c>
      <c r="G53" s="449">
        <f>'02. Nhap lieu tai chinh_RG'!G53</f>
        <v/>
      </c>
      <c r="H53" s="449">
        <f>'02. Nhap lieu tai chinh_RG'!H53</f>
        <v/>
      </c>
      <c r="I53" s="45" t="n"/>
      <c r="J53" s="45" t="n"/>
      <c r="K53" s="45" t="n"/>
      <c r="L53" s="45" t="n"/>
      <c r="M53" s="45" t="n"/>
      <c r="N53" s="45" t="n"/>
      <c r="O53" s="45" t="n"/>
      <c r="P53" s="45" t="n"/>
      <c r="Q53" s="45" t="n"/>
      <c r="R53" s="45" t="n"/>
    </row>
    <row r="54">
      <c r="B54" s="424" t="inlineStr">
        <is>
          <t>4. Cổ phiếu quỹ (*)</t>
        </is>
      </c>
      <c r="C54" s="52" t="n"/>
      <c r="D54" s="449">
        <f>'02. Nhap lieu tai chinh_RG'!D54</f>
        <v/>
      </c>
      <c r="E54" s="449">
        <f>'02. Nhap lieu tai chinh_RG'!E54</f>
        <v/>
      </c>
      <c r="F54" s="449">
        <f>'02. Nhap lieu tai chinh_RG'!F54</f>
        <v/>
      </c>
      <c r="G54" s="449">
        <f>'02. Nhap lieu tai chinh_RG'!G54</f>
        <v/>
      </c>
      <c r="H54" s="449">
        <f>'02. Nhap lieu tai chinh_RG'!H54</f>
        <v/>
      </c>
      <c r="I54" s="45" t="n"/>
      <c r="J54" s="45" t="n"/>
      <c r="K54" s="45" t="n"/>
      <c r="L54" s="45" t="n"/>
      <c r="M54" s="45" t="n"/>
      <c r="N54" s="45" t="n"/>
      <c r="O54" s="45" t="n"/>
      <c r="P54" s="45" t="n"/>
      <c r="Q54" s="45" t="n"/>
      <c r="R54" s="45" t="n"/>
    </row>
    <row r="55">
      <c r="B55" s="424" t="inlineStr">
        <is>
          <t>5. Chênh lệch tỷ giá hối đoái</t>
        </is>
      </c>
      <c r="C55" s="50" t="n"/>
      <c r="D55" s="449">
        <f>'02. Nhap lieu tai chinh_RG'!D55</f>
        <v/>
      </c>
      <c r="E55" s="449">
        <f>'02. Nhap lieu tai chinh_RG'!E55</f>
        <v/>
      </c>
      <c r="F55" s="449">
        <f>'02. Nhap lieu tai chinh_RG'!F55</f>
        <v/>
      </c>
      <c r="G55" s="449">
        <f>'02. Nhap lieu tai chinh_RG'!G55</f>
        <v/>
      </c>
      <c r="H55" s="449">
        <f>'02. Nhap lieu tai chinh_RG'!H55</f>
        <v/>
      </c>
      <c r="I55" s="51" t="n"/>
      <c r="J55" s="51" t="n"/>
      <c r="K55" s="51" t="n"/>
      <c r="L55" s="51" t="n"/>
      <c r="M55" s="51" t="n"/>
      <c r="N55" s="51" t="n"/>
      <c r="O55" s="51" t="n"/>
      <c r="P55" s="51" t="n"/>
      <c r="Q55" s="51" t="n"/>
      <c r="R55" s="51" t="n"/>
    </row>
    <row r="56">
      <c r="B56" s="424" t="inlineStr">
        <is>
          <t>6. Các quỹ thuộc vốn chủ sở hữu</t>
        </is>
      </c>
      <c r="C56" s="50" t="n"/>
      <c r="D56" s="449">
        <f>'02. Nhap lieu tai chinh_RG'!D56</f>
        <v/>
      </c>
      <c r="E56" s="449">
        <f>'02. Nhap lieu tai chinh_RG'!E56</f>
        <v/>
      </c>
      <c r="F56" s="449">
        <f>'02. Nhap lieu tai chinh_RG'!F56</f>
        <v/>
      </c>
      <c r="G56" s="449">
        <f>'02. Nhap lieu tai chinh_RG'!G56</f>
        <v/>
      </c>
      <c r="H56" s="449">
        <f>'02. Nhap lieu tai chinh_RG'!H56</f>
        <v/>
      </c>
      <c r="I56" s="51" t="n"/>
      <c r="J56" s="51" t="n"/>
      <c r="K56" s="51" t="n"/>
      <c r="L56" s="51" t="n"/>
      <c r="M56" s="51" t="n"/>
      <c r="N56" s="51" t="n"/>
      <c r="O56" s="51" t="n"/>
      <c r="P56" s="51" t="n"/>
      <c r="Q56" s="51" t="n"/>
      <c r="R56" s="51" t="n"/>
    </row>
    <row r="57">
      <c r="B57" s="424" t="inlineStr">
        <is>
          <t>7. Lợi nhuận sau thuế chưa phân phối</t>
        </is>
      </c>
      <c r="C57" s="50" t="n"/>
      <c r="D57" s="449">
        <f>'02. Nhap lieu tai chinh_RG'!D57</f>
        <v/>
      </c>
      <c r="E57" s="449">
        <f>'02. Nhap lieu tai chinh_RG'!E57</f>
        <v/>
      </c>
      <c r="F57" s="449">
        <f>'02. Nhap lieu tai chinh_RG'!F57</f>
        <v/>
      </c>
      <c r="G57" s="449">
        <f>'02. Nhap lieu tai chinh_RG'!G57</f>
        <v/>
      </c>
      <c r="H57" s="449">
        <f>'02. Nhap lieu tai chinh_RG'!H57</f>
        <v/>
      </c>
      <c r="I57" s="51" t="n"/>
      <c r="J57" s="51" t="n"/>
      <c r="K57" s="51" t="n"/>
      <c r="L57" s="51" t="n"/>
      <c r="M57" s="51" t="n"/>
      <c r="N57" s="51" t="n"/>
      <c r="O57" s="51" t="n"/>
      <c r="P57" s="51" t="n"/>
      <c r="Q57" s="51" t="n"/>
      <c r="R57" s="51" t="n"/>
    </row>
    <row r="58">
      <c r="B58" s="45" t="n"/>
      <c r="C58" s="45" t="n"/>
      <c r="D58" s="479" t="n"/>
      <c r="E58" s="451" t="n"/>
      <c r="F58" s="452" t="n"/>
      <c r="G58" s="452" t="n"/>
      <c r="H58" s="452" t="n"/>
      <c r="I58" s="45" t="n"/>
      <c r="J58" s="45" t="n"/>
      <c r="K58" s="45" t="n"/>
      <c r="L58" s="45" t="n"/>
      <c r="M58" s="45" t="n"/>
      <c r="N58" s="45" t="n"/>
      <c r="O58" s="45" t="n"/>
      <c r="P58" s="45" t="n"/>
      <c r="Q58" s="45" t="n"/>
      <c r="R58" s="45" t="n"/>
    </row>
    <row r="59">
      <c r="B59" s="54" t="inlineStr">
        <is>
          <t>II. Các chỉ tiêu ngoài bảng cân đối kế toán (nếu có)</t>
        </is>
      </c>
      <c r="C59" s="54" t="n"/>
      <c r="D59" s="480" t="n"/>
      <c r="E59" s="453" t="n"/>
      <c r="F59" s="454" t="n"/>
      <c r="G59" s="454" t="n"/>
      <c r="H59" s="454" t="n"/>
      <c r="I59" s="45" t="n"/>
      <c r="J59" s="45" t="n"/>
      <c r="K59" s="45" t="n"/>
      <c r="L59" s="45" t="n"/>
      <c r="M59" s="45" t="n"/>
      <c r="N59" s="45" t="n"/>
      <c r="O59" s="45" t="n"/>
      <c r="P59" s="45" t="n"/>
      <c r="Q59" s="45" t="n"/>
      <c r="R59" s="45" t="n"/>
    </row>
    <row r="60" ht="15.75" customHeight="1" s="782" thickBot="1">
      <c r="B60" s="43" t="n"/>
      <c r="C60" s="43" t="n"/>
      <c r="D60" s="481" t="n"/>
      <c r="E60" s="455" t="n"/>
      <c r="F60" s="456" t="n"/>
      <c r="G60" s="456" t="n"/>
      <c r="H60" s="482" t="n"/>
      <c r="I60" s="45" t="n"/>
      <c r="J60" s="45" t="n"/>
      <c r="K60" s="45" t="n"/>
      <c r="L60" s="45" t="n"/>
      <c r="M60" s="45" t="n"/>
      <c r="N60" s="45" t="n"/>
      <c r="O60" s="45" t="n"/>
      <c r="P60" s="45" t="n"/>
      <c r="Q60" s="45" t="n"/>
      <c r="R60" s="45" t="n"/>
    </row>
    <row r="61" ht="15.75" customHeight="1" s="782" thickTop="1">
      <c r="B61" s="262" t="inlineStr">
        <is>
          <t>Chỉ tiêu</t>
        </is>
      </c>
      <c r="C61" s="55" t="n"/>
      <c r="D61" s="883">
        <f>D5</f>
        <v/>
      </c>
      <c r="E61" s="883">
        <f>E5</f>
        <v/>
      </c>
      <c r="F61" s="458">
        <f>F5</f>
        <v/>
      </c>
      <c r="G61" s="483">
        <f>G5</f>
        <v/>
      </c>
      <c r="H61" s="484">
        <f>H5</f>
        <v/>
      </c>
      <c r="I61" s="45" t="n"/>
      <c r="J61" s="45" t="n"/>
      <c r="K61" s="45" t="n"/>
      <c r="L61" s="45" t="n"/>
      <c r="M61" s="45" t="n"/>
      <c r="N61" s="45" t="n"/>
      <c r="O61" s="45" t="n"/>
      <c r="P61" s="45" t="n"/>
      <c r="Q61" s="45" t="n"/>
      <c r="R61" s="45" t="n"/>
    </row>
    <row r="62">
      <c r="B62" s="263" t="inlineStr">
        <is>
          <t>Tài sản thuê ngoài</t>
        </is>
      </c>
      <c r="C62" s="49" t="n"/>
      <c r="D62" s="485" t="n"/>
      <c r="E62" s="459" t="n"/>
      <c r="F62" s="459" t="n"/>
      <c r="G62" s="459" t="n"/>
      <c r="H62" s="56" t="n"/>
      <c r="I62" s="51" t="n"/>
      <c r="J62" s="51" t="n"/>
      <c r="K62" s="51" t="n"/>
      <c r="L62" s="57" t="n"/>
      <c r="M62" s="51" t="n"/>
      <c r="N62" s="51" t="n"/>
      <c r="O62" s="51" t="n"/>
      <c r="P62" s="51" t="n"/>
      <c r="Q62" s="51" t="n"/>
      <c r="R62" s="51" t="n"/>
    </row>
    <row r="63">
      <c r="B63" s="264" t="inlineStr">
        <is>
          <t>Vật tư, hàng hóa nhận giữ hộ, nhận gia công</t>
        </is>
      </c>
      <c r="C63" s="59" t="n"/>
      <c r="D63" s="486" t="n"/>
      <c r="E63" s="460" t="n"/>
      <c r="F63" s="460" t="n"/>
      <c r="G63" s="460" t="n"/>
      <c r="H63" s="60" t="n"/>
      <c r="I63" s="45" t="n"/>
      <c r="J63" s="45" t="n"/>
      <c r="K63" s="45" t="n"/>
      <c r="L63" s="45" t="n"/>
      <c r="M63" s="45" t="n"/>
      <c r="N63" s="45" t="n"/>
      <c r="O63" s="45" t="n"/>
      <c r="P63" s="45" t="n"/>
      <c r="Q63" s="45" t="n"/>
      <c r="R63" s="45" t="n"/>
    </row>
    <row r="64">
      <c r="B64" s="264" t="inlineStr">
        <is>
          <t>Vật tư, hàng hóa nhận bán hộ, nhận ký gửi, ký cược</t>
        </is>
      </c>
      <c r="C64" s="61" t="n"/>
      <c r="D64" s="487" t="n"/>
      <c r="E64" s="461" t="n"/>
      <c r="F64" s="461" t="n"/>
      <c r="G64" s="461" t="n"/>
      <c r="H64" s="62" t="n"/>
      <c r="I64" s="51" t="n"/>
      <c r="J64" s="51" t="n"/>
      <c r="K64" s="51" t="n"/>
      <c r="L64" s="51" t="n"/>
      <c r="M64" s="51" t="n"/>
      <c r="N64" s="51" t="n"/>
      <c r="O64" s="51" t="n"/>
      <c r="P64" s="51" t="n"/>
      <c r="Q64" s="51" t="n"/>
      <c r="R64" s="51" t="n"/>
    </row>
    <row r="65">
      <c r="B65" s="264" t="inlineStr">
        <is>
          <t>Nợ khó đòi đã xử lý</t>
        </is>
      </c>
      <c r="C65" s="59" t="n"/>
      <c r="D65" s="486" t="n"/>
      <c r="E65" s="460" t="n"/>
      <c r="F65" s="460" t="n"/>
      <c r="G65" s="460" t="n"/>
      <c r="H65" s="60" t="n"/>
      <c r="I65" s="45" t="n"/>
      <c r="J65" s="45" t="n"/>
      <c r="K65" s="45" t="n"/>
      <c r="L65" s="45" t="n"/>
      <c r="M65" s="45" t="n"/>
      <c r="N65" s="45" t="n"/>
      <c r="O65" s="45" t="n"/>
      <c r="P65" s="45" t="n"/>
      <c r="Q65" s="45" t="n"/>
      <c r="R65" s="45" t="n"/>
    </row>
    <row r="66">
      <c r="B66" s="264" t="inlineStr">
        <is>
          <t>Ngoại  tệ các loại</t>
        </is>
      </c>
      <c r="C66" s="61" t="n"/>
      <c r="D66" s="487" t="n"/>
      <c r="E66" s="461" t="n"/>
      <c r="F66" s="461" t="n"/>
      <c r="G66" s="461" t="n"/>
      <c r="H66" s="62" t="n"/>
      <c r="I66" s="51" t="n"/>
      <c r="J66" s="51" t="n"/>
      <c r="K66" s="51" t="n"/>
      <c r="L66" s="51" t="n"/>
      <c r="M66" s="51" t="n"/>
      <c r="N66" s="51" t="n"/>
      <c r="O66" s="51" t="n"/>
      <c r="P66" s="51" t="n"/>
      <c r="Q66" s="51" t="n"/>
      <c r="R66" s="51" t="n"/>
    </row>
    <row r="67" ht="15.75" customHeight="1" s="782" thickBot="1">
      <c r="B67" s="265" t="inlineStr">
        <is>
          <t>Dự toán chi phí sự nghiệp dự án</t>
        </is>
      </c>
      <c r="C67" s="63" t="n"/>
      <c r="D67" s="488" t="n"/>
      <c r="E67" s="462" t="n"/>
      <c r="F67" s="462" t="n"/>
      <c r="G67" s="462" t="n"/>
      <c r="H67" s="64" t="n"/>
      <c r="I67" s="45" t="n"/>
      <c r="J67" s="45" t="n"/>
      <c r="K67" s="45" t="n"/>
      <c r="L67" s="45" t="n"/>
      <c r="M67" s="45" t="n"/>
      <c r="N67" s="45" t="n"/>
      <c r="O67" s="45" t="n"/>
      <c r="P67" s="45" t="n"/>
      <c r="Q67" s="45" t="n"/>
      <c r="R67" s="45" t="n"/>
    </row>
    <row r="68" ht="15.75" customHeight="1" s="782" thickTop="1">
      <c r="B68" s="45" t="n"/>
      <c r="C68" s="45" t="n"/>
      <c r="D68" s="479" t="n"/>
      <c r="E68" s="451" t="n"/>
      <c r="F68" s="452" t="n"/>
      <c r="G68" s="452" t="n"/>
      <c r="H68" s="452" t="n"/>
      <c r="I68" s="45" t="n"/>
      <c r="J68" s="45" t="n"/>
      <c r="K68" s="45" t="n"/>
      <c r="L68" s="45" t="n"/>
      <c r="M68" s="45" t="n"/>
      <c r="N68" s="45" t="n"/>
      <c r="O68" s="45" t="n"/>
      <c r="P68" s="45" t="n"/>
      <c r="Q68" s="45" t="n"/>
      <c r="R68" s="45" t="n"/>
    </row>
    <row r="69">
      <c r="B69" s="54" t="inlineStr">
        <is>
          <t xml:space="preserve">III. Báo cáo kết quả hoạt động SXKD </t>
        </is>
      </c>
      <c r="C69" s="54" t="n"/>
      <c r="D69" s="480" t="n"/>
      <c r="E69" s="453" t="n"/>
      <c r="F69" s="454" t="n"/>
      <c r="G69" s="454" t="n"/>
      <c r="H69" s="454" t="n"/>
      <c r="I69" s="45" t="n"/>
      <c r="J69" s="45" t="n"/>
      <c r="K69" s="45" t="n"/>
      <c r="L69" s="45" t="n"/>
      <c r="M69" s="45" t="n"/>
      <c r="N69" s="45" t="n"/>
      <c r="O69" s="45" t="n"/>
      <c r="P69" s="45" t="n"/>
      <c r="Q69" s="45" t="n"/>
      <c r="R69" s="45" t="n"/>
    </row>
    <row r="70" ht="15.75" customHeight="1" s="782" thickBot="1">
      <c r="B70" s="43" t="n"/>
      <c r="C70" s="43" t="n"/>
      <c r="D70" s="481" t="n"/>
      <c r="E70" s="455" t="n"/>
      <c r="F70" s="456" t="n"/>
      <c r="G70" s="456" t="n"/>
      <c r="H70" s="482" t="n"/>
      <c r="I70" s="45" t="n"/>
      <c r="J70" s="45" t="n"/>
      <c r="K70" s="45" t="n"/>
      <c r="L70" s="45" t="n"/>
      <c r="M70" s="45" t="n"/>
      <c r="N70" s="45" t="n"/>
      <c r="O70" s="45" t="n"/>
      <c r="P70" s="45" t="n"/>
      <c r="Q70" s="45" t="n"/>
      <c r="R70" s="45" t="n"/>
    </row>
    <row r="71" ht="15.75" customHeight="1" s="782" thickTop="1">
      <c r="B71" s="262" t="inlineStr">
        <is>
          <t>Chỉ tiêu</t>
        </is>
      </c>
      <c r="C71" s="55" t="n"/>
      <c r="D71" s="883">
        <f>D5</f>
        <v/>
      </c>
      <c r="E71" s="883">
        <f>E5</f>
        <v/>
      </c>
      <c r="F71" s="458">
        <f>F5</f>
        <v/>
      </c>
      <c r="G71" s="474">
        <f>+G5</f>
        <v/>
      </c>
      <c r="H71" s="484">
        <f>+H5</f>
        <v/>
      </c>
      <c r="I71" s="45" t="n"/>
      <c r="J71" s="45" t="n"/>
      <c r="K71" s="45" t="n"/>
      <c r="L71" s="45" t="n"/>
      <c r="M71" s="45" t="n"/>
      <c r="N71" s="45" t="n"/>
      <c r="O71" s="45" t="n"/>
      <c r="P71" s="45" t="n"/>
      <c r="Q71" s="45" t="n"/>
      <c r="R71" s="45" t="n"/>
    </row>
    <row r="72">
      <c r="B72" s="259" t="inlineStr">
        <is>
          <t>Doanh thu bán hàng và cung cấp dịch vụ</t>
        </is>
      </c>
      <c r="C72" s="49" t="n"/>
      <c r="D72" s="884">
        <f>'02. Nhap lieu tai chinh_RG'!D59</f>
        <v/>
      </c>
      <c r="E72" s="884">
        <f>'02. Nhap lieu tai chinh_RG'!E59</f>
        <v/>
      </c>
      <c r="F72" s="884">
        <f>'02. Nhap lieu tai chinh_RG'!F59</f>
        <v/>
      </c>
      <c r="G72" s="884">
        <f>'02. Nhap lieu tai chinh_RG'!G59</f>
        <v/>
      </c>
      <c r="H72" s="884">
        <f>'02. Nhap lieu tai chinh_RG'!H59</f>
        <v/>
      </c>
      <c r="I72" s="51" t="n"/>
      <c r="J72" s="51" t="n"/>
      <c r="K72" s="51" t="n"/>
      <c r="L72" s="57" t="n"/>
      <c r="M72" s="51" t="n"/>
      <c r="N72" s="51" t="n"/>
      <c r="O72" s="51" t="n"/>
      <c r="P72" s="51" t="n"/>
      <c r="Q72" s="51" t="n"/>
      <c r="R72" s="51" t="n"/>
    </row>
    <row r="73">
      <c r="B73" s="264" t="inlineStr">
        <is>
          <t>Các khoản giảm trừ doanh thu</t>
        </is>
      </c>
      <c r="C73" s="59" t="n"/>
      <c r="D73" s="463">
        <f>'02. Nhap lieu tai chinh_RG'!D60</f>
        <v/>
      </c>
      <c r="E73" s="463">
        <f>'02. Nhap lieu tai chinh_RG'!E60</f>
        <v/>
      </c>
      <c r="F73" s="463">
        <f>'02. Nhap lieu tai chinh_RG'!F60</f>
        <v/>
      </c>
      <c r="G73" s="463">
        <f>'02. Nhap lieu tai chinh_RG'!G60</f>
        <v/>
      </c>
      <c r="H73" s="463">
        <f>'02. Nhap lieu tai chinh_RG'!H60</f>
        <v/>
      </c>
      <c r="I73" s="45" t="n"/>
      <c r="J73" s="45" t="n"/>
      <c r="K73" s="45" t="n"/>
      <c r="L73" s="45" t="n"/>
      <c r="M73" s="45" t="n"/>
      <c r="N73" s="45" t="n"/>
      <c r="O73" s="45" t="n"/>
      <c r="P73" s="45" t="n"/>
      <c r="Q73" s="45" t="n"/>
      <c r="R73" s="45" t="n"/>
    </row>
    <row r="74">
      <c r="B74" s="260" t="inlineStr">
        <is>
          <t xml:space="preserve">      - Chiết khấu</t>
        </is>
      </c>
      <c r="C74" s="59" t="n"/>
      <c r="D74" s="464">
        <f>'02. Nhap lieu tai chinh_RG'!D61</f>
        <v/>
      </c>
      <c r="E74" s="464">
        <f>'02. Nhap lieu tai chinh_RG'!E61</f>
        <v/>
      </c>
      <c r="F74" s="464">
        <f>'02. Nhap lieu tai chinh_RG'!F61</f>
        <v/>
      </c>
      <c r="G74" s="464">
        <f>'02. Nhap lieu tai chinh_RG'!G61</f>
        <v/>
      </c>
      <c r="H74" s="464">
        <f>'02. Nhap lieu tai chinh_RG'!H61</f>
        <v/>
      </c>
      <c r="I74" s="45" t="n"/>
      <c r="J74" s="45" t="n"/>
      <c r="K74" s="45" t="n"/>
      <c r="L74" s="45" t="n"/>
      <c r="M74" s="45" t="n"/>
      <c r="N74" s="45" t="n"/>
      <c r="O74" s="45" t="n"/>
      <c r="P74" s="45" t="n"/>
      <c r="Q74" s="45" t="n"/>
      <c r="R74" s="45" t="n"/>
    </row>
    <row r="75">
      <c r="B75" s="260" t="inlineStr">
        <is>
          <t xml:space="preserve">      - Giảm giá</t>
        </is>
      </c>
      <c r="C75" s="59" t="n"/>
      <c r="D75" s="464">
        <f>'02. Nhap lieu tai chinh_RG'!D62</f>
        <v/>
      </c>
      <c r="E75" s="464">
        <f>'02. Nhap lieu tai chinh_RG'!E62</f>
        <v/>
      </c>
      <c r="F75" s="464">
        <f>'02. Nhap lieu tai chinh_RG'!F62</f>
        <v/>
      </c>
      <c r="G75" s="464">
        <f>'02. Nhap lieu tai chinh_RG'!G62</f>
        <v/>
      </c>
      <c r="H75" s="464">
        <f>'02. Nhap lieu tai chinh_RG'!H62</f>
        <v/>
      </c>
      <c r="I75" s="45" t="n"/>
      <c r="J75" s="45" t="n"/>
      <c r="K75" s="45" t="n"/>
      <c r="L75" s="45" t="n"/>
      <c r="M75" s="45" t="n"/>
      <c r="N75" s="45" t="n"/>
      <c r="O75" s="45" t="n"/>
      <c r="P75" s="45" t="n"/>
      <c r="Q75" s="45" t="n"/>
      <c r="R75" s="45" t="n"/>
    </row>
    <row r="76">
      <c r="B76" s="260" t="inlineStr">
        <is>
          <t xml:space="preserve">      - Hàng bán bị trả lại</t>
        </is>
      </c>
      <c r="C76" s="59" t="n"/>
      <c r="D76" s="464">
        <f>'02. Nhap lieu tai chinh_RG'!D63</f>
        <v/>
      </c>
      <c r="E76" s="464">
        <f>'02. Nhap lieu tai chinh_RG'!E63</f>
        <v/>
      </c>
      <c r="F76" s="464">
        <f>'02. Nhap lieu tai chinh_RG'!F63</f>
        <v/>
      </c>
      <c r="G76" s="464">
        <f>'02. Nhap lieu tai chinh_RG'!G63</f>
        <v/>
      </c>
      <c r="H76" s="464">
        <f>'02. Nhap lieu tai chinh_RG'!H63</f>
        <v/>
      </c>
      <c r="I76" s="45" t="n"/>
      <c r="J76" s="45" t="n"/>
      <c r="K76" s="45" t="n"/>
      <c r="L76" s="45" t="n"/>
      <c r="M76" s="45" t="n"/>
      <c r="N76" s="45" t="n"/>
      <c r="O76" s="45" t="n"/>
      <c r="P76" s="45" t="n"/>
      <c r="Q76" s="45" t="n"/>
      <c r="R76" s="45" t="n"/>
    </row>
    <row r="77">
      <c r="B77" s="260" t="inlineStr">
        <is>
          <t xml:space="preserve">      - Thuế VAT, thuế xuất khẩu</t>
        </is>
      </c>
      <c r="C77" s="59" t="n"/>
      <c r="D77" s="464">
        <f>'02. Nhap lieu tai chinh_RG'!D64</f>
        <v/>
      </c>
      <c r="E77" s="464">
        <f>'02. Nhap lieu tai chinh_RG'!E64</f>
        <v/>
      </c>
      <c r="F77" s="464">
        <f>'02. Nhap lieu tai chinh_RG'!F64</f>
        <v/>
      </c>
      <c r="G77" s="464">
        <f>'02. Nhap lieu tai chinh_RG'!G64</f>
        <v/>
      </c>
      <c r="H77" s="464">
        <f>'02. Nhap lieu tai chinh_RG'!H64</f>
        <v/>
      </c>
      <c r="I77" s="45" t="n"/>
      <c r="J77" s="45" t="n"/>
      <c r="K77" s="45" t="n"/>
      <c r="L77" s="45" t="n"/>
      <c r="M77" s="45" t="n"/>
      <c r="N77" s="45" t="n"/>
      <c r="O77" s="45" t="n"/>
      <c r="P77" s="45" t="n"/>
      <c r="Q77" s="45" t="n"/>
      <c r="R77" s="45" t="n"/>
    </row>
    <row r="78">
      <c r="B78" s="431" t="inlineStr">
        <is>
          <t>Doanh thu thuần về bán hàng và cung cấp dịch vụ</t>
        </is>
      </c>
      <c r="C78" s="61" t="n"/>
      <c r="D78" s="495">
        <f>D72-D73</f>
        <v/>
      </c>
      <c r="E78" s="495">
        <f>E72-E73</f>
        <v/>
      </c>
      <c r="F78" s="495">
        <f>F72-F73</f>
        <v/>
      </c>
      <c r="G78" s="495">
        <f>G72-G73</f>
        <v/>
      </c>
      <c r="H78" s="495">
        <f>H72-H73</f>
        <v/>
      </c>
      <c r="I78" s="51" t="n"/>
      <c r="J78" s="51" t="n"/>
      <c r="K78" s="51" t="n"/>
      <c r="L78" s="51" t="n"/>
      <c r="M78" s="51" t="n"/>
      <c r="N78" s="51" t="n"/>
      <c r="O78" s="51" t="n"/>
      <c r="P78" s="51" t="n"/>
      <c r="Q78" s="51" t="n"/>
      <c r="R78" s="51" t="n"/>
    </row>
    <row r="79">
      <c r="B79" s="264" t="inlineStr">
        <is>
          <t>Giá vốn hàng bán</t>
        </is>
      </c>
      <c r="C79" s="59" t="n"/>
      <c r="D79" s="464">
        <f>'02. Nhap lieu tai chinh_RG'!D66</f>
        <v/>
      </c>
      <c r="E79" s="464">
        <f>'02. Nhap lieu tai chinh_RG'!E66</f>
        <v/>
      </c>
      <c r="F79" s="464">
        <f>'02. Nhap lieu tai chinh_RG'!F66</f>
        <v/>
      </c>
      <c r="G79" s="464">
        <f>'02. Nhap lieu tai chinh_RG'!G66</f>
        <v/>
      </c>
      <c r="H79" s="464">
        <f>'02. Nhap lieu tai chinh_RG'!H66</f>
        <v/>
      </c>
      <c r="I79" s="45" t="n"/>
      <c r="J79" s="45" t="n"/>
      <c r="K79" s="45" t="n"/>
      <c r="L79" s="45" t="n"/>
      <c r="M79" s="45" t="n"/>
      <c r="N79" s="45" t="n"/>
      <c r="O79" s="45" t="n"/>
      <c r="P79" s="45" t="n"/>
      <c r="Q79" s="45" t="n"/>
      <c r="R79" s="45" t="n"/>
    </row>
    <row r="80">
      <c r="B80" s="266" t="inlineStr">
        <is>
          <t xml:space="preserve">     - Tr/đó: Khấu hao trong giá vốn hàng bán</t>
        </is>
      </c>
      <c r="C80" s="59" t="n"/>
      <c r="D80" s="464">
        <f>'02. Nhap lieu tai chinh_RG'!D67</f>
        <v/>
      </c>
      <c r="E80" s="464">
        <f>'02. Nhap lieu tai chinh_RG'!E67</f>
        <v/>
      </c>
      <c r="F80" s="464">
        <f>'02. Nhap lieu tai chinh_RG'!F67</f>
        <v/>
      </c>
      <c r="G80" s="464">
        <f>'02. Nhap lieu tai chinh_RG'!G67</f>
        <v/>
      </c>
      <c r="H80" s="464">
        <f>'02. Nhap lieu tai chinh_RG'!H67</f>
        <v/>
      </c>
      <c r="I80" s="45" t="n"/>
      <c r="J80" s="45" t="n"/>
      <c r="K80" s="45" t="n"/>
      <c r="L80" s="45" t="n"/>
      <c r="M80" s="45" t="n"/>
      <c r="N80" s="45" t="n"/>
      <c r="O80" s="45" t="n"/>
      <c r="P80" s="45" t="n"/>
      <c r="Q80" s="45" t="n"/>
      <c r="R80" s="45" t="n"/>
    </row>
    <row r="81">
      <c r="B81" s="431" t="inlineStr">
        <is>
          <t>Lợi nhuận gộp về bán hàng và cung cấp dịch vụ</t>
        </is>
      </c>
      <c r="C81" s="61" t="n"/>
      <c r="D81" s="495">
        <f>D78-D79</f>
        <v/>
      </c>
      <c r="E81" s="495">
        <f>E78-E79</f>
        <v/>
      </c>
      <c r="F81" s="495">
        <f>F78-F79</f>
        <v/>
      </c>
      <c r="G81" s="495">
        <f>G78-G79</f>
        <v/>
      </c>
      <c r="H81" s="495">
        <f>H78-H79</f>
        <v/>
      </c>
      <c r="I81" s="51" t="n"/>
      <c r="J81" s="51" t="n"/>
      <c r="K81" s="51" t="n"/>
      <c r="L81" s="51" t="n"/>
      <c r="M81" s="51" t="n"/>
      <c r="N81" s="51" t="n"/>
      <c r="O81" s="51" t="n"/>
      <c r="P81" s="51" t="n"/>
      <c r="Q81" s="51" t="n"/>
      <c r="R81" s="51" t="n"/>
    </row>
    <row r="82">
      <c r="B82" s="431" t="inlineStr">
        <is>
          <t>Doanh thu hoạt động tài chính</t>
        </is>
      </c>
      <c r="C82" s="61" t="n"/>
      <c r="D82" s="464">
        <f>'02. Nhap lieu tai chinh_RG'!D69</f>
        <v/>
      </c>
      <c r="E82" s="464">
        <f>'02. Nhap lieu tai chinh_RG'!E69</f>
        <v/>
      </c>
      <c r="F82" s="464">
        <f>'02. Nhap lieu tai chinh_RG'!F69</f>
        <v/>
      </c>
      <c r="G82" s="464">
        <f>'02. Nhap lieu tai chinh_RG'!G69</f>
        <v/>
      </c>
      <c r="H82" s="464">
        <f>'02. Nhap lieu tai chinh_RG'!H69</f>
        <v/>
      </c>
      <c r="I82" s="51" t="n"/>
      <c r="J82" s="51" t="n"/>
      <c r="K82" s="51" t="n"/>
      <c r="L82" s="51" t="n"/>
      <c r="M82" s="51" t="n"/>
      <c r="N82" s="51" t="n"/>
      <c r="O82" s="51" t="n"/>
      <c r="P82" s="51" t="n"/>
      <c r="Q82" s="51" t="n"/>
      <c r="R82" s="51" t="n"/>
    </row>
    <row r="83">
      <c r="B83" s="264" t="inlineStr">
        <is>
          <t>Chi phí tài chính</t>
        </is>
      </c>
      <c r="C83" s="61" t="n"/>
      <c r="D83" s="464">
        <f>'02. Nhap lieu tai chinh_RG'!D70</f>
        <v/>
      </c>
      <c r="E83" s="464">
        <f>'02. Nhap lieu tai chinh_RG'!E70</f>
        <v/>
      </c>
      <c r="F83" s="464">
        <f>'02. Nhap lieu tai chinh_RG'!F70</f>
        <v/>
      </c>
      <c r="G83" s="464">
        <f>'02. Nhap lieu tai chinh_RG'!G70</f>
        <v/>
      </c>
      <c r="H83" s="464">
        <f>'02. Nhap lieu tai chinh_RG'!H70</f>
        <v/>
      </c>
      <c r="I83" s="51" t="n"/>
      <c r="J83" s="51" t="n"/>
      <c r="K83" s="51" t="n"/>
      <c r="L83" s="51" t="n"/>
      <c r="M83" s="51" t="n"/>
      <c r="N83" s="51" t="n"/>
      <c r="O83" s="51" t="n"/>
      <c r="P83" s="51" t="n"/>
      <c r="Q83" s="51" t="n"/>
      <c r="R83" s="51" t="n"/>
    </row>
    <row r="84">
      <c r="B84" s="266" t="inlineStr">
        <is>
          <t xml:space="preserve">     - Tr/đó: Chi phí lãi vay</t>
        </is>
      </c>
      <c r="C84" s="61" t="n"/>
      <c r="D84" s="464">
        <f>'02. Nhap lieu tai chinh_RG'!D71</f>
        <v/>
      </c>
      <c r="E84" s="464">
        <f>'02. Nhap lieu tai chinh_RG'!E71</f>
        <v/>
      </c>
      <c r="F84" s="464">
        <f>'02. Nhap lieu tai chinh_RG'!F71</f>
        <v/>
      </c>
      <c r="G84" s="464">
        <f>'02. Nhap lieu tai chinh_RG'!G71</f>
        <v/>
      </c>
      <c r="H84" s="464">
        <f>'02. Nhap lieu tai chinh_RG'!H71</f>
        <v/>
      </c>
      <c r="I84" s="51" t="n"/>
      <c r="J84" s="51" t="n"/>
      <c r="K84" s="51" t="n"/>
      <c r="L84" s="51" t="n"/>
      <c r="M84" s="51" t="n"/>
      <c r="N84" s="51" t="n"/>
      <c r="O84" s="51" t="n"/>
      <c r="P84" s="51" t="n"/>
      <c r="Q84" s="51" t="n"/>
      <c r="R84" s="51" t="n"/>
    </row>
    <row r="85">
      <c r="B85" s="264" t="inlineStr">
        <is>
          <t>Chi phí quản lý kinh doanh</t>
        </is>
      </c>
      <c r="C85" s="61" t="n"/>
      <c r="D85" s="464">
        <f>'02. Nhap lieu tai chinh_RG'!D72</f>
        <v/>
      </c>
      <c r="E85" s="464">
        <f>'02. Nhap lieu tai chinh_RG'!E72</f>
        <v/>
      </c>
      <c r="F85" s="464">
        <f>'02. Nhap lieu tai chinh_RG'!F72</f>
        <v/>
      </c>
      <c r="G85" s="464">
        <f>'02. Nhap lieu tai chinh_RG'!G72</f>
        <v/>
      </c>
      <c r="H85" s="464">
        <f>'02. Nhap lieu tai chinh_RG'!H72</f>
        <v/>
      </c>
      <c r="I85" s="51" t="n"/>
      <c r="J85" s="51" t="n"/>
      <c r="K85" s="51" t="n"/>
      <c r="L85" s="51" t="n"/>
      <c r="M85" s="51" t="n"/>
      <c r="N85" s="51" t="n"/>
      <c r="O85" s="51" t="n"/>
      <c r="P85" s="51" t="n"/>
      <c r="Q85" s="51" t="n"/>
      <c r="R85" s="51" t="n"/>
    </row>
    <row r="86">
      <c r="B86" s="431" t="inlineStr">
        <is>
          <t>Lợi nhuận thuần từ HĐKD</t>
        </is>
      </c>
      <c r="C86" s="61" t="n"/>
      <c r="D86" s="495">
        <f>D81+D82-D83-D85</f>
        <v/>
      </c>
      <c r="E86" s="495">
        <f>E81+E82-E83-E85</f>
        <v/>
      </c>
      <c r="F86" s="495">
        <f>F81+F82-F83-F85</f>
        <v/>
      </c>
      <c r="G86" s="495">
        <f>G81+G82-G83-G85</f>
        <v/>
      </c>
      <c r="H86" s="495">
        <f>H81+H82-H83-H85</f>
        <v/>
      </c>
      <c r="I86" s="51" t="n"/>
      <c r="J86" s="51" t="n"/>
      <c r="K86" s="51" t="n"/>
      <c r="L86" s="51" t="n"/>
      <c r="M86" s="51" t="n"/>
      <c r="N86" s="51" t="n"/>
      <c r="O86" s="51" t="n"/>
      <c r="P86" s="51" t="n"/>
      <c r="Q86" s="51" t="n"/>
      <c r="R86" s="51" t="n"/>
    </row>
    <row r="87">
      <c r="B87" s="264" t="inlineStr">
        <is>
          <t>Thu nhập khác</t>
        </is>
      </c>
      <c r="C87" s="59" t="n"/>
      <c r="D87" s="464">
        <f>'02. Nhap lieu tai chinh_RG'!D74</f>
        <v/>
      </c>
      <c r="E87" s="464">
        <f>'02. Nhap lieu tai chinh_RG'!E74</f>
        <v/>
      </c>
      <c r="F87" s="464">
        <f>'02. Nhap lieu tai chinh_RG'!F74</f>
        <v/>
      </c>
      <c r="G87" s="464">
        <f>'02. Nhap lieu tai chinh_RG'!G74</f>
        <v/>
      </c>
      <c r="H87" s="464">
        <f>'02. Nhap lieu tai chinh_RG'!H74</f>
        <v/>
      </c>
      <c r="I87" s="45" t="n"/>
      <c r="J87" s="45" t="n"/>
      <c r="K87" s="45" t="n"/>
      <c r="L87" s="45" t="n"/>
      <c r="M87" s="45" t="n"/>
      <c r="N87" s="45" t="n"/>
      <c r="O87" s="45" t="n"/>
      <c r="P87" s="45" t="n"/>
      <c r="Q87" s="45" t="n"/>
      <c r="R87" s="45" t="n"/>
    </row>
    <row r="88">
      <c r="B88" s="264" t="inlineStr">
        <is>
          <t>Chi phí khác</t>
        </is>
      </c>
      <c r="C88" s="59" t="n"/>
      <c r="D88" s="464">
        <f>'02. Nhap lieu tai chinh_RG'!D75</f>
        <v/>
      </c>
      <c r="E88" s="464">
        <f>'02. Nhap lieu tai chinh_RG'!E75</f>
        <v/>
      </c>
      <c r="F88" s="464">
        <f>'02. Nhap lieu tai chinh_RG'!F75</f>
        <v/>
      </c>
      <c r="G88" s="464">
        <f>'02. Nhap lieu tai chinh_RG'!G75</f>
        <v/>
      </c>
      <c r="H88" s="464">
        <f>'02. Nhap lieu tai chinh_RG'!H75</f>
        <v/>
      </c>
      <c r="I88" s="45" t="n"/>
      <c r="J88" s="45" t="n"/>
      <c r="K88" s="45" t="n"/>
      <c r="L88" s="45" t="n"/>
      <c r="M88" s="45" t="n"/>
      <c r="N88" s="45" t="n"/>
      <c r="O88" s="45" t="n"/>
      <c r="P88" s="45" t="n"/>
      <c r="Q88" s="45" t="n"/>
      <c r="R88" s="45" t="n"/>
    </row>
    <row r="89">
      <c r="B89" s="431" t="inlineStr">
        <is>
          <t>Lợi nhuận khác</t>
        </is>
      </c>
      <c r="C89" s="61" t="n"/>
      <c r="D89" s="495">
        <f>D87-D88</f>
        <v/>
      </c>
      <c r="E89" s="504">
        <f>E87-E88</f>
        <v/>
      </c>
      <c r="F89" s="504">
        <f>F87-F88</f>
        <v/>
      </c>
      <c r="G89" s="495">
        <f>G87-G88</f>
        <v/>
      </c>
      <c r="H89" s="495">
        <f>H87-H88</f>
        <v/>
      </c>
      <c r="I89" s="51" t="n"/>
      <c r="J89" s="51" t="n"/>
      <c r="K89" s="51" t="n"/>
      <c r="L89" s="51" t="n"/>
      <c r="M89" s="51" t="n"/>
      <c r="N89" s="51" t="n"/>
      <c r="O89" s="51" t="n"/>
      <c r="P89" s="51" t="n"/>
      <c r="Q89" s="51" t="n"/>
      <c r="R89" s="51" t="n"/>
    </row>
    <row r="90">
      <c r="B90" s="431" t="inlineStr">
        <is>
          <t>Tổng lợi nhuận kế toán trước thuế</t>
        </is>
      </c>
      <c r="C90" s="59" t="n"/>
      <c r="D90" s="495">
        <f>D86+D89</f>
        <v/>
      </c>
      <c r="E90" s="495">
        <f>E86+E89</f>
        <v/>
      </c>
      <c r="F90" s="495">
        <f>F86+F89</f>
        <v/>
      </c>
      <c r="G90" s="495">
        <f>G86+G89</f>
        <v/>
      </c>
      <c r="H90" s="495">
        <f>H86+H89</f>
        <v/>
      </c>
      <c r="I90" s="45" t="n"/>
      <c r="J90" s="45" t="n"/>
      <c r="K90" s="45" t="n"/>
      <c r="L90" s="45" t="n"/>
      <c r="M90" s="45" t="n"/>
      <c r="N90" s="45" t="n"/>
      <c r="O90" s="45" t="n"/>
      <c r="P90" s="45" t="n"/>
      <c r="Q90" s="45" t="n"/>
      <c r="R90" s="45" t="n"/>
    </row>
    <row r="91">
      <c r="B91" s="264" t="inlineStr">
        <is>
          <t>Chi phí thuế TNDN</t>
        </is>
      </c>
      <c r="C91" s="59" t="n"/>
      <c r="D91" s="464">
        <f>'02. Nhap lieu tai chinh_RG'!D78</f>
        <v/>
      </c>
      <c r="E91" s="464">
        <f>'02. Nhap lieu tai chinh_RG'!E78</f>
        <v/>
      </c>
      <c r="F91" s="464">
        <f>'02. Nhap lieu tai chinh_RG'!F78</f>
        <v/>
      </c>
      <c r="G91" s="464">
        <f>'02. Nhap lieu tai chinh_RG'!G78</f>
        <v/>
      </c>
      <c r="H91" s="464">
        <f>'02. Nhap lieu tai chinh_RG'!H78</f>
        <v/>
      </c>
      <c r="I91" s="45" t="n"/>
      <c r="J91" s="45" t="n"/>
      <c r="K91" s="45" t="n"/>
      <c r="L91" s="45" t="n"/>
      <c r="M91" s="45" t="n"/>
      <c r="N91" s="45" t="n"/>
      <c r="O91" s="45" t="n"/>
      <c r="P91" s="45" t="n"/>
      <c r="Q91" s="45" t="n"/>
      <c r="R91" s="45" t="n"/>
    </row>
    <row r="92">
      <c r="B92" s="431" t="inlineStr">
        <is>
          <t>Lợi nhuận sau thuế TNDN</t>
        </is>
      </c>
      <c r="C92" s="58" t="n"/>
      <c r="D92" s="495">
        <f>D90-D91</f>
        <v/>
      </c>
      <c r="E92" s="495">
        <f>E90-E91</f>
        <v/>
      </c>
      <c r="F92" s="495">
        <f>F90-F91</f>
        <v/>
      </c>
      <c r="G92" s="495">
        <f>G90-G91</f>
        <v/>
      </c>
      <c r="H92" s="495">
        <f>H90-H91</f>
        <v/>
      </c>
      <c r="I92" s="45" t="n"/>
      <c r="J92" s="45" t="n"/>
      <c r="K92" s="45" t="n"/>
      <c r="L92" s="45" t="n"/>
      <c r="M92" s="45" t="n"/>
      <c r="N92" s="45" t="n"/>
      <c r="O92" s="45" t="n"/>
      <c r="P92" s="45" t="n"/>
      <c r="Q92" s="45" t="n"/>
      <c r="R92" s="45" t="n"/>
    </row>
    <row r="93" ht="15.75" customHeight="1" s="782" thickBot="1">
      <c r="B93" s="267" t="inlineStr">
        <is>
          <t>Lãi cơ bản trên cổ phiếu</t>
        </is>
      </c>
      <c r="C93" s="65" t="n"/>
      <c r="D93" s="464">
        <f>'02. Nhap lieu tai chinh_RG'!D80</f>
        <v/>
      </c>
      <c r="E93" s="464">
        <f>'02. Nhap lieu tai chinh_RG'!E80</f>
        <v/>
      </c>
      <c r="F93" s="464">
        <f>'02. Nhap lieu tai chinh_RG'!F80</f>
        <v/>
      </c>
      <c r="G93" s="464">
        <f>'02. Nhap lieu tai chinh_RG'!G80</f>
        <v/>
      </c>
      <c r="H93" s="66" t="n"/>
      <c r="I93" s="51" t="n"/>
      <c r="J93" s="51" t="n"/>
      <c r="K93" s="51" t="n"/>
      <c r="L93" s="51" t="n"/>
      <c r="M93" s="51" t="n"/>
      <c r="N93" s="51" t="n"/>
      <c r="O93" s="51" t="n"/>
      <c r="P93" s="51" t="n"/>
      <c r="Q93" s="51" t="n"/>
      <c r="R93" s="51" t="n"/>
    </row>
    <row r="94" ht="15.75" customHeight="1" s="782" thickTop="1">
      <c r="B94" s="67" t="n"/>
      <c r="C94" s="67" t="n"/>
      <c r="D94" s="489" t="n"/>
      <c r="E94" s="885" t="n"/>
      <c r="F94" s="885" t="n"/>
      <c r="G94" s="885" t="n"/>
      <c r="H94" s="886" t="n"/>
      <c r="I94" s="51" t="n"/>
      <c r="J94" s="51" t="n"/>
      <c r="K94" s="51" t="n"/>
      <c r="L94" s="51" t="n"/>
      <c r="M94" s="51" t="n"/>
      <c r="N94" s="51" t="n"/>
      <c r="O94" s="51" t="n"/>
      <c r="P94" s="51" t="n"/>
      <c r="Q94" s="51" t="n"/>
      <c r="R94" s="51" t="n"/>
    </row>
    <row r="95">
      <c r="B95" s="69" t="inlineStr">
        <is>
          <t>IV. Kết quả tính các chỉ số phân tích</t>
        </is>
      </c>
      <c r="C95" s="69" t="n"/>
      <c r="D95" s="490" t="n"/>
      <c r="E95" s="887" t="n"/>
      <c r="F95" s="826" t="n"/>
      <c r="G95" s="826" t="n"/>
      <c r="I95" s="73" t="n"/>
      <c r="J95" s="73" t="n"/>
      <c r="K95" s="73" t="n"/>
      <c r="L95" s="73" t="n"/>
      <c r="M95" s="73" t="n"/>
      <c r="N95" s="73" t="n"/>
      <c r="O95" s="73" t="n"/>
      <c r="P95" s="73" t="n"/>
      <c r="Q95" s="73" t="n"/>
      <c r="R95" s="73" t="n"/>
    </row>
    <row r="96" ht="15.75" customHeight="1" s="782" thickBot="1">
      <c r="B96" s="74" t="n"/>
      <c r="C96" s="74" t="n"/>
      <c r="D96" s="491" t="n"/>
      <c r="E96" s="827" t="n"/>
      <c r="F96" s="827" t="n"/>
      <c r="G96" s="827" t="n"/>
      <c r="I96" s="45" t="n"/>
      <c r="J96" s="45" t="n"/>
      <c r="K96" s="45" t="n"/>
      <c r="L96" s="45" t="n"/>
      <c r="M96" s="45" t="n"/>
      <c r="N96" s="45" t="n"/>
      <c r="O96" s="45" t="n"/>
      <c r="P96" s="45" t="n"/>
      <c r="Q96" s="45" t="n"/>
      <c r="R96" s="45" t="n"/>
    </row>
    <row r="97" ht="15" customHeight="1" s="782" thickTop="1">
      <c r="B97" s="75" t="inlineStr">
        <is>
          <t>Chỉ tiêu</t>
        </is>
      </c>
      <c r="C97" s="76" t="n"/>
      <c r="D97" s="467">
        <f>D71</f>
        <v/>
      </c>
      <c r="E97" s="467">
        <f>E71</f>
        <v/>
      </c>
      <c r="F97" s="467">
        <f>F5</f>
        <v/>
      </c>
      <c r="G97" s="492">
        <f>G5</f>
        <v/>
      </c>
      <c r="H97" s="493">
        <f>H5</f>
        <v/>
      </c>
      <c r="I97" s="45" t="n"/>
      <c r="J97" s="828" t="inlineStr">
        <is>
          <t>Trong trường hợp các chỉ giá trị ở mẫu số bằng 0, chương trình tự động cộng thêm 1 vào mẫu số</t>
        </is>
      </c>
      <c r="M97" s="45" t="n"/>
      <c r="N97" s="45" t="inlineStr">
        <is>
          <t>Năm N-2 so với TB ngành</t>
        </is>
      </c>
      <c r="O97" s="45" t="inlineStr">
        <is>
          <t>Năm N-1 so với TB ngành</t>
        </is>
      </c>
      <c r="P97" s="45" t="inlineStr">
        <is>
          <t>Năm N so với TB ngành</t>
        </is>
      </c>
      <c r="Q97" s="45" t="n"/>
      <c r="R97" s="45" t="inlineStr">
        <is>
          <t>Năm N+1 so với TB ngành</t>
        </is>
      </c>
    </row>
    <row r="98">
      <c r="B98" s="77" t="inlineStr">
        <is>
          <t>Chỉ tiêu thanh khoản</t>
        </is>
      </c>
      <c r="C98" s="78" t="n"/>
      <c r="D98" s="511" t="n"/>
      <c r="E98" s="888" t="n"/>
      <c r="F98" s="889" t="n"/>
      <c r="G98" s="889" t="n"/>
      <c r="H98" s="890" t="n"/>
      <c r="I98" s="45" t="n"/>
      <c r="M98" s="45" t="n"/>
      <c r="N98" s="45" t="n"/>
      <c r="O98" s="45" t="n"/>
      <c r="P98" s="45" t="n"/>
      <c r="Q98" s="45" t="n"/>
      <c r="R98" s="45" t="n"/>
    </row>
    <row r="99">
      <c r="B99" s="400" t="inlineStr">
        <is>
          <t>1.Khả năng thanh toán hiện hành (lần)</t>
        </is>
      </c>
      <c r="C99" s="304" t="inlineStr">
        <is>
          <t>Ko áp dụng</t>
        </is>
      </c>
      <c r="D99" s="506" t="n"/>
      <c r="E99" s="506" t="n"/>
      <c r="F99" s="506" t="n"/>
      <c r="G99" s="506" t="n"/>
      <c r="H99" s="506" t="n"/>
      <c r="I99" s="81" t="n"/>
      <c r="M99" s="81" t="n"/>
      <c r="N99" s="45">
        <f>IF(D99&gt;$G$220,"&gt;",IF(D99=$G$220,"=","&lt;"))</f>
        <v/>
      </c>
      <c r="O99" s="45">
        <f>IF(E99&gt;G145,"&gt;",IF(E99=G145,"=","&lt;"))</f>
        <v/>
      </c>
      <c r="P99" s="45">
        <f>IF(F99&gt;G145,"&gt;",IF(F99=G145,"=","&lt;"))</f>
        <v/>
      </c>
      <c r="Q99" s="45">
        <f>IF(G99&gt;$G$220,"&gt;",IF(G99=$G$220,"=","&lt;"))</f>
        <v/>
      </c>
      <c r="R99" s="45">
        <f>IF(H99&gt;G145,"&gt;",IF(H99=G145,"=","&lt;"))</f>
        <v/>
      </c>
    </row>
    <row r="100">
      <c r="B100" s="400" t="inlineStr">
        <is>
          <t>2. Khả năng thanh toán nhanh (lần)</t>
        </is>
      </c>
      <c r="C100" s="304" t="inlineStr">
        <is>
          <t>Ko áp dụng</t>
        </is>
      </c>
      <c r="D100" s="506" t="n"/>
      <c r="E100" s="506" t="n"/>
      <c r="F100" s="506" t="n"/>
      <c r="G100" s="506" t="n"/>
      <c r="H100" s="506" t="n"/>
      <c r="I100" s="81" t="n"/>
      <c r="J100" s="81" t="n"/>
      <c r="K100" s="81" t="n"/>
      <c r="L100" s="81" t="n"/>
      <c r="M100" s="81" t="n"/>
      <c r="N100" s="45">
        <f>IF(D100&gt;$G$220,"&gt;",IF(D100=$G$220,"=","&lt;"))</f>
        <v/>
      </c>
      <c r="O100" s="45">
        <f>IF(E100&gt;G146,"&gt;",IF(E100=G146,"=","&lt;"))</f>
        <v/>
      </c>
      <c r="P100" s="45">
        <f>IF(F100&gt;G146,"&gt;",IF(F100=G146,"=","&lt;"))</f>
        <v/>
      </c>
      <c r="Q100" s="45" t="n"/>
      <c r="R100" s="45">
        <f>IF(H100&gt;G146,"&gt;",IF(H100=G146,"=","&lt;"))</f>
        <v/>
      </c>
    </row>
    <row r="101">
      <c r="B101" s="400" t="inlineStr">
        <is>
          <t>3. Khả năng thanh toán tức thời (lần)</t>
        </is>
      </c>
      <c r="C101" s="304" t="inlineStr">
        <is>
          <t>Ko áp dụng</t>
        </is>
      </c>
      <c r="D101" s="506" t="n"/>
      <c r="E101" s="506" t="n"/>
      <c r="F101" s="506" t="n"/>
      <c r="G101" s="506" t="n"/>
      <c r="H101" s="506" t="n"/>
      <c r="I101" s="81" t="n"/>
      <c r="J101" s="81" t="n"/>
      <c r="K101" s="81" t="n"/>
      <c r="L101" s="81" t="n"/>
      <c r="M101" s="81" t="n"/>
      <c r="N101" s="45">
        <f>IF(D101&gt;$G$220,"&gt;",IF(D101=$G$220,"=","&lt;"))</f>
        <v/>
      </c>
      <c r="O101" s="45">
        <f>IF(E101&gt;G147,"&gt;",IF(E101=G147,"=","&lt;"))</f>
        <v/>
      </c>
      <c r="P101" s="45">
        <f>IF(F101&gt;G147,"&gt;",IF(F101=G147,"=","&lt;"))</f>
        <v/>
      </c>
      <c r="Q101" s="45" t="n"/>
      <c r="R101" s="45">
        <f>IF(H101&gt;G147,"&gt;",IF(H101=G147,"=","&lt;"))</f>
        <v/>
      </c>
    </row>
    <row r="102">
      <c r="B102" s="77" t="inlineStr">
        <is>
          <t>Chỉ tiêu hoạt động</t>
        </is>
      </c>
      <c r="C102" s="82" t="n"/>
      <c r="D102" s="507" t="n"/>
      <c r="E102" s="508" t="n"/>
      <c r="F102" s="508" t="n"/>
      <c r="G102" s="508" t="n"/>
      <c r="H102" s="509" t="n"/>
      <c r="I102" s="81" t="n"/>
      <c r="J102" s="81" t="n"/>
      <c r="K102" s="81" t="n"/>
      <c r="L102" s="81" t="n"/>
      <c r="M102" s="81" t="n"/>
      <c r="N102" s="45" t="n"/>
      <c r="O102" s="45" t="n"/>
      <c r="P102" s="45" t="n"/>
      <c r="Q102" s="45" t="n"/>
      <c r="R102" s="45" t="n"/>
    </row>
    <row r="103" ht="15.6" customFormat="1" customHeight="1" s="733">
      <c r="B103" s="400" t="inlineStr">
        <is>
          <t>4. Vòng quay vốn lưu động (vòng)</t>
        </is>
      </c>
      <c r="C103" s="304" t="inlineStr">
        <is>
          <t>Ko áp dụng</t>
        </is>
      </c>
      <c r="D103" s="506" t="n"/>
      <c r="E103" s="510" t="n"/>
      <c r="F103" s="506" t="n"/>
      <c r="G103" s="506" t="n"/>
      <c r="H103" s="506" t="n"/>
      <c r="I103" s="305" t="n"/>
      <c r="J103" s="305" t="n"/>
      <c r="K103" s="305" t="n"/>
      <c r="L103" s="305" t="n"/>
      <c r="M103" s="305" t="n"/>
      <c r="N103" s="305">
        <f>IF(D103&gt;G149,"&gt;",IF(D103=G149,"=","&lt;"))</f>
        <v/>
      </c>
      <c r="O103" s="305">
        <f>IF(E103&gt;G149,"&gt;",IF(E103=G149,"=","&lt;"))</f>
        <v/>
      </c>
      <c r="P103" s="305">
        <f>IF(F103&gt;G149,"&gt;",IF(F103=G149,"=","&lt;"))</f>
        <v/>
      </c>
      <c r="Q103" s="305" t="n"/>
      <c r="R103" s="305">
        <f>IF(H103&gt;G149,"&gt;",IF(H103=G149,"=","&lt;"))</f>
        <v/>
      </c>
    </row>
    <row r="104" customFormat="1" s="733">
      <c r="B104" s="79" t="inlineStr">
        <is>
          <t>5. Vòng quay hàng tồn kho (vòng) - Q2a</t>
        </is>
      </c>
      <c r="C104" s="304" t="n"/>
      <c r="D104" s="707">
        <f>IF(D25&lt;&gt;0,D79/D25,-99999)</f>
        <v/>
      </c>
      <c r="E104" s="707">
        <f>IF(E25&lt;&gt;0,E79/E25,-99999)</f>
        <v/>
      </c>
      <c r="F104" s="707">
        <f>IF(F25&lt;&gt;0,F79/F25,-99999)</f>
        <v/>
      </c>
      <c r="G104" s="707">
        <f>IF(G25&lt;&gt;0,G79/G25,-99999)</f>
        <v/>
      </c>
      <c r="H104" s="707">
        <f>IF(H25&lt;&gt;0,H79/H25,-99999)</f>
        <v/>
      </c>
      <c r="I104" s="305" t="n"/>
      <c r="J104" s="305" t="n"/>
      <c r="K104" s="305" t="n"/>
      <c r="L104" s="305" t="n"/>
      <c r="M104" s="305" t="n"/>
      <c r="N104" s="305">
        <f>IF(D104&gt;G150,"&gt;",IF(D104=G150,"=","&lt;"))</f>
        <v/>
      </c>
      <c r="O104" s="305">
        <f>IF(E104&gt;G150,"&gt;",IF(E104=G150,"=","&lt;"))</f>
        <v/>
      </c>
      <c r="P104" s="305">
        <f>IF(F104&gt;G150,"&gt;",IF(F104=G150,"=","&lt;"))</f>
        <v/>
      </c>
      <c r="Q104" s="305" t="n"/>
      <c r="R104" s="305">
        <f>IF(H104&gt;G150,"&gt;",IF(H104=G150,"=","&lt;"))</f>
        <v/>
      </c>
    </row>
    <row r="105" customFormat="1" s="733">
      <c r="B105" s="400" t="inlineStr">
        <is>
          <t>6. Vòng quay các khoản phải thu (vòng) - Q2b</t>
        </is>
      </c>
      <c r="C105" s="304" t="inlineStr">
        <is>
          <t>Ko áp dụng</t>
        </is>
      </c>
      <c r="D105" s="506" t="n"/>
      <c r="E105" s="510" t="n"/>
      <c r="F105" s="506" t="n"/>
      <c r="G105" s="506" t="n"/>
      <c r="H105" s="506" t="n"/>
      <c r="I105" s="305" t="n"/>
      <c r="J105" s="305" t="n"/>
      <c r="K105" s="305" t="n"/>
      <c r="L105" s="305" t="n"/>
      <c r="M105" s="305" t="n"/>
      <c r="N105" s="305">
        <f>IF(D105&gt;G151,"&gt;",IF(D105=G151,"=","&lt;"))</f>
        <v/>
      </c>
      <c r="O105" s="305">
        <f>IF(E105&gt;G151,"&gt;",IF(E105=G151,"=","&lt;"))</f>
        <v/>
      </c>
      <c r="P105" s="305">
        <f>IF(F105&gt;G151,"&gt;",IF(F105=G151,"=","&lt;"))</f>
        <v/>
      </c>
      <c r="Q105" s="305" t="n"/>
      <c r="R105" s="305">
        <f>IF(H105&gt;G151,"&gt;",IF(H105=G151,"=","&lt;"))</f>
        <v/>
      </c>
    </row>
    <row r="106" customFormat="1" s="389">
      <c r="B106" s="400" t="inlineStr">
        <is>
          <t>7. Vòng quay khoản phải trả (Payables Turnover) - Q2c</t>
        </is>
      </c>
      <c r="C106" s="304" t="inlineStr">
        <is>
          <t>Ko áp dụng</t>
        </is>
      </c>
      <c r="D106" s="506" t="n"/>
      <c r="E106" s="506" t="n"/>
      <c r="F106" s="506" t="n"/>
      <c r="G106" s="506" t="n"/>
      <c r="H106" s="506" t="n"/>
      <c r="I106" s="308" t="n"/>
      <c r="J106" s="308" t="n"/>
      <c r="K106" s="308" t="n"/>
      <c r="L106" s="308" t="n"/>
      <c r="M106" s="308" t="n"/>
      <c r="N106" s="308" t="n"/>
      <c r="O106" s="308" t="n"/>
      <c r="P106" s="305">
        <f>IF(F106&gt;G152,"&gt;",IF(F106=G152,"=","&lt;"))</f>
        <v/>
      </c>
      <c r="Q106" s="308" t="n"/>
      <c r="R106" s="308" t="n"/>
    </row>
    <row r="107" customFormat="1" s="733">
      <c r="B107" s="79" t="inlineStr">
        <is>
          <t>8. Hiệu suất sử dụng TSCĐ (lần)</t>
        </is>
      </c>
      <c r="C107" s="304" t="n"/>
      <c r="D107" s="707">
        <f>IF(D78&lt;&gt;0,D78/D28,-99999)</f>
        <v/>
      </c>
      <c r="E107" s="707">
        <f>IF(E78&lt;&gt;0,E78/E28,-99999)</f>
        <v/>
      </c>
      <c r="F107" s="707">
        <f>IF(F78&lt;&gt;0,F78/F28,-99999)</f>
        <v/>
      </c>
      <c r="G107" s="707">
        <f>IF(G78&lt;&gt;0,G78/G28,-99999)</f>
        <v/>
      </c>
      <c r="H107" s="707">
        <f>IF(H78&lt;&gt;0,H78/H28,-99999)</f>
        <v/>
      </c>
      <c r="I107" s="305" t="n"/>
      <c r="J107" s="305" t="n"/>
      <c r="K107" s="305" t="n"/>
      <c r="L107" s="305" t="n"/>
      <c r="M107" s="305" t="n"/>
      <c r="N107" s="305">
        <f>IF(D107&gt;G152,"&gt;",IF(D107=G152,"=","&lt;"))</f>
        <v/>
      </c>
      <c r="O107" s="305">
        <f>IF(E107&gt;G152,"&gt;",IF(E107=G152,"=","&lt;"))</f>
        <v/>
      </c>
      <c r="P107" s="305">
        <f>IF(F107&gt;G152,"&gt;",IF(F107=G152,"=","&lt;"))</f>
        <v/>
      </c>
      <c r="Q107" s="305" t="n"/>
      <c r="R107" s="305">
        <f>IF(H107&gt;G152,"&gt;",IF(H107=G152,"=","&lt;"))</f>
        <v/>
      </c>
    </row>
    <row r="108" customFormat="1" s="389">
      <c r="B108" s="400" t="inlineStr">
        <is>
          <t>9. Vòng quay kinh doanh</t>
        </is>
      </c>
      <c r="C108" s="304" t="inlineStr">
        <is>
          <t>Ko áp dụng</t>
        </is>
      </c>
      <c r="D108" s="506" t="n"/>
      <c r="E108" s="506" t="n"/>
      <c r="F108" s="506" t="n"/>
      <c r="G108" s="506" t="n"/>
      <c r="H108" s="506" t="n"/>
      <c r="I108" s="308" t="n"/>
      <c r="J108" s="308" t="n"/>
      <c r="K108" s="308" t="n"/>
      <c r="L108" s="308" t="n"/>
      <c r="M108" s="308" t="n"/>
      <c r="N108" s="308" t="n"/>
      <c r="O108" s="308" t="n"/>
      <c r="P108" s="305">
        <f>IF(F108&gt;G153,"&gt;",IF(F108=G153,"=","&lt;"))</f>
        <v/>
      </c>
      <c r="Q108" s="308" t="n"/>
      <c r="R108" s="308" t="n"/>
    </row>
    <row r="109" customFormat="1" s="389">
      <c r="B109" s="79" t="inlineStr">
        <is>
          <t>10. Tiền và tương đương tiền/Tổng tài sản</t>
        </is>
      </c>
      <c r="C109" s="307" t="n"/>
      <c r="D109" s="707">
        <f>IF(D11&lt;&gt;0,D12/D11,-99999)</f>
        <v/>
      </c>
      <c r="E109" s="707">
        <f>IF(E11&lt;&gt;0,E12/E11,-99999)</f>
        <v/>
      </c>
      <c r="F109" s="707">
        <f>IF(F11&lt;&gt;0,F12/F11,-99999)</f>
        <v/>
      </c>
      <c r="G109" s="707">
        <f>IF(G11&lt;&gt;0,G12/G11,-99999)</f>
        <v/>
      </c>
      <c r="H109" s="707">
        <f>IF(H11&lt;&gt;0,H12/H11,-99999)</f>
        <v/>
      </c>
      <c r="I109" s="308" t="n"/>
      <c r="J109" s="308" t="n"/>
      <c r="K109" s="308" t="n"/>
      <c r="L109" s="308" t="n"/>
      <c r="M109" s="308" t="n"/>
      <c r="N109" s="308" t="n"/>
      <c r="O109" s="308" t="n"/>
      <c r="P109" s="305">
        <f>IF(F109&gt;G154,"&gt;",IF(F109=G154,"=","&lt;"))</f>
        <v/>
      </c>
      <c r="Q109" s="308" t="n"/>
      <c r="R109" s="308" t="n"/>
    </row>
    <row r="110" customFormat="1" s="389">
      <c r="B110" s="400" t="inlineStr">
        <is>
          <t>11. Phải thu khác/Tài sản ngắn hạn</t>
        </is>
      </c>
      <c r="C110" s="304" t="inlineStr">
        <is>
          <t>Ko áp dụng</t>
        </is>
      </c>
      <c r="D110" s="506" t="n"/>
      <c r="E110" s="506" t="n"/>
      <c r="F110" s="506" t="n"/>
      <c r="G110" s="506" t="n"/>
      <c r="H110" s="506" t="n"/>
      <c r="I110" s="308" t="n"/>
      <c r="J110" s="308" t="n"/>
      <c r="K110" s="308" t="n"/>
      <c r="L110" s="308" t="n"/>
      <c r="M110" s="308" t="n"/>
      <c r="N110" s="308" t="n"/>
      <c r="O110" s="308" t="n"/>
      <c r="P110" s="305" t="n"/>
      <c r="Q110" s="308" t="n"/>
      <c r="R110" s="308" t="n"/>
    </row>
    <row r="111" customFormat="1" s="389">
      <c r="B111" s="400" t="inlineStr">
        <is>
          <t>12. Số ngày thiếu tiền</t>
        </is>
      </c>
      <c r="C111" s="304" t="inlineStr">
        <is>
          <t>Ko áp dụng</t>
        </is>
      </c>
      <c r="D111" s="400" t="n"/>
      <c r="E111" s="400" t="n"/>
      <c r="F111" s="400" t="n"/>
      <c r="G111" s="400" t="n"/>
      <c r="H111" s="400" t="n"/>
      <c r="I111" s="308" t="n"/>
      <c r="J111" s="308" t="n"/>
      <c r="K111" s="308" t="n"/>
      <c r="L111" s="308" t="n"/>
      <c r="M111" s="308" t="n"/>
      <c r="N111" s="308" t="n"/>
      <c r="O111" s="308" t="n"/>
      <c r="P111" s="305" t="n"/>
      <c r="Q111" s="308" t="n"/>
      <c r="R111" s="308" t="n"/>
    </row>
    <row r="112" customFormat="1" s="389">
      <c r="B112" s="400" t="inlineStr">
        <is>
          <t>13. Nhu cầu vốn 1 chu kỳ</t>
        </is>
      </c>
      <c r="C112" s="304" t="inlineStr">
        <is>
          <t>Ko áp dụng</t>
        </is>
      </c>
      <c r="D112" s="400" t="n"/>
      <c r="E112" s="400" t="n"/>
      <c r="F112" s="400" t="n"/>
      <c r="G112" s="400" t="n"/>
      <c r="H112" s="400" t="n"/>
      <c r="I112" s="308" t="n"/>
      <c r="J112" s="308" t="n"/>
      <c r="K112" s="308" t="n"/>
      <c r="L112" s="308" t="n"/>
      <c r="M112" s="308" t="n"/>
      <c r="N112" s="308" t="n"/>
      <c r="O112" s="308" t="n"/>
      <c r="P112" s="305" t="n"/>
      <c r="Q112" s="308" t="n"/>
      <c r="R112" s="308" t="n"/>
    </row>
    <row r="113" customFormat="1" s="389">
      <c r="B113" s="400" t="inlineStr">
        <is>
          <t>14. Nhu cầu vốn 1 chu kì/Tiền và tương đương tiền</t>
        </is>
      </c>
      <c r="C113" s="304" t="inlineStr">
        <is>
          <t>Ko áp dụng</t>
        </is>
      </c>
      <c r="D113" s="400" t="n"/>
      <c r="E113" s="400" t="n"/>
      <c r="F113" s="400" t="n"/>
      <c r="G113" s="400" t="n"/>
      <c r="H113" s="400" t="n"/>
      <c r="I113" s="308" t="n"/>
      <c r="J113" s="308" t="n"/>
      <c r="K113" s="308" t="n"/>
      <c r="L113" s="308" t="n"/>
      <c r="M113" s="308" t="n"/>
      <c r="N113" s="308" t="n"/>
      <c r="O113" s="308" t="n"/>
      <c r="P113" s="305" t="n"/>
      <c r="Q113" s="308" t="n"/>
      <c r="R113" s="308" t="n"/>
    </row>
    <row r="114" customFormat="1" s="389">
      <c r="B114" s="400" t="inlineStr">
        <is>
          <t>15. Nhu cầu vốn 1 chu kì / Nợ vay ngắn hạn</t>
        </is>
      </c>
      <c r="C114" s="304" t="inlineStr">
        <is>
          <t>Ko áp dụng</t>
        </is>
      </c>
      <c r="D114" s="400" t="n"/>
      <c r="E114" s="400" t="n"/>
      <c r="F114" s="400" t="n"/>
      <c r="G114" s="400" t="n"/>
      <c r="H114" s="400" t="n"/>
      <c r="I114" s="308" t="n"/>
      <c r="J114" s="308" t="n"/>
      <c r="K114" s="308" t="n"/>
      <c r="L114" s="308" t="n"/>
      <c r="M114" s="308" t="n"/>
      <c r="N114" s="308" t="n"/>
      <c r="O114" s="308" t="n"/>
      <c r="P114" s="305" t="n"/>
      <c r="Q114" s="308" t="n"/>
      <c r="R114" s="308" t="n"/>
    </row>
    <row r="115" ht="30" customFormat="1" customHeight="1" s="389">
      <c r="B115" s="400" t="inlineStr">
        <is>
          <t>16. (Phải thu ngắn hạn - Phải thu khách hàng ngắn hạn)/Tài sản ngắn hạn</t>
        </is>
      </c>
      <c r="C115" s="304" t="inlineStr">
        <is>
          <t>Ko áp dụng</t>
        </is>
      </c>
      <c r="D115" s="400" t="n"/>
      <c r="E115" s="400" t="n"/>
      <c r="F115" s="400" t="n"/>
      <c r="G115" s="400" t="n"/>
      <c r="H115" s="400" t="n"/>
      <c r="I115" s="308" t="n"/>
      <c r="J115" s="308" t="n"/>
      <c r="K115" s="308" t="n"/>
      <c r="L115" s="308" t="n"/>
      <c r="M115" s="308" t="n"/>
      <c r="N115" s="308" t="n"/>
      <c r="O115" s="308" t="n"/>
      <c r="P115" s="305" t="n"/>
      <c r="Q115" s="308" t="n"/>
      <c r="R115" s="308" t="n"/>
    </row>
    <row r="116" ht="18.75" customFormat="1" customHeight="1" s="389">
      <c r="B116" s="400" t="inlineStr">
        <is>
          <t>17. (Phải thu ngắn hạn khác + Phải thu dài hạn khác)/Tổng tài sản</t>
        </is>
      </c>
      <c r="C116" s="304" t="inlineStr">
        <is>
          <t>Ko áp dụng</t>
        </is>
      </c>
      <c r="D116" s="400" t="n"/>
      <c r="E116" s="400" t="n"/>
      <c r="F116" s="400" t="n"/>
      <c r="G116" s="400" t="n"/>
      <c r="H116" s="400" t="n"/>
      <c r="I116" s="308" t="n"/>
      <c r="J116" s="308" t="n"/>
      <c r="K116" s="308" t="n"/>
      <c r="L116" s="308" t="n"/>
      <c r="M116" s="308" t="n"/>
      <c r="N116" s="308" t="n"/>
      <c r="O116" s="308" t="n"/>
      <c r="P116" s="305" t="n"/>
      <c r="Q116" s="308" t="n"/>
      <c r="R116" s="308" t="n"/>
    </row>
    <row r="117">
      <c r="B117" s="77" t="inlineStr">
        <is>
          <t>Chỉ tiêu cân nợ</t>
        </is>
      </c>
      <c r="C117" s="82" t="n"/>
      <c r="D117" s="507" t="n"/>
      <c r="E117" s="508" t="n"/>
      <c r="F117" s="508" t="n"/>
      <c r="G117" s="508" t="n"/>
      <c r="H117" s="509" t="n"/>
      <c r="I117" s="45" t="n"/>
      <c r="J117" s="45" t="n"/>
      <c r="K117" s="45" t="n"/>
      <c r="L117" s="45" t="n"/>
      <c r="M117" s="45" t="n"/>
      <c r="N117" s="45" t="n"/>
      <c r="O117" s="45" t="n"/>
      <c r="P117" s="45" t="n"/>
      <c r="Q117" s="45" t="n"/>
      <c r="R117" s="45" t="n"/>
    </row>
    <row r="118">
      <c r="B118" s="79" t="inlineStr">
        <is>
          <t>18. Tổng nợ phải trả/ Tổng tài sản (lần)</t>
        </is>
      </c>
      <c r="C118" s="82" t="n"/>
      <c r="D118" s="707">
        <f>IF(D11&lt;&gt;0,D39/D11,-99999)</f>
        <v/>
      </c>
      <c r="E118" s="707">
        <f>IF(E11&lt;&gt;0,E39/E11,-99999)</f>
        <v/>
      </c>
      <c r="F118" s="707">
        <f>IF(F11&lt;&gt;0,F39/F11,-99999)</f>
        <v/>
      </c>
      <c r="G118" s="707">
        <f>IF(G11&lt;&gt;0,G39/G11,-99999)</f>
        <v/>
      </c>
      <c r="H118" s="707">
        <f>IF(H11&lt;&gt;0,H39/H11,-99999)</f>
        <v/>
      </c>
      <c r="I118" s="45" t="n"/>
      <c r="J118" s="45" t="n"/>
      <c r="K118" s="45" t="n"/>
      <c r="L118" s="45" t="n"/>
      <c r="M118" s="45" t="n"/>
      <c r="N118" s="45">
        <f>IF(D118&gt;G154,"&gt;",IF(D118=G154,"=","&lt;"))</f>
        <v/>
      </c>
      <c r="O118" s="45">
        <f>IF(E118&gt;G154,"&gt;",IF(E118=G154,"=","&lt;"))</f>
        <v/>
      </c>
      <c r="P118" s="45">
        <f>IF(F118&gt;G154,"&gt;",IF(F118=G154,"=","&lt;"))</f>
        <v/>
      </c>
      <c r="Q118" s="45" t="n"/>
      <c r="R118" s="45">
        <f>IF(H118&gt;G154,"&gt;",IF(H118=G154,"=","&lt;"))</f>
        <v/>
      </c>
    </row>
    <row r="119">
      <c r="B119" s="400" t="inlineStr">
        <is>
          <t>19. Nợ dài dạn/Vốn CSH (lần)</t>
        </is>
      </c>
      <c r="C119" s="304" t="inlineStr">
        <is>
          <t>Ko áp dụng</t>
        </is>
      </c>
      <c r="D119" s="506" t="n"/>
      <c r="E119" s="506" t="n"/>
      <c r="F119" s="506" t="n"/>
      <c r="G119" s="506" t="n"/>
      <c r="H119" s="506" t="n"/>
      <c r="I119" s="45" t="n"/>
      <c r="J119" s="45" t="n"/>
      <c r="K119" s="45" t="n"/>
      <c r="L119" s="45" t="n"/>
      <c r="M119" s="45" t="n"/>
      <c r="N119" s="45">
        <f>IF(D119&gt;G155,"&gt;",IF(D119=G155,"=","&lt;"))</f>
        <v/>
      </c>
      <c r="O119" s="45">
        <f>IF(E119&gt;G155,"&gt;",IF(E119=G155,"=","&lt;"))</f>
        <v/>
      </c>
      <c r="P119" s="45">
        <f>IF(F119&gt;G155,"&gt;",IF(F119=G155,"=","&lt;"))</f>
        <v/>
      </c>
      <c r="Q119" s="45" t="n"/>
      <c r="R119" s="45">
        <f>IF(H119&gt;G155,"&gt;",IF(H119=G155,"=","&lt;"))</f>
        <v/>
      </c>
    </row>
    <row r="120" customFormat="1" s="733">
      <c r="B120" s="79" t="inlineStr">
        <is>
          <t>20. Tổng nợ/Vốn CSH (lần)</t>
        </is>
      </c>
      <c r="C120" s="304" t="n"/>
      <c r="D120" s="707">
        <f>IF(D50&lt;&gt;0,D39/D50,-99999)</f>
        <v/>
      </c>
      <c r="E120" s="707">
        <f>IF(E50&lt;&gt;0,E39/E50,-99999)</f>
        <v/>
      </c>
      <c r="F120" s="707">
        <f>IF(F50&lt;&gt;0,F39/F50,-99999)</f>
        <v/>
      </c>
      <c r="G120" s="707">
        <f>IF(G50&lt;&gt;0,G39/G50,-99999)</f>
        <v/>
      </c>
      <c r="H120" s="707">
        <f>IF(H50&lt;&gt;0,H39/H50,-99999)</f>
        <v/>
      </c>
      <c r="I120" s="305" t="n"/>
      <c r="J120" s="305" t="n"/>
      <c r="K120" s="305" t="n"/>
      <c r="L120" s="305" t="n"/>
      <c r="M120" s="305" t="n"/>
      <c r="N120" s="305">
        <f>IF(D120&gt;G156,"&gt;",IF(D120=G156,"=","&lt;"))</f>
        <v/>
      </c>
      <c r="O120" s="305">
        <f>IF(E120&gt;G156,"&gt;",IF(E120=G156,"=","&lt;"))</f>
        <v/>
      </c>
      <c r="P120" s="305">
        <f>IF(F120&gt;G156,"&gt;",IF(F120=G156,"=","&lt;"))</f>
        <v/>
      </c>
      <c r="Q120" s="305" t="n"/>
      <c r="R120" s="305">
        <f>IF(H120&gt;G156,"&gt;",IF(H120=G156,"=","&lt;"))</f>
        <v/>
      </c>
    </row>
    <row r="121" customFormat="1" s="389">
      <c r="B121" s="400" t="inlineStr">
        <is>
          <t>21. Khả năng thực hiện nghĩa vụ trả nợ ngắn hạn</t>
        </is>
      </c>
      <c r="C121" s="304" t="inlineStr">
        <is>
          <t>Ko áp dụng</t>
        </is>
      </c>
      <c r="D121" s="506" t="n"/>
      <c r="E121" s="506" t="n"/>
      <c r="F121" s="506" t="n"/>
      <c r="G121" s="506" t="n"/>
      <c r="H121" s="506" t="n"/>
      <c r="I121" s="308" t="n"/>
      <c r="J121" s="308" t="n"/>
      <c r="K121" s="308" t="n"/>
      <c r="L121" s="308" t="n"/>
      <c r="M121" s="308" t="n"/>
      <c r="N121" s="308" t="n"/>
      <c r="O121" s="308" t="n"/>
      <c r="P121" s="308" t="n"/>
      <c r="Q121" s="308" t="n"/>
      <c r="R121" s="308" t="n"/>
    </row>
    <row r="122">
      <c r="B122" s="77" t="inlineStr">
        <is>
          <t>Chỉ tiêu thu nhập</t>
        </is>
      </c>
      <c r="C122" s="80" t="n"/>
      <c r="D122" s="507" t="n"/>
      <c r="E122" s="508" t="n"/>
      <c r="F122" s="508" t="n"/>
      <c r="G122" s="508" t="n"/>
      <c r="H122" s="509" t="n"/>
      <c r="I122" s="45" t="n"/>
      <c r="J122" s="45" t="n"/>
      <c r="K122" s="81" t="n"/>
      <c r="L122" s="81" t="n"/>
      <c r="M122" s="81" t="n"/>
      <c r="N122" s="45" t="n"/>
      <c r="O122" s="45" t="n"/>
      <c r="P122" s="45" t="n"/>
      <c r="Q122" s="45" t="n"/>
      <c r="R122" s="45" t="n"/>
    </row>
    <row r="123" customFormat="1" s="389">
      <c r="B123" s="79" t="inlineStr">
        <is>
          <t>22. Lợi nhuận từ hoạt động kinh doanh</t>
        </is>
      </c>
      <c r="C123" s="307" t="n"/>
      <c r="D123" s="710">
        <f>D86-D82+D83</f>
        <v/>
      </c>
      <c r="E123" s="710">
        <f>E86-E82+E83</f>
        <v/>
      </c>
      <c r="F123" s="710">
        <f>F86-F82+F83</f>
        <v/>
      </c>
      <c r="G123" s="710">
        <f>G86-G82+G83</f>
        <v/>
      </c>
      <c r="H123" s="710">
        <f>H86-H82+H83</f>
        <v/>
      </c>
      <c r="I123" s="308" t="n"/>
      <c r="J123" s="308" t="n"/>
      <c r="K123" s="310" t="n"/>
      <c r="L123" s="310" t="n"/>
      <c r="M123" s="310" t="n"/>
      <c r="N123" s="308" t="n"/>
      <c r="O123" s="308" t="n"/>
      <c r="P123" s="305">
        <f>IF(F123&gt;G160,"&gt;",IF(F123=G160,"=","&lt;"))</f>
        <v/>
      </c>
      <c r="Q123" s="308" t="n"/>
      <c r="R123" s="308" t="n"/>
    </row>
    <row r="124">
      <c r="B124" s="79" t="inlineStr">
        <is>
          <t>23. Lợi nhuận gộp/Doanh thu thuần (lần)</t>
        </is>
      </c>
      <c r="C124" s="82" t="n"/>
      <c r="D124" s="707">
        <f>IF(D78&lt;&gt;0,D81/D78,-99999)</f>
        <v/>
      </c>
      <c r="E124" s="707">
        <f>IF(E78&lt;&gt;0,E81/E78,-99999)</f>
        <v/>
      </c>
      <c r="F124" s="707">
        <f>IF(F78&lt;&gt;0,F81/F78,-99999)</f>
        <v/>
      </c>
      <c r="G124" s="707">
        <f>IF(G78&lt;&gt;0,G81/G78,-99999)</f>
        <v/>
      </c>
      <c r="H124" s="707">
        <f>IF(H78&lt;&gt;0,H81/H78,-99999)</f>
        <v/>
      </c>
      <c r="I124" s="45" t="n"/>
      <c r="J124" s="45" t="n"/>
      <c r="K124" s="81" t="n"/>
      <c r="L124" s="81" t="n"/>
      <c r="M124" s="81" t="n"/>
      <c r="N124" s="45">
        <f>IF(D124&gt;G158,"&gt;",IF(D124=G158,"=","&lt;"))</f>
        <v/>
      </c>
      <c r="O124" s="45">
        <f>IF(E124&gt;G158,"&gt;",IF(E124=G158,"=","&lt;"))</f>
        <v/>
      </c>
      <c r="P124" s="45">
        <f>IF(F124&gt;G158,"&gt;",IF(F124=G158,"=","&lt;"))</f>
        <v/>
      </c>
      <c r="Q124" s="45" t="n"/>
      <c r="R124" s="45">
        <f>IF(H124&gt;G158,"&gt;",IF(H124=G158,"=","&lt;"))</f>
        <v/>
      </c>
    </row>
    <row r="125">
      <c r="B125" s="79" t="inlineStr">
        <is>
          <t>24. Lợi nhuận từ hoạt động KD/Doanh thu thuần (lần)</t>
        </is>
      </c>
      <c r="C125" s="80" t="n"/>
      <c r="D125" s="707">
        <f>IF(D78&lt;&gt;0,(D86-D82+D83)/D78,-99999)</f>
        <v/>
      </c>
      <c r="E125" s="707">
        <f>IF(E78&lt;&gt;0,(E86-E82+E83)/E78,-99999)</f>
        <v/>
      </c>
      <c r="F125" s="707">
        <f>IF(F78&lt;&gt;0,(F86-F82+F83)/F78,-99999)</f>
        <v/>
      </c>
      <c r="G125" s="707">
        <f>IF(G78&lt;&gt;0,(G86-G82+G83)/G78,-99999)</f>
        <v/>
      </c>
      <c r="H125" s="707">
        <f>IF(H78&lt;&gt;0,(H86-H82+H83)/H78,-99999)</f>
        <v/>
      </c>
      <c r="I125" s="45" t="n"/>
      <c r="J125" s="45" t="n"/>
      <c r="K125" s="81" t="n"/>
      <c r="L125" s="81" t="n"/>
      <c r="M125" s="81" t="n"/>
      <c r="N125" s="45">
        <f>IF(D125&gt;G159,"&gt;",IF(D125=G159,"=","&lt;"))</f>
        <v/>
      </c>
      <c r="O125" s="45">
        <f>IF(E125&gt;G159,"&gt;",IF(E125=G159,"=","&lt;"))</f>
        <v/>
      </c>
      <c r="P125" s="45">
        <f>IF(F125&gt;G159,"&gt;",IF(F125=G159,"=","&lt;"))</f>
        <v/>
      </c>
      <c r="Q125" s="45" t="n"/>
      <c r="R125" s="45">
        <f>IF(H125&gt;G159,"&gt;",IF(H125=G159,"=","&lt;"))</f>
        <v/>
      </c>
    </row>
    <row r="126">
      <c r="B126" s="708" t="inlineStr">
        <is>
          <t>25. Lợi nhuận sau thuế/Vốn CSH (lần)</t>
        </is>
      </c>
      <c r="C126" s="80" t="n"/>
      <c r="D126" s="707">
        <f>IF(D50&lt;&gt;0,D92/D50,-99999)</f>
        <v/>
      </c>
      <c r="E126" s="707">
        <f>IF(E50&lt;&gt;0,E92/E50,-99999)</f>
        <v/>
      </c>
      <c r="F126" s="707">
        <f>IF(F50&lt;&gt;0,F92/F50,-99999)</f>
        <v/>
      </c>
      <c r="G126" s="707">
        <f>IF(G50&lt;&gt;0,G92/G50,-99999)</f>
        <v/>
      </c>
      <c r="H126" s="707">
        <f>IF(H50&lt;&gt;0,H92/H50,-99999)</f>
        <v/>
      </c>
      <c r="I126" s="45" t="n"/>
      <c r="J126" s="45" t="n"/>
      <c r="K126" s="45" t="n"/>
      <c r="L126" s="45" t="n"/>
      <c r="M126" s="45" t="n"/>
      <c r="N126" s="45">
        <f>IF(D126&gt;G160,"&gt;",IF(D126=G160,"=","&lt;"))</f>
        <v/>
      </c>
      <c r="O126" s="45">
        <f>IF(E126&gt;G160,"&gt;",IF(E126=G160,"=","&lt;"))</f>
        <v/>
      </c>
      <c r="P126" s="45">
        <f>IF(F126&gt;G160,"&gt;",IF(F126=G160,"=","&lt;"))</f>
        <v/>
      </c>
      <c r="Q126" s="45" t="n"/>
      <c r="R126" s="45">
        <f>IF(H126&gt;G160,"&gt;",IF(H126=G160,"=","&lt;"))</f>
        <v/>
      </c>
    </row>
    <row r="127" customFormat="1" s="733">
      <c r="B127" s="79" t="inlineStr">
        <is>
          <t>26. Lợi nhuận sau thuế/Tổng tài sản bình quân (lần)</t>
        </is>
      </c>
      <c r="C127" s="304" t="n"/>
      <c r="D127" s="707">
        <f>IF(D11&lt;&gt;0,D92/D11,-99999)</f>
        <v/>
      </c>
      <c r="E127" s="707">
        <f>IF(E11&lt;&gt;0,E92/E11,-99999)</f>
        <v/>
      </c>
      <c r="F127" s="707">
        <f>IF(F11&lt;&gt;0,F92/F11,-99999)</f>
        <v/>
      </c>
      <c r="G127" s="707">
        <f>IF(G11&lt;&gt;0,G92/G11,-99999)</f>
        <v/>
      </c>
      <c r="H127" s="707">
        <f>IF(H11&lt;&gt;0,H92/H11,-99999)</f>
        <v/>
      </c>
      <c r="I127" s="305" t="n"/>
      <c r="J127" s="305" t="n"/>
      <c r="K127" s="305" t="n"/>
      <c r="L127" s="305" t="n"/>
      <c r="M127" s="305" t="n"/>
      <c r="N127" s="305">
        <f>IF(D127&gt;G161,"&gt;",IF(D127=G161,"=","&lt;"))</f>
        <v/>
      </c>
      <c r="O127" s="305">
        <f>IF(E127&gt;G161,"&gt;",IF(E127=G161,"=","&lt;"))</f>
        <v/>
      </c>
      <c r="P127" s="305">
        <f>IF(F127&gt;G161,"&gt;",IF(F127=G161,"=","&lt;"))</f>
        <v/>
      </c>
      <c r="Q127" s="305" t="n"/>
      <c r="R127" s="305">
        <f>IF(H127&gt;G161,"&gt;",IF(H127=G161,"=","&lt;"))</f>
        <v/>
      </c>
    </row>
    <row r="128" customFormat="1" s="389">
      <c r="B128" s="79" t="inlineStr">
        <is>
          <t>27. Lợi nhuận gộp/Tổng tài sản</t>
        </is>
      </c>
      <c r="C128" s="307" t="n"/>
      <c r="D128" s="707">
        <f>IF(D11&lt;&gt;0,D81/D11,-99999)</f>
        <v/>
      </c>
      <c r="E128" s="707">
        <f>IF(E11&lt;&gt;0,E81/E11,-99999)</f>
        <v/>
      </c>
      <c r="F128" s="707">
        <f>IF(F11&lt;&gt;0,F81/F11,-99999)</f>
        <v/>
      </c>
      <c r="G128" s="707">
        <f>IF(G11&lt;&gt;0,G81/G11,-99999)</f>
        <v/>
      </c>
      <c r="H128" s="707">
        <f>IF(H11&lt;&gt;0,H81/H11,-99999)</f>
        <v/>
      </c>
      <c r="I128" s="308" t="n"/>
      <c r="J128" s="308" t="n"/>
      <c r="K128" s="310" t="n"/>
      <c r="L128" s="310" t="n"/>
      <c r="M128" s="310" t="n"/>
      <c r="N128" s="308" t="n"/>
      <c r="O128" s="308" t="n"/>
      <c r="P128" s="305">
        <f>IF(F128&gt;G165,"&gt;",IF(F128=G165,"=","&lt;"))</f>
        <v/>
      </c>
      <c r="Q128" s="308" t="n"/>
      <c r="R128" s="308" t="n"/>
    </row>
    <row r="129">
      <c r="B129" s="79" t="inlineStr">
        <is>
          <t>28. EBIT/Chi phí lãi vay (lần)</t>
        </is>
      </c>
      <c r="C129" s="80" t="n"/>
      <c r="D129" s="707">
        <f>IF(D84&lt;&gt;0,(D90+D84)/D84,-99999)</f>
        <v/>
      </c>
      <c r="E129" s="707">
        <f>IF(E84&lt;&gt;0,(E90+E84)/E84,-99999)</f>
        <v/>
      </c>
      <c r="F129" s="707">
        <f>IF(F84&lt;&gt;0,(F90+F84)/F84,-99999)</f>
        <v/>
      </c>
      <c r="G129" s="707">
        <f>IF(G84&lt;&gt;0,(G90+G84)/G84,-99999)</f>
        <v/>
      </c>
      <c r="H129" s="707">
        <f>IF(H84&lt;&gt;0,(H90+H84)/H84,-99999)</f>
        <v/>
      </c>
      <c r="I129" s="45" t="n"/>
      <c r="J129" s="45" t="n"/>
      <c r="K129" s="81" t="n"/>
      <c r="L129" s="81" t="n"/>
      <c r="M129" s="81" t="n"/>
      <c r="N129" s="45">
        <f>IF(D129&gt;G162,"&gt;",IF(D129=G162,"=","&lt;"))</f>
        <v/>
      </c>
      <c r="O129" s="45">
        <f>IF(E129&gt;G162,"&gt;",IF(E129=G162,"=","&lt;"))</f>
        <v/>
      </c>
      <c r="P129" s="45">
        <f>IF(F129&gt;G162,"&gt;",IF(F129=G162,"=","&lt;"))</f>
        <v/>
      </c>
      <c r="Q129" s="45" t="n"/>
      <c r="R129" s="45">
        <f>IF(H129&gt;G162,"&gt;",IF(H129=G162,"=","&lt;"))</f>
        <v/>
      </c>
    </row>
    <row r="130" customFormat="1" s="389">
      <c r="B130" s="400" t="inlineStr">
        <is>
          <t>29. Doanh thu thuần/Nợ vay ngắn hạn</t>
        </is>
      </c>
      <c r="C130" s="304" t="inlineStr">
        <is>
          <t>Ko áp dụng</t>
        </is>
      </c>
      <c r="D130" s="506" t="n"/>
      <c r="E130" s="506" t="n"/>
      <c r="F130" s="506" t="n"/>
      <c r="G130" s="506" t="n"/>
      <c r="H130" s="506" t="n"/>
      <c r="I130" s="308" t="n"/>
      <c r="J130" s="308" t="n"/>
      <c r="K130" s="310" t="n"/>
      <c r="L130" s="310" t="n"/>
      <c r="M130" s="310" t="n"/>
      <c r="N130" s="308" t="n"/>
      <c r="O130" s="308" t="n"/>
      <c r="P130" s="305">
        <f>IF(F130&gt;G167,"&gt;",IF(F130=G167,"=","&lt;"))</f>
        <v/>
      </c>
      <c r="Q130" s="308" t="n"/>
      <c r="R130" s="308" t="n"/>
    </row>
    <row r="131" customFormat="1" s="389">
      <c r="B131" s="79" t="inlineStr">
        <is>
          <t>30. Doanh thu thuần/Nợ phải trả</t>
        </is>
      </c>
      <c r="C131" s="307" t="n"/>
      <c r="D131" s="707">
        <f>IF(D39&lt;&gt;0,D78/D39,-99999)</f>
        <v/>
      </c>
      <c r="E131" s="707">
        <f>IF(E39&lt;&gt;0,E78/E39,-99999)</f>
        <v/>
      </c>
      <c r="F131" s="707">
        <f>IF(F39&lt;&gt;0,F78/F39,-99999)</f>
        <v/>
      </c>
      <c r="G131" s="707">
        <f>IF(G39&lt;&gt;0,G78/G39,-99999)</f>
        <v/>
      </c>
      <c r="H131" s="707">
        <f>IF(H39&lt;&gt;0,H78/H39,-99999)</f>
        <v/>
      </c>
      <c r="I131" s="308" t="n"/>
      <c r="J131" s="308" t="n"/>
      <c r="K131" s="310" t="n"/>
      <c r="L131" s="310" t="n"/>
      <c r="M131" s="310" t="n"/>
      <c r="N131" s="308" t="n"/>
      <c r="O131" s="308" t="n"/>
      <c r="P131" s="305">
        <f>IF(F131&gt;G168,"&gt;",IF(F131=G168,"=","&lt;"))</f>
        <v/>
      </c>
      <c r="Q131" s="308" t="n"/>
      <c r="R131" s="308" t="n"/>
    </row>
    <row r="132" customFormat="1" s="389">
      <c r="B132" s="79" t="inlineStr">
        <is>
          <t>31. Doanh thu thuần/Tổng tài sản</t>
        </is>
      </c>
      <c r="C132" s="307" t="n"/>
      <c r="D132" s="707">
        <f>IF(D11&lt;&gt;0,D78/D11,-99999)</f>
        <v/>
      </c>
      <c r="E132" s="707">
        <f>IF(E11&lt;&gt;0,E78/E11,-99999)</f>
        <v/>
      </c>
      <c r="F132" s="707">
        <f>IF(F11&lt;&gt;0,F78/F11,-99999)</f>
        <v/>
      </c>
      <c r="G132" s="707">
        <f>IF(G11&lt;&gt;0,G78/G11,-99999)</f>
        <v/>
      </c>
      <c r="H132" s="707">
        <f>IF(H11&lt;&gt;0,H78/H11,-99999)</f>
        <v/>
      </c>
      <c r="I132" s="308" t="n"/>
      <c r="J132" s="308" t="n"/>
      <c r="K132" s="310" t="n"/>
      <c r="L132" s="310" t="n"/>
      <c r="M132" s="310" t="n"/>
      <c r="N132" s="308" t="n"/>
      <c r="O132" s="308" t="n"/>
      <c r="P132" s="305">
        <f>IF(F132&gt;G169,"&gt;",IF(F132=G169,"=","&lt;"))</f>
        <v/>
      </c>
      <c r="Q132" s="308" t="n"/>
      <c r="R132" s="308" t="n"/>
    </row>
    <row r="133" customFormat="1" s="389">
      <c r="B133" s="708" t="inlineStr">
        <is>
          <t>32. Tỷ số lợi nhuận gộp trên tổng nợ</t>
        </is>
      </c>
      <c r="C133" s="709" t="n"/>
      <c r="D133" s="707">
        <f>IF(D39&lt;&gt;0,D81/D39,-99999)</f>
        <v/>
      </c>
      <c r="E133" s="707">
        <f>IF(E39&lt;&gt;0,E81/E39,-99999)</f>
        <v/>
      </c>
      <c r="F133" s="707">
        <f>IF(F39&lt;&gt;0,F81/F39,-99999)</f>
        <v/>
      </c>
      <c r="G133" s="707">
        <f>IF(G39&lt;&gt;0,G81/G39,-99999)</f>
        <v/>
      </c>
      <c r="H133" s="707">
        <f>IF(H39&lt;&gt;0,H81/H39,-99999)</f>
        <v/>
      </c>
      <c r="I133" s="308" t="n"/>
      <c r="J133" s="308" t="n"/>
      <c r="K133" s="310" t="n"/>
      <c r="L133" s="310" t="n"/>
      <c r="M133" s="310" t="n"/>
      <c r="N133" s="308" t="n"/>
      <c r="O133" s="308" t="n"/>
      <c r="P133" s="305" t="n"/>
      <c r="Q133" s="308" t="n"/>
      <c r="R133" s="308" t="n"/>
    </row>
    <row r="134" customFormat="1" s="389">
      <c r="B134" s="708" t="inlineStr">
        <is>
          <t>33. Lợi nhuận gộp/Chi phí lãi vay</t>
        </is>
      </c>
      <c r="C134" s="709" t="n"/>
      <c r="D134" s="707">
        <f>IF(D84&lt;&gt;0,D81/D84,-99999)</f>
        <v/>
      </c>
      <c r="E134" s="707">
        <f>IF(E84&lt;&gt;0,E81/E84,-99999)</f>
        <v/>
      </c>
      <c r="F134" s="707">
        <f>IF(F84&lt;&gt;0,F81/F84,-99999)</f>
        <v/>
      </c>
      <c r="G134" s="707">
        <f>IF(G84&lt;&gt;0,G81/G84,-99999)</f>
        <v/>
      </c>
      <c r="H134" s="707">
        <f>IF(H84&lt;&gt;0,H81/H84,-99999)</f>
        <v/>
      </c>
      <c r="I134" s="308" t="n"/>
      <c r="J134" s="308" t="n"/>
      <c r="K134" s="310" t="n"/>
      <c r="L134" s="310" t="n"/>
      <c r="M134" s="310" t="n"/>
      <c r="N134" s="308" t="n"/>
      <c r="O134" s="308" t="n"/>
      <c r="P134" s="305" t="n"/>
      <c r="Q134" s="308" t="n"/>
      <c r="R134" s="308" t="n"/>
    </row>
    <row r="135" customFormat="1" s="389">
      <c r="B135" s="708" t="inlineStr">
        <is>
          <t>34. Tỷ số lợi nhuận sau thuế trên tổng nợ</t>
        </is>
      </c>
      <c r="C135" s="709" t="n"/>
      <c r="D135" s="707">
        <f>IF(D39&lt;&gt;0,D92/D39,-99999)</f>
        <v/>
      </c>
      <c r="E135" s="707">
        <f>IF(E39&lt;&gt;0,E92/E39,-99999)</f>
        <v/>
      </c>
      <c r="F135" s="707">
        <f>IF(F39&lt;&gt;0,F92/F39,-99999)</f>
        <v/>
      </c>
      <c r="G135" s="707">
        <f>IF(G39&lt;&gt;0,G92/G39,-99999)</f>
        <v/>
      </c>
      <c r="H135" s="707">
        <f>IF(H39&lt;&gt;0,H92/H39,-99999)</f>
        <v/>
      </c>
      <c r="I135" s="308" t="n"/>
      <c r="J135" s="308" t="n"/>
      <c r="K135" s="310" t="n"/>
      <c r="L135" s="310" t="n"/>
      <c r="M135" s="310" t="n"/>
      <c r="N135" s="308" t="n"/>
      <c r="O135" s="308" t="n"/>
      <c r="P135" s="305" t="n"/>
      <c r="Q135" s="308" t="n"/>
      <c r="R135" s="308" t="n"/>
    </row>
    <row r="136" ht="15.75" customFormat="1" customHeight="1" s="389" thickBot="1">
      <c r="B136" s="711" t="inlineStr">
        <is>
          <t>35. EBIT/Tổng nguồn vốn</t>
        </is>
      </c>
      <c r="C136" s="712" t="n"/>
      <c r="D136" s="707">
        <f>IF(D38&lt;&gt;0,(D84+D90)/D38,-99999)</f>
        <v/>
      </c>
      <c r="E136" s="707">
        <f>IF(E38&lt;&gt;0,(E84+E90)/E38,-99999)</f>
        <v/>
      </c>
      <c r="F136" s="707">
        <f>IF(F38&lt;&gt;0,(F84+F90)/F38,-99999)</f>
        <v/>
      </c>
      <c r="G136" s="707">
        <f>IF(G38&lt;&gt;0,(G84+G90)/G38,-99999)</f>
        <v/>
      </c>
      <c r="H136" s="707">
        <f>IF(H38&lt;&gt;0,(H84+H90)/H38,-99999)</f>
        <v/>
      </c>
      <c r="I136" s="308" t="n"/>
      <c r="J136" s="308" t="n"/>
      <c r="K136" s="308" t="n"/>
      <c r="L136" s="308" t="n"/>
      <c r="M136" s="308" t="n"/>
      <c r="N136" s="308" t="n"/>
      <c r="O136" s="308" t="n"/>
      <c r="P136" s="305" t="n"/>
      <c r="Q136" s="308" t="n"/>
      <c r="R136" s="308" t="n"/>
    </row>
    <row r="137" ht="16.5" customHeight="1" s="782" thickBot="1" thickTop="1">
      <c r="B137" s="769" t="inlineStr">
        <is>
          <t>36. Tổng nợ vay/Vốn CSH</t>
        </is>
      </c>
      <c r="D137" s="707">
        <f>IF(D50&lt;&gt;0,D45/D50,-99999)</f>
        <v/>
      </c>
      <c r="E137" s="707">
        <f>IF(E50&lt;&gt;0,E45/E50,-99999)</f>
        <v/>
      </c>
      <c r="F137" s="707">
        <f>IF(F50&lt;&gt;0,F45/F50,-99999)</f>
        <v/>
      </c>
      <c r="G137" s="707">
        <f>IF(G50&lt;&gt;0,G45/G50,-99999)</f>
        <v/>
      </c>
      <c r="H137" s="707">
        <f>IF(H50&lt;&gt;0,H45/H50,-99999)</f>
        <v/>
      </c>
    </row>
    <row r="138" ht="15.75" customHeight="1" s="782" thickTop="1"/>
    <row r="139">
      <c r="B139" s="640" t="inlineStr">
        <is>
          <t>CHỈ TIÊU</t>
        </is>
      </c>
      <c r="C139" s="641" t="n"/>
      <c r="D139" s="642" t="inlineStr">
        <is>
          <t>Điểm TB ngành</t>
        </is>
      </c>
      <c r="E139" s="640" t="n"/>
      <c r="F139" s="640" t="n"/>
      <c r="G139" s="640" t="n"/>
      <c r="H139" s="640" t="n"/>
    </row>
    <row r="140">
      <c r="B140" s="643" t="inlineStr">
        <is>
          <t>Nông Lâm Ngư nghiệp</t>
        </is>
      </c>
      <c r="C140" s="644">
        <f>IF(B140=$G$218,100%,0%)</f>
        <v/>
      </c>
      <c r="D140" s="644" t="n"/>
      <c r="E140" s="644" t="n"/>
      <c r="F140" s="644" t="inlineStr">
        <is>
          <t>Ngành chính</t>
        </is>
      </c>
      <c r="G140" s="645" t="n"/>
      <c r="H140" s="644" t="n"/>
    </row>
    <row r="141">
      <c r="B141" s="646" t="inlineStr">
        <is>
          <t>Chỉ tiêu thanh khoản</t>
        </is>
      </c>
      <c r="C141" s="647" t="n"/>
      <c r="D141" s="648" t="n"/>
      <c r="E141" s="648" t="n"/>
      <c r="F141" s="648" t="n"/>
      <c r="G141" s="648" t="inlineStr">
        <is>
          <t>Trung bình ngành</t>
        </is>
      </c>
      <c r="H141" s="648" t="n"/>
    </row>
    <row r="142">
      <c r="B142" s="649" t="inlineStr">
        <is>
          <t>1.Khả năng thanh toán hiện hành</t>
        </is>
      </c>
      <c r="C142" s="650" t="n"/>
      <c r="D142" s="651" t="n">
        <v>1.25</v>
      </c>
      <c r="E142" s="652">
        <f>C140*D142</f>
        <v/>
      </c>
      <c r="F142" s="651" t="n"/>
      <c r="G142" s="651">
        <f>E142+E162+E182+E202+E222+E242+E262+E281+E301+E321+E341+E361+E381+E401+E421+E441+E461+E481+E501+E521+E541+E561+E581+E601+E621+E641+E661+E681+E701+E721</f>
        <v/>
      </c>
      <c r="H142" s="651" t="n"/>
    </row>
    <row r="143">
      <c r="B143" s="649" t="inlineStr">
        <is>
          <t>2. Khả năng thanh toán nhanh</t>
        </is>
      </c>
      <c r="C143" s="650" t="n"/>
      <c r="D143" s="651" t="n">
        <v>0.65</v>
      </c>
      <c r="E143" s="652">
        <f>D143*C140</f>
        <v/>
      </c>
      <c r="F143" s="651" t="n"/>
      <c r="G143" s="651">
        <f>E143+E163+E183+E203+E223+E243+E263+E282+E302+E322+E342+E362+E382+E402+E422+E442+E462+E482+E502+E522+E542+E562+E582+E602+E622+E642+E662+E682+E702+E722</f>
        <v/>
      </c>
      <c r="H143" s="651" t="n"/>
    </row>
    <row r="144">
      <c r="B144" s="653" t="inlineStr">
        <is>
          <t>3. Khả năng thanh toán tức thời</t>
        </is>
      </c>
      <c r="C144" s="654" t="n"/>
      <c r="D144" s="655" t="n">
        <v>0.28</v>
      </c>
      <c r="E144" s="652">
        <f>D144*C140</f>
        <v/>
      </c>
      <c r="F144" s="651" t="n"/>
      <c r="G144" s="651">
        <f>E144+E164+E184+E204+E224+E244+E264+E283+E303+E323+E343+E363+E383+E403+E423+E443+E463+E483+E503+E523+E543+E563+E583+E603+E623+E643+E663+E683+E703+E723</f>
        <v/>
      </c>
      <c r="H144" s="651" t="n"/>
    </row>
    <row r="145">
      <c r="B145" s="656" t="inlineStr">
        <is>
          <t>Chỉ tiêu hoạt động</t>
        </is>
      </c>
      <c r="C145" s="657" t="n"/>
      <c r="D145" s="658" t="n"/>
      <c r="E145" s="652" t="n"/>
      <c r="F145" s="648" t="n"/>
      <c r="G145" s="651" t="n"/>
      <c r="H145" s="648" t="n"/>
    </row>
    <row r="146">
      <c r="B146" s="659" t="inlineStr">
        <is>
          <t>4. Vòng quay vốn lưu động</t>
        </is>
      </c>
      <c r="C146" s="660" t="n"/>
      <c r="D146" s="661" t="n">
        <v>3.03</v>
      </c>
      <c r="E146" s="652">
        <f>D146*C140</f>
        <v/>
      </c>
      <c r="F146" s="651" t="n"/>
      <c r="G146" s="651">
        <f>E146+E166+E186+E206+E226+E246+E266+E285+E305+E325+E345+E365+E385+E405+E425+E445+E465+E485+E505+E525+E545+E565+E585+E605+E625+E645+E665+E685+E705+E725</f>
        <v/>
      </c>
      <c r="H146" s="651" t="n"/>
    </row>
    <row r="147">
      <c r="B147" s="659" t="inlineStr">
        <is>
          <t>5. Vòng quay hàng tồn kho</t>
        </is>
      </c>
      <c r="C147" s="660" t="n"/>
      <c r="D147" s="661" t="n">
        <v>4.33</v>
      </c>
      <c r="E147" s="652">
        <f>D147*C140</f>
        <v/>
      </c>
      <c r="F147" s="651" t="n"/>
      <c r="G147" s="651">
        <f>E147+E167+E187+E207+E227+E247+E267+E286+E306+E326+E346+E366+E386+E406+E426+E446+E466+E486+E506+E526+E546+E566+E586+E606+E626+E646+E666+E686+E706+E726</f>
        <v/>
      </c>
      <c r="H147" s="651" t="n"/>
    </row>
    <row r="148">
      <c r="B148" s="659" t="inlineStr">
        <is>
          <t>6. Vòng quay các khoản phải thu</t>
        </is>
      </c>
      <c r="C148" s="660" t="n"/>
      <c r="D148" s="661" t="n">
        <v>8.33</v>
      </c>
      <c r="E148" s="652">
        <f>D148*C140</f>
        <v/>
      </c>
      <c r="F148" s="651" t="n"/>
      <c r="G148" s="651">
        <f>E148+E168+E188+E208+E228+E248+E268+E287+E307+E327+E347+E367+E387+E407+E427+E447+E467+E487+E507+E527+E547+E567+E587+E607+E627+E647+E667+E687+E707+E727</f>
        <v/>
      </c>
      <c r="H148" s="651" t="n"/>
    </row>
    <row r="149">
      <c r="B149" s="659" t="inlineStr">
        <is>
          <t>7. Hiệu suất sử dụng TSCĐ</t>
        </is>
      </c>
      <c r="C149" s="660" t="n"/>
      <c r="D149" s="661" t="n">
        <v>1.83</v>
      </c>
      <c r="E149" s="652">
        <f>D149*C140</f>
        <v/>
      </c>
      <c r="F149" s="651" t="n"/>
      <c r="G149" s="651">
        <f>E149+E169+E189+E209+E229+E249+E269+E288+E308+E328+E348+E368+E388+E408+E428+E448+E468+E488+E508+E528+E548+E568+E588+E608+E628+E648+E668+E688+E708+E728</f>
        <v/>
      </c>
      <c r="H149" s="651" t="n"/>
    </row>
    <row r="150">
      <c r="B150" s="656" t="inlineStr">
        <is>
          <t>Chỉ tiêu cân nợ</t>
        </is>
      </c>
      <c r="C150" s="657" t="n"/>
      <c r="D150" s="658" t="n"/>
      <c r="E150" s="652" t="n"/>
      <c r="F150" s="648" t="n"/>
      <c r="G150" s="651" t="n"/>
      <c r="H150" s="648" t="n"/>
    </row>
    <row r="151">
      <c r="B151" s="659" t="inlineStr">
        <is>
          <t>8. Tổng nợ phải trả/ Tổng tài sản</t>
        </is>
      </c>
      <c r="C151" s="660" t="n"/>
      <c r="D151" s="662" t="n">
        <v>0.65</v>
      </c>
      <c r="E151" s="652">
        <f>D151*C140</f>
        <v/>
      </c>
      <c r="F151" s="651" t="n"/>
      <c r="G151" s="663">
        <f>E151+E171+E191+E211+E231+E251+E271+E290+E310+E330+E350+E370+E390+E410+E430+E450+E470+E490+E510+E530+E550+E570+E590+E610+E630+E650+E670+E690+E710+E730</f>
        <v/>
      </c>
      <c r="H151" s="651" t="n"/>
    </row>
    <row r="152">
      <c r="B152" s="659" t="inlineStr">
        <is>
          <t>9. Nợ dài dạn/Vốn CSH</t>
        </is>
      </c>
      <c r="C152" s="660" t="n"/>
      <c r="D152" s="664" t="n">
        <v>0.4267</v>
      </c>
      <c r="E152" s="652">
        <f>D152*C140</f>
        <v/>
      </c>
      <c r="F152" s="651" t="n"/>
      <c r="G152" s="663">
        <f>E152+E172+E192+E212+E232+E252+E272+E291+E311+E331+E351+E371+E391+E411+E431+E451+E471+E491+E511+E531+E551+E571+E591+E611+E631+E651+E671+E691+E711+E731</f>
        <v/>
      </c>
      <c r="H152" s="651" t="n"/>
    </row>
    <row r="153">
      <c r="B153" s="665" t="inlineStr">
        <is>
          <t>10. Tổng nợ/Vốn CSH</t>
        </is>
      </c>
      <c r="C153" s="660" t="n"/>
      <c r="D153" s="662" t="n">
        <v>1.36</v>
      </c>
      <c r="E153" s="652">
        <f>D153*C140</f>
        <v/>
      </c>
      <c r="F153" s="651" t="n"/>
      <c r="G153" s="663">
        <f>E153+E173+E193+E213+E233+E253+E273+E292+E312+E332+E352+E372+E392+E412+E432+E452+E472+E492+E512+E532+E552+E572+E592+E612+E632+E652+E672+E692+E712+E732</f>
        <v/>
      </c>
      <c r="H153" s="651" t="n"/>
    </row>
    <row r="154">
      <c r="B154" s="656" t="inlineStr">
        <is>
          <t>Chỉ tiêu thu nhập</t>
        </is>
      </c>
      <c r="C154" s="657" t="n"/>
      <c r="D154" s="666" t="n"/>
      <c r="E154" s="652" t="n"/>
      <c r="F154" s="648" t="n"/>
      <c r="G154" s="651" t="n"/>
      <c r="H154" s="648" t="n"/>
    </row>
    <row r="155">
      <c r="B155" s="665" t="inlineStr">
        <is>
          <t>11. Lợi nhuận gộp/Doanh thu thuần</t>
        </is>
      </c>
      <c r="C155" s="660" t="n"/>
      <c r="D155" s="664" t="n">
        <v>0.1117</v>
      </c>
      <c r="E155" s="652">
        <f>D155*C140</f>
        <v/>
      </c>
      <c r="F155" s="651" t="n"/>
      <c r="G155" s="663">
        <f>E155+E175+E195+E215+E235+E255+E275+E294+E314+E334+E354+E374+E394+E414+E434+E454+E474+E494+E514+E534+E554+E574+E594+E614+E634+E654+E674+E694+E714+E734</f>
        <v/>
      </c>
      <c r="H155" s="651" t="n"/>
    </row>
    <row r="156">
      <c r="B156" s="665" t="inlineStr">
        <is>
          <t>12. Lợi nhuận từ hoạt động kinh doanh/Doanh thu thuần</t>
        </is>
      </c>
      <c r="C156" s="660" t="n"/>
      <c r="D156" s="664" t="n">
        <v>0.08169999999999999</v>
      </c>
      <c r="E156" s="652">
        <f>D156*C140</f>
        <v/>
      </c>
      <c r="F156" s="651" t="n"/>
      <c r="G156" s="663">
        <f>E156+E176+E196+E216+E236+E256+E276+E295+E315+E335+E355+E375+E395+E415+E435+E455+E475+E495+E515+E535+E555+E575+E595+E615+E635+E655+E675+E695+E715+E735</f>
        <v/>
      </c>
      <c r="H156" s="651" t="n"/>
    </row>
    <row r="157">
      <c r="B157" s="665" t="inlineStr">
        <is>
          <t>13. Lợi nhuận sau thuế/Vốn CSH bình quân</t>
        </is>
      </c>
      <c r="C157" s="660" t="n"/>
      <c r="D157" s="664" t="n">
        <v>0.1683</v>
      </c>
      <c r="E157" s="652">
        <f>D157*C140</f>
        <v/>
      </c>
      <c r="F157" s="651" t="n"/>
      <c r="G157" s="663">
        <f>E157+E177+E197+E217+E237+E257+E277+E296+E316+E336+E356+E376+E396+E416+E436+E456+E476+E496+E516+E536+E556+E576+E596+E616+E636+E656+E676+E696+E716+E736</f>
        <v/>
      </c>
      <c r="H157" s="651" t="n"/>
    </row>
    <row r="158">
      <c r="B158" s="665" t="inlineStr">
        <is>
          <t>14. Lợi nhuận sau thuế/Tổng tài sản bình quân</t>
        </is>
      </c>
      <c r="C158" s="660" t="n"/>
      <c r="D158" s="664" t="n">
        <v>0.06</v>
      </c>
      <c r="E158" s="652">
        <f>D158*C140</f>
        <v/>
      </c>
      <c r="F158" s="651" t="n"/>
      <c r="G158" s="663">
        <f>E158+E178+E198+E218+E238+E258+E278+E297+E317+E337+E357+E377+E397+E417+E437+E457+E477+E497+E517+E537+E557+E577+E597+E617+E637+E657+E677+E697+E717+E737</f>
        <v/>
      </c>
      <c r="H158" s="651" t="n"/>
    </row>
    <row r="159" ht="15.75" customHeight="1" s="782" thickBot="1">
      <c r="B159" s="667" t="inlineStr">
        <is>
          <t>15. EBIT/Chi phí lãi vay</t>
        </is>
      </c>
      <c r="C159" s="668" t="n"/>
      <c r="D159" s="669" t="n">
        <v>2.35</v>
      </c>
      <c r="E159" s="652">
        <f>D159*C140</f>
        <v/>
      </c>
      <c r="F159" s="651" t="n"/>
      <c r="G159" s="651">
        <f>E159+E179+E199+E219+E239+E259+E279+E298+E318+E338+E358+E378+E398+E418+E438+E458+E478+E498+E518+E538+E558+E578+E598+E618+E638+E658+E678+E698+E718+E738</f>
        <v/>
      </c>
      <c r="H159" s="651" t="n"/>
    </row>
    <row r="160" ht="15.75" customHeight="1" s="782" thickTop="1">
      <c r="B160" s="670" t="inlineStr">
        <is>
          <t>Khai khoáng</t>
        </is>
      </c>
      <c r="C160" s="671">
        <f>IF(B160=$G$218,100%,0%)</f>
        <v/>
      </c>
      <c r="D160" s="671" t="n"/>
      <c r="E160" s="644" t="n"/>
      <c r="F160" s="644" t="n"/>
      <c r="G160" s="644" t="n"/>
      <c r="H160" s="644" t="n"/>
    </row>
    <row r="161">
      <c r="B161" s="656" t="inlineStr">
        <is>
          <t>Chỉ tiêu thanh khoản</t>
        </is>
      </c>
      <c r="C161" s="657" t="n"/>
      <c r="D161" s="672" t="n"/>
      <c r="E161" s="648" t="n"/>
      <c r="F161" s="648" t="n"/>
      <c r="G161" s="648" t="n"/>
      <c r="H161" s="648" t="n"/>
    </row>
    <row r="162">
      <c r="B162" s="659" t="inlineStr">
        <is>
          <t>1.Khả năng thanh toán hiện hành</t>
        </is>
      </c>
      <c r="C162" s="673" t="n"/>
      <c r="D162" s="675" t="n">
        <v>0.93</v>
      </c>
      <c r="E162" s="652">
        <f>C160*D162</f>
        <v/>
      </c>
      <c r="F162" s="652" t="n"/>
      <c r="G162" s="652" t="n"/>
      <c r="H162" s="652" t="n"/>
    </row>
    <row r="163">
      <c r="B163" s="659" t="inlineStr">
        <is>
          <t>2. Khả năng thanh toán nhanh</t>
        </is>
      </c>
      <c r="C163" s="673" t="n"/>
      <c r="D163" s="675" t="n">
        <v>0.75</v>
      </c>
      <c r="E163" s="652">
        <f>D163*C160</f>
        <v/>
      </c>
      <c r="F163" s="652" t="n"/>
      <c r="G163" s="652" t="n"/>
      <c r="H163" s="652" t="n"/>
    </row>
    <row r="164">
      <c r="B164" s="659" t="inlineStr">
        <is>
          <t>3. Khả năng thanh toán tức thời</t>
        </is>
      </c>
      <c r="C164" s="673" t="n"/>
      <c r="D164" s="675" t="n">
        <v>0.12</v>
      </c>
      <c r="E164" s="652">
        <f>D164*C160</f>
        <v/>
      </c>
      <c r="F164" s="652" t="n"/>
      <c r="G164" s="652" t="n"/>
      <c r="H164" s="652" t="n"/>
    </row>
    <row r="165">
      <c r="B165" s="656" t="inlineStr">
        <is>
          <t>Chỉ tiêu hoạt động</t>
        </is>
      </c>
      <c r="C165" s="657" t="n"/>
      <c r="D165" s="672" t="n"/>
      <c r="E165" s="652" t="n"/>
      <c r="F165" s="648" t="n"/>
      <c r="G165" s="648" t="n"/>
      <c r="H165" s="648" t="n"/>
    </row>
    <row r="166">
      <c r="B166" s="659" t="inlineStr">
        <is>
          <t>4. Vòng quay vốn lưu động</t>
        </is>
      </c>
      <c r="C166" s="673" t="n"/>
      <c r="D166" s="675" t="n">
        <v>2.77</v>
      </c>
      <c r="E166" s="652">
        <f>D166*C160</f>
        <v/>
      </c>
      <c r="F166" s="652" t="n"/>
      <c r="G166" s="652" t="n"/>
      <c r="H166" s="652" t="n"/>
    </row>
    <row r="167">
      <c r="B167" s="659" t="inlineStr">
        <is>
          <t>5. Vòng quay hàng tồn kho</t>
        </is>
      </c>
      <c r="C167" s="673" t="n"/>
      <c r="D167" s="675" t="n">
        <v>10.83</v>
      </c>
      <c r="E167" s="652">
        <f>D167*C160</f>
        <v/>
      </c>
      <c r="F167" s="652" t="n"/>
      <c r="G167" s="652" t="n"/>
      <c r="H167" s="652" t="n"/>
    </row>
    <row r="168">
      <c r="B168" s="659" t="inlineStr">
        <is>
          <t>6. Vòng quay các khoản phải thu</t>
        </is>
      </c>
      <c r="C168" s="673" t="n"/>
      <c r="D168" s="675" t="n">
        <v>8.67</v>
      </c>
      <c r="E168" s="652">
        <f>D168*C160</f>
        <v/>
      </c>
      <c r="F168" s="652" t="n"/>
      <c r="G168" s="652" t="n"/>
      <c r="H168" s="652" t="n"/>
    </row>
    <row r="169">
      <c r="B169" s="659" t="inlineStr">
        <is>
          <t>7. Hiệu suất sử dụng TSCĐ</t>
        </is>
      </c>
      <c r="C169" s="673" t="n"/>
      <c r="D169" s="675" t="n">
        <v>2.57</v>
      </c>
      <c r="E169" s="652">
        <f>D169*C160</f>
        <v/>
      </c>
      <c r="F169" s="652" t="n"/>
      <c r="G169" s="652" t="n"/>
      <c r="H169" s="652" t="n"/>
    </row>
    <row r="170">
      <c r="B170" s="656" t="inlineStr">
        <is>
          <t>Chỉ tiêu cân nợ</t>
        </is>
      </c>
      <c r="C170" s="657" t="n"/>
      <c r="D170" s="672" t="n"/>
      <c r="E170" s="652" t="n"/>
      <c r="F170" s="648" t="n"/>
      <c r="G170" s="648" t="n"/>
      <c r="H170" s="648" t="n"/>
    </row>
    <row r="171">
      <c r="B171" s="659" t="inlineStr">
        <is>
          <t>8. Tổng nợ phải trả/ Tổng tài sản</t>
        </is>
      </c>
      <c r="C171" s="673" t="n"/>
      <c r="D171" s="676" t="n">
        <v>0.75</v>
      </c>
      <c r="E171" s="652">
        <f>D171*C160</f>
        <v/>
      </c>
      <c r="F171" s="652" t="n"/>
      <c r="G171" s="652" t="n"/>
      <c r="H171" s="652" t="n"/>
    </row>
    <row r="172">
      <c r="B172" s="659" t="inlineStr">
        <is>
          <t>9. Nợ dài dạn/Vốn CSH</t>
        </is>
      </c>
      <c r="C172" s="673" t="n"/>
      <c r="D172" s="676" t="n">
        <v>0.75</v>
      </c>
      <c r="E172" s="652">
        <f>D172*C160</f>
        <v/>
      </c>
      <c r="F172" s="652" t="n"/>
      <c r="G172" s="652" t="n"/>
      <c r="H172" s="652" t="n"/>
    </row>
    <row r="173">
      <c r="B173" s="665" t="inlineStr">
        <is>
          <t>10. Tổng nợ/Vốn CSH</t>
        </is>
      </c>
      <c r="C173" s="673" t="n"/>
      <c r="D173" s="676" t="n">
        <v>2.51</v>
      </c>
      <c r="E173" s="652">
        <f>D173*C160</f>
        <v/>
      </c>
      <c r="F173" s="652" t="n"/>
      <c r="G173" s="652" t="n"/>
      <c r="H173" s="652" t="n"/>
    </row>
    <row r="174">
      <c r="B174" s="656" t="inlineStr">
        <is>
          <t>Chỉ tiêu thu nhập</t>
        </is>
      </c>
      <c r="C174" s="657" t="n"/>
      <c r="D174" s="672" t="n"/>
      <c r="E174" s="652" t="n"/>
      <c r="F174" s="648" t="n"/>
      <c r="G174" s="648" t="n"/>
      <c r="H174" s="648" t="n"/>
    </row>
    <row r="175">
      <c r="B175" s="665" t="inlineStr">
        <is>
          <t>11. Lợi nhuận gộp/Doanh thu thuần</t>
        </is>
      </c>
      <c r="C175" s="673" t="n"/>
      <c r="D175" s="677" t="n">
        <v>0.125</v>
      </c>
      <c r="E175" s="652">
        <f>D175*C160</f>
        <v/>
      </c>
      <c r="F175" s="652" t="n"/>
      <c r="G175" s="652" t="n"/>
      <c r="H175" s="652" t="n"/>
    </row>
    <row r="176">
      <c r="B176" s="665" t="inlineStr">
        <is>
          <t>12. Lợi nhuận từ hoạt động kinh doanh/Doanh thu thuần</t>
        </is>
      </c>
      <c r="C176" s="673" t="n"/>
      <c r="D176" s="677" t="n">
        <v>0.0717</v>
      </c>
      <c r="E176" s="652">
        <f>D176*C160</f>
        <v/>
      </c>
      <c r="F176" s="652" t="n"/>
      <c r="G176" s="652" t="n"/>
      <c r="H176" s="652" t="n"/>
    </row>
    <row r="177">
      <c r="B177" s="665" t="inlineStr">
        <is>
          <t>13. Lợi nhuận sau thuế/Vốn CSH bình quân</t>
        </is>
      </c>
      <c r="C177" s="673" t="n"/>
      <c r="D177" s="677" t="n">
        <v>0.1317</v>
      </c>
      <c r="E177" s="652">
        <f>D177*C160</f>
        <v/>
      </c>
      <c r="F177" s="652" t="n"/>
      <c r="G177" s="652" t="n"/>
      <c r="H177" s="652" t="n"/>
    </row>
    <row r="178">
      <c r="B178" s="665" t="inlineStr">
        <is>
          <t>14. Lợi nhuận sau thuế/Tổng tài sản bình quân</t>
        </is>
      </c>
      <c r="C178" s="673" t="n"/>
      <c r="D178" s="677" t="n">
        <v>0.0733</v>
      </c>
      <c r="E178" s="652">
        <f>D178*C160</f>
        <v/>
      </c>
      <c r="F178" s="652" t="n"/>
      <c r="G178" s="652" t="n"/>
      <c r="H178" s="652" t="n"/>
    </row>
    <row r="179" ht="15.75" customHeight="1" s="782" thickBot="1">
      <c r="B179" s="667" t="inlineStr">
        <is>
          <t>15. EBIT/Chi phí lãi vay</t>
        </is>
      </c>
      <c r="C179" s="678" t="n"/>
      <c r="D179" s="679" t="n">
        <v>2</v>
      </c>
      <c r="E179" s="652">
        <f>D179*C160</f>
        <v/>
      </c>
      <c r="F179" s="652" t="n"/>
      <c r="G179" s="652" t="n"/>
      <c r="H179" s="652" t="n"/>
    </row>
    <row r="180" ht="15.75" customHeight="1" s="782" thickTop="1">
      <c r="B180" s="670" t="inlineStr">
        <is>
          <t>Chế biến  thủy hải sản</t>
        </is>
      </c>
      <c r="C180" s="671">
        <f>IF(B180=$G$218,100%,0%)</f>
        <v/>
      </c>
      <c r="D180" s="671" t="n"/>
      <c r="E180" s="644" t="n"/>
      <c r="F180" s="644" t="n"/>
      <c r="G180" s="644" t="n"/>
      <c r="H180" s="644" t="n"/>
    </row>
    <row r="181">
      <c r="B181" s="656" t="inlineStr">
        <is>
          <t>Chỉ tiêu thanh khoản</t>
        </is>
      </c>
      <c r="C181" s="657" t="n"/>
      <c r="D181" s="672" t="n"/>
      <c r="E181" s="648" t="n"/>
      <c r="F181" s="648" t="n"/>
      <c r="G181" s="648" t="n"/>
      <c r="H181" s="648" t="n"/>
    </row>
    <row r="182">
      <c r="B182" s="659" t="inlineStr">
        <is>
          <t>1.Khả năng thanh toán hiện hành</t>
        </is>
      </c>
      <c r="C182" s="680" t="n"/>
      <c r="D182" s="675" t="n">
        <v>0.97</v>
      </c>
      <c r="E182" s="652">
        <f>C180*D182</f>
        <v/>
      </c>
      <c r="F182" s="652" t="n"/>
      <c r="G182" s="652" t="n"/>
      <c r="H182" s="652" t="n"/>
    </row>
    <row r="183">
      <c r="B183" s="659" t="inlineStr">
        <is>
          <t>2. Khả năng thanh toán nhanh</t>
        </is>
      </c>
      <c r="C183" s="680" t="n"/>
      <c r="D183" s="675" t="n">
        <v>0.5</v>
      </c>
      <c r="E183" s="652">
        <f>D183*C180</f>
        <v/>
      </c>
      <c r="F183" s="652" t="n"/>
      <c r="G183" s="652" t="n"/>
      <c r="H183" s="652" t="n"/>
    </row>
    <row r="184">
      <c r="B184" s="659" t="inlineStr">
        <is>
          <t>3. Khả năng thanh toán tức thời</t>
        </is>
      </c>
      <c r="C184" s="680" t="n"/>
      <c r="D184" s="675" t="n">
        <v>0.12</v>
      </c>
      <c r="E184" s="652">
        <f>D184*C180</f>
        <v/>
      </c>
      <c r="F184" s="652" t="n"/>
      <c r="G184" s="652" t="n"/>
      <c r="H184" s="652" t="n"/>
    </row>
    <row r="185">
      <c r="B185" s="656" t="inlineStr">
        <is>
          <t>Chỉ tiêu hoạt động</t>
        </is>
      </c>
      <c r="C185" s="657" t="n"/>
      <c r="D185" s="672" t="n"/>
      <c r="E185" s="652" t="n"/>
      <c r="F185" s="648" t="n"/>
      <c r="G185" s="648" t="n"/>
      <c r="H185" s="648" t="n"/>
    </row>
    <row r="186">
      <c r="B186" s="659" t="inlineStr">
        <is>
          <t>4. Vòng quay vốn lưu động</t>
        </is>
      </c>
      <c r="C186" s="680" t="n"/>
      <c r="D186" s="681" t="n">
        <v>2.83</v>
      </c>
      <c r="E186" s="652">
        <f>D186*C180</f>
        <v/>
      </c>
      <c r="F186" s="652" t="n"/>
      <c r="G186" s="652" t="n"/>
      <c r="H186" s="652" t="n"/>
    </row>
    <row r="187">
      <c r="B187" s="659" t="inlineStr">
        <is>
          <t>5. Vòng quay hàng tồn kho</t>
        </is>
      </c>
      <c r="C187" s="680" t="n"/>
      <c r="D187" s="675" t="n">
        <v>4.33</v>
      </c>
      <c r="E187" s="652">
        <f>D187*C180</f>
        <v/>
      </c>
      <c r="F187" s="652" t="n"/>
      <c r="G187" s="652" t="n"/>
      <c r="H187" s="652" t="n"/>
    </row>
    <row r="188">
      <c r="B188" s="659" t="inlineStr">
        <is>
          <t>6. Vòng quay các khoản phải thu</t>
        </is>
      </c>
      <c r="C188" s="680" t="n"/>
      <c r="D188" s="675" t="n">
        <v>7.67</v>
      </c>
      <c r="E188" s="652">
        <f>D188*C180</f>
        <v/>
      </c>
      <c r="F188" s="652" t="n"/>
      <c r="G188" s="652" t="n"/>
      <c r="H188" s="652" t="n"/>
    </row>
    <row r="189">
      <c r="B189" s="659" t="inlineStr">
        <is>
          <t>7. Hiệu suất sử dụng TSCĐ</t>
        </is>
      </c>
      <c r="C189" s="680" t="n"/>
      <c r="D189" s="675" t="n">
        <v>1.83</v>
      </c>
      <c r="E189" s="652">
        <f>D189*C180</f>
        <v/>
      </c>
      <c r="F189" s="652" t="n"/>
      <c r="G189" s="652" t="n"/>
      <c r="H189" s="682" t="n"/>
    </row>
    <row r="190">
      <c r="B190" s="656" t="inlineStr">
        <is>
          <t>Chỉ tiêu cân nợ</t>
        </is>
      </c>
      <c r="C190" s="657" t="n"/>
      <c r="D190" s="672" t="n"/>
      <c r="E190" s="652" t="n"/>
      <c r="F190" s="648" t="n"/>
      <c r="G190" s="648" t="n"/>
      <c r="H190" s="648" t="n"/>
    </row>
    <row r="191">
      <c r="B191" s="659" t="inlineStr">
        <is>
          <t>8. Tổng nợ phải trả/ Tổng tài sản</t>
        </is>
      </c>
      <c r="C191" s="680" t="n"/>
      <c r="D191" s="676" t="n">
        <v>0.75</v>
      </c>
      <c r="E191" s="652">
        <f>D191*C180</f>
        <v/>
      </c>
      <c r="F191" s="652" t="n"/>
      <c r="G191" s="652" t="n"/>
      <c r="H191" s="652" t="n"/>
    </row>
    <row r="192">
      <c r="B192" s="659" t="inlineStr">
        <is>
          <t>9. Nợ dài dạn/Vốn CSH</t>
        </is>
      </c>
      <c r="C192" s="680" t="n"/>
      <c r="D192" s="676" t="n">
        <v>0.73</v>
      </c>
      <c r="E192" s="652">
        <f>D192*C180</f>
        <v/>
      </c>
      <c r="F192" s="652" t="n"/>
      <c r="G192" s="652" t="n"/>
      <c r="H192" s="652" t="n"/>
    </row>
    <row r="193">
      <c r="B193" s="659" t="inlineStr">
        <is>
          <t>10. Tổng nợ/Vốn CSH</t>
        </is>
      </c>
      <c r="C193" s="680" t="n"/>
      <c r="D193" s="676" t="n">
        <v>2.51</v>
      </c>
      <c r="E193" s="652">
        <f>D193*C180</f>
        <v/>
      </c>
      <c r="F193" s="652" t="n"/>
      <c r="G193" s="652" t="n"/>
      <c r="H193" s="652" t="n"/>
    </row>
    <row r="194">
      <c r="B194" s="656" t="inlineStr">
        <is>
          <t>Chỉ tiêu thu nhập</t>
        </is>
      </c>
      <c r="C194" s="657" t="n"/>
      <c r="D194" s="672" t="n"/>
      <c r="E194" s="652" t="n"/>
      <c r="F194" s="648" t="n"/>
      <c r="G194" s="648" t="n"/>
      <c r="H194" s="648" t="n"/>
    </row>
    <row r="195">
      <c r="B195" s="665" t="inlineStr">
        <is>
          <t>11. Lợi nhuận gộp/Doanh thu thuần</t>
        </is>
      </c>
      <c r="C195" s="680" t="n"/>
      <c r="D195" s="676" t="n">
        <v>0.12</v>
      </c>
      <c r="E195" s="652">
        <f>D195*C180</f>
        <v/>
      </c>
      <c r="F195" s="652" t="n"/>
      <c r="G195" s="652" t="n"/>
      <c r="H195" s="652" t="n"/>
    </row>
    <row r="196">
      <c r="B196" s="665" t="inlineStr">
        <is>
          <t>12. Lợi nhuận từ hoạt động kinh doanh/Doanh thu thuần</t>
        </is>
      </c>
      <c r="C196" s="680" t="n"/>
      <c r="D196" s="676" t="n">
        <v>0.05</v>
      </c>
      <c r="E196" s="652">
        <f>D196*C180</f>
        <v/>
      </c>
      <c r="F196" s="652" t="n"/>
      <c r="G196" s="652" t="n"/>
      <c r="H196" s="652" t="n"/>
    </row>
    <row r="197">
      <c r="B197" s="665" t="inlineStr">
        <is>
          <t>13. Lợi nhuận sau thuế/Vốn CSH bình quân</t>
        </is>
      </c>
      <c r="C197" s="680" t="n"/>
      <c r="D197" s="676" t="n">
        <v>0.16</v>
      </c>
      <c r="E197" s="652">
        <f>D197*C180</f>
        <v/>
      </c>
      <c r="F197" s="652" t="n"/>
      <c r="G197" s="652" t="n"/>
      <c r="H197" s="652" t="n"/>
    </row>
    <row r="198">
      <c r="B198" s="665" t="inlineStr">
        <is>
          <t>14. Lợi nhuận sau thuế/Tổng tài sản bình quân</t>
        </is>
      </c>
      <c r="C198" s="680" t="n"/>
      <c r="D198" s="677" t="n">
        <v>0.0533</v>
      </c>
      <c r="E198" s="652">
        <f>D198*C180</f>
        <v/>
      </c>
      <c r="F198" s="652" t="n"/>
      <c r="G198" s="652" t="n"/>
      <c r="H198" s="652" t="n"/>
    </row>
    <row r="199" ht="15.75" customHeight="1" s="782" thickBot="1">
      <c r="B199" s="667" t="inlineStr">
        <is>
          <t>15. EBIT/Chi phí lãi vay</t>
        </is>
      </c>
      <c r="C199" s="683" t="n"/>
      <c r="D199" s="679" t="n">
        <v>2.5</v>
      </c>
      <c r="E199" s="652">
        <f>D199*C180</f>
        <v/>
      </c>
      <c r="F199" s="652" t="n"/>
      <c r="G199" s="652" t="n"/>
      <c r="H199" s="652" t="n"/>
    </row>
    <row r="200" ht="29.25" customHeight="1" s="782" thickTop="1">
      <c r="B200" s="670" t="inlineStr">
        <is>
          <t>Sản xuất, chế biến lương thực thực phẩm, đồ uống, thức ăn chăn nuôi.</t>
        </is>
      </c>
      <c r="C200" s="671">
        <f>IF(B200=$G$218,100%,0%)</f>
        <v/>
      </c>
      <c r="D200" s="671" t="n"/>
      <c r="E200" s="644" t="n"/>
      <c r="F200" s="644" t="n"/>
      <c r="G200" s="644" t="n"/>
      <c r="H200" s="644" t="n"/>
    </row>
    <row r="201">
      <c r="B201" s="656" t="inlineStr">
        <is>
          <t>Chỉ tiêu thanh khoản</t>
        </is>
      </c>
      <c r="C201" s="657" t="n"/>
      <c r="D201" s="672" t="n"/>
      <c r="E201" s="648" t="n"/>
      <c r="F201" s="648" t="n"/>
      <c r="G201" s="648" t="n"/>
      <c r="H201" s="648" t="n"/>
    </row>
    <row r="202">
      <c r="B202" s="659" t="inlineStr">
        <is>
          <t>1.Khả năng thanh toán hiện hành</t>
        </is>
      </c>
      <c r="C202" s="673" t="n"/>
      <c r="D202" s="675" t="n">
        <v>1.07</v>
      </c>
      <c r="E202" s="652">
        <f>C200*D202</f>
        <v/>
      </c>
      <c r="F202" s="652" t="n"/>
      <c r="G202" s="652" t="n"/>
      <c r="H202" s="652" t="n"/>
    </row>
    <row r="203">
      <c r="B203" s="659" t="inlineStr">
        <is>
          <t>2. Khả năng thanh toán nhanh</t>
        </is>
      </c>
      <c r="C203" s="673" t="n"/>
      <c r="D203" s="675" t="n">
        <v>0.52</v>
      </c>
      <c r="E203" s="652">
        <f>D203*C200</f>
        <v/>
      </c>
      <c r="F203" s="652" t="n"/>
      <c r="G203" s="652" t="n"/>
      <c r="H203" s="652" t="n"/>
    </row>
    <row r="204">
      <c r="B204" s="659" t="inlineStr">
        <is>
          <t>3. Khả năng thanh toán tức thời</t>
        </is>
      </c>
      <c r="C204" s="673" t="n"/>
      <c r="D204" s="675" t="n">
        <v>0.11</v>
      </c>
      <c r="E204" s="652">
        <f>D204*C200</f>
        <v/>
      </c>
      <c r="F204" s="652" t="n"/>
      <c r="G204" s="652" t="n"/>
      <c r="H204" s="652" t="n"/>
    </row>
    <row r="205">
      <c r="B205" s="656" t="inlineStr">
        <is>
          <t>Chỉ tiêu hoạt động</t>
        </is>
      </c>
      <c r="C205" s="657" t="n"/>
      <c r="D205" s="672" t="n"/>
      <c r="E205" s="652" t="n"/>
      <c r="F205" s="648" t="n"/>
      <c r="G205" s="648" t="n"/>
      <c r="H205" s="648" t="n"/>
    </row>
    <row r="206">
      <c r="B206" s="659" t="inlineStr">
        <is>
          <t>4. Vòng quay vốn lưu động</t>
        </is>
      </c>
      <c r="C206" s="673" t="n"/>
      <c r="D206" s="675" t="n">
        <v>3.7</v>
      </c>
      <c r="E206" s="652">
        <f>D206*C200</f>
        <v/>
      </c>
      <c r="F206" s="652" t="n"/>
      <c r="G206" s="652" t="n"/>
      <c r="H206" s="652" t="n"/>
    </row>
    <row r="207">
      <c r="B207" s="659" t="inlineStr">
        <is>
          <t>5. Vòng quay hàng tồn kho</t>
        </is>
      </c>
      <c r="C207" s="673" t="n"/>
      <c r="D207" s="675" t="n">
        <v>7.33</v>
      </c>
      <c r="E207" s="652">
        <f>D207*C200</f>
        <v/>
      </c>
      <c r="F207" s="652" t="n"/>
      <c r="G207" s="652" t="n"/>
      <c r="H207" s="652" t="n"/>
    </row>
    <row r="208">
      <c r="B208" s="659" t="inlineStr">
        <is>
          <t>6. Vòng quay các khoản phải thu</t>
        </is>
      </c>
      <c r="C208" s="673" t="n"/>
      <c r="D208" s="675" t="n">
        <v>8</v>
      </c>
      <c r="E208" s="652">
        <f>D208*C200</f>
        <v/>
      </c>
      <c r="F208" s="652" t="n"/>
      <c r="G208" s="652" t="n"/>
      <c r="H208" s="652" t="n"/>
    </row>
    <row r="209">
      <c r="B209" s="659" t="inlineStr">
        <is>
          <t>7. Hiệu suất sử dụng TSCĐ</t>
        </is>
      </c>
      <c r="C209" s="673" t="n"/>
      <c r="D209" s="675" t="n">
        <v>5</v>
      </c>
      <c r="E209" s="652">
        <f>D209*C200</f>
        <v/>
      </c>
      <c r="F209" s="652" t="n"/>
      <c r="G209" s="652" t="n"/>
      <c r="H209" s="652" t="n"/>
    </row>
    <row r="210">
      <c r="B210" s="656" t="inlineStr">
        <is>
          <t>Chỉ tiêu cân nợ</t>
        </is>
      </c>
      <c r="C210" s="657" t="n"/>
      <c r="D210" s="672" t="n"/>
      <c r="E210" s="652" t="n"/>
      <c r="F210" s="648" t="n"/>
      <c r="G210" s="648" t="n"/>
      <c r="H210" s="648" t="n"/>
    </row>
    <row r="211">
      <c r="B211" s="659" t="inlineStr">
        <is>
          <t>8. Tổng nợ phải trả/ Tổng tài sản</t>
        </is>
      </c>
      <c r="C211" s="673" t="n"/>
      <c r="D211" s="676" t="n">
        <v>0.72</v>
      </c>
      <c r="E211" s="652">
        <f>D211*C200</f>
        <v/>
      </c>
      <c r="F211" s="652" t="n"/>
      <c r="G211" s="652" t="n"/>
      <c r="H211" s="652" t="n"/>
    </row>
    <row r="212">
      <c r="B212" s="659" t="inlineStr">
        <is>
          <t>9. Nợ dài dạn/Vốn CSH</t>
        </is>
      </c>
      <c r="C212" s="673" t="n"/>
      <c r="D212" s="676" t="n">
        <v>0.86</v>
      </c>
      <c r="E212" s="652">
        <f>D212*C200</f>
        <v/>
      </c>
      <c r="F212" s="652" t="n"/>
      <c r="G212" s="652" t="n"/>
      <c r="H212" s="652" t="n"/>
    </row>
    <row r="213">
      <c r="B213" s="665" t="inlineStr">
        <is>
          <t>10. Tổng nợ/Vốn CSH</t>
        </is>
      </c>
      <c r="C213" s="673" t="n"/>
      <c r="D213" s="676" t="n">
        <v>1.84</v>
      </c>
      <c r="E213" s="652">
        <f>D213*C200</f>
        <v/>
      </c>
      <c r="F213" s="652" t="n"/>
      <c r="G213" s="652" t="n"/>
      <c r="H213" s="652" t="n"/>
    </row>
    <row r="214">
      <c r="B214" s="656" t="inlineStr">
        <is>
          <t>Chỉ tiêu thu nhập</t>
        </is>
      </c>
      <c r="C214" s="657" t="n"/>
      <c r="D214" s="672" t="n"/>
      <c r="E214" s="652" t="n"/>
      <c r="F214" s="648" t="n"/>
      <c r="G214" s="648" t="n"/>
      <c r="H214" s="648" t="n"/>
    </row>
    <row r="215">
      <c r="B215" s="665" t="inlineStr">
        <is>
          <t>11. Lợi nhuận gộp/Doanh thu thuần</t>
        </is>
      </c>
      <c r="C215" s="673" t="n"/>
      <c r="D215" s="677" t="n">
        <v>0.172</v>
      </c>
      <c r="E215" s="652">
        <f>D215*C200</f>
        <v/>
      </c>
      <c r="F215" s="652" t="n"/>
      <c r="G215" s="652" t="n"/>
      <c r="H215" s="652" t="n"/>
    </row>
    <row r="216" ht="30" customHeight="1" s="782">
      <c r="B216" s="665" t="inlineStr">
        <is>
          <t>12. Lợi nhuận từ hoạt động kinh doanh (ngoài thu nhập từ hoạt động tài chính)/Doanh thu thuần</t>
        </is>
      </c>
      <c r="C216" s="673" t="n"/>
      <c r="D216" s="677" t="n">
        <v>0.08500000000000001</v>
      </c>
      <c r="E216" s="652">
        <f>D216*C200</f>
        <v/>
      </c>
      <c r="F216" s="652" t="n"/>
      <c r="G216" s="652" t="n"/>
      <c r="H216" s="652" t="n"/>
    </row>
    <row r="217">
      <c r="B217" s="665" t="inlineStr">
        <is>
          <t>13. Lợi nhuận sau thuế/Vốn CSH bình quân</t>
        </is>
      </c>
      <c r="C217" s="673" t="n"/>
      <c r="D217" s="677" t="n">
        <v>0.1633</v>
      </c>
      <c r="E217" s="652">
        <f>D217*C200</f>
        <v/>
      </c>
      <c r="F217" s="652" t="n"/>
      <c r="G217" s="652" t="n"/>
      <c r="H217" s="652" t="n"/>
    </row>
    <row r="218">
      <c r="B218" s="665" t="inlineStr">
        <is>
          <t>14. Lợi nhuận sau thuế/Tổng tài sản bình quân</t>
        </is>
      </c>
      <c r="C218" s="673" t="n"/>
      <c r="D218" s="677" t="n">
        <v>0.07829999999999999</v>
      </c>
      <c r="E218" s="652">
        <f>D218*C200</f>
        <v/>
      </c>
      <c r="F218" s="652" t="n"/>
      <c r="G218" s="652" t="n"/>
      <c r="H218" s="652" t="n"/>
    </row>
    <row r="219" ht="15.75" customHeight="1" s="782" thickBot="1">
      <c r="B219" s="667" t="inlineStr">
        <is>
          <t>15. EBIT/Chi phí lãi vay</t>
        </is>
      </c>
      <c r="C219" s="678" t="n"/>
      <c r="D219" s="679" t="n">
        <v>2.4</v>
      </c>
      <c r="E219" s="652">
        <f>D219*C200</f>
        <v/>
      </c>
      <c r="F219" s="652" t="n"/>
      <c r="G219" s="652" t="n"/>
      <c r="H219" s="652" t="n"/>
    </row>
    <row r="220" ht="15.75" customHeight="1" s="782" thickTop="1">
      <c r="B220" s="670" t="inlineStr">
        <is>
          <t>Dệt may, sản xuất da dày, sản xuất trang phục</t>
        </is>
      </c>
      <c r="C220" s="671">
        <f>IF(B220=$G$218,100%,0%)</f>
        <v/>
      </c>
      <c r="D220" s="671" t="n"/>
      <c r="E220" s="644" t="n"/>
      <c r="F220" s="644" t="n"/>
      <c r="G220" s="644" t="n"/>
      <c r="H220" s="644" t="n"/>
    </row>
    <row r="221">
      <c r="B221" s="656" t="inlineStr">
        <is>
          <t>Chỉ tiêu thanh khoản</t>
        </is>
      </c>
      <c r="C221" s="657" t="n"/>
      <c r="D221" s="672" t="n"/>
      <c r="E221" s="648" t="n"/>
      <c r="F221" s="648" t="n"/>
      <c r="G221" s="648" t="n"/>
      <c r="H221" s="648" t="n"/>
    </row>
    <row r="222">
      <c r="B222" s="659" t="inlineStr">
        <is>
          <t>1.Khả năng thanh toán hiện hành</t>
        </is>
      </c>
      <c r="C222" s="673" t="n"/>
      <c r="D222" s="675" t="n">
        <v>1.07</v>
      </c>
      <c r="E222" s="652">
        <f>C220*D222</f>
        <v/>
      </c>
      <c r="F222" s="652" t="n"/>
      <c r="G222" s="652" t="n"/>
      <c r="H222" s="652" t="n"/>
    </row>
    <row r="223">
      <c r="B223" s="659" t="inlineStr">
        <is>
          <t>2. Khả năng thanh toán nhanh</t>
        </is>
      </c>
      <c r="C223" s="673" t="n"/>
      <c r="D223" s="675" t="n">
        <v>0.55</v>
      </c>
      <c r="E223" s="652">
        <f>D223*C220</f>
        <v/>
      </c>
      <c r="F223" s="652" t="n"/>
      <c r="G223" s="652" t="n"/>
      <c r="H223" s="652" t="n"/>
    </row>
    <row r="224">
      <c r="B224" s="659" t="inlineStr">
        <is>
          <t>3. Khả năng thanh toán tức thời</t>
        </is>
      </c>
      <c r="C224" s="673" t="n"/>
      <c r="D224" s="675" t="n">
        <v>0.13</v>
      </c>
      <c r="E224" s="652">
        <f>D224*C220</f>
        <v/>
      </c>
      <c r="F224" s="652" t="n"/>
      <c r="G224" s="652" t="n"/>
      <c r="H224" s="652" t="n"/>
    </row>
    <row r="225">
      <c r="B225" s="656" t="inlineStr">
        <is>
          <t>Chỉ tiêu hoạt động</t>
        </is>
      </c>
      <c r="C225" s="657" t="n"/>
      <c r="D225" s="672" t="n"/>
      <c r="E225" s="652" t="n"/>
      <c r="F225" s="648" t="n"/>
      <c r="G225" s="648" t="n"/>
      <c r="H225" s="648" t="n"/>
    </row>
    <row r="226">
      <c r="B226" s="659" t="inlineStr">
        <is>
          <t>4. Vòng quay vốn lưu động</t>
        </is>
      </c>
      <c r="C226" s="673" t="n"/>
      <c r="D226" s="675" t="n">
        <v>2.85</v>
      </c>
      <c r="E226" s="652">
        <f>D226*C220</f>
        <v/>
      </c>
      <c r="F226" s="652" t="n"/>
      <c r="G226" s="652" t="n"/>
      <c r="H226" s="652" t="n"/>
    </row>
    <row r="227">
      <c r="B227" s="659" t="inlineStr">
        <is>
          <t>5. Vòng quay hàng tồn kho</t>
        </is>
      </c>
      <c r="C227" s="673" t="n"/>
      <c r="D227" s="675" t="n">
        <v>5.57</v>
      </c>
      <c r="E227" s="652">
        <f>D227*C220</f>
        <v/>
      </c>
      <c r="F227" s="652" t="n"/>
      <c r="G227" s="652" t="n"/>
      <c r="H227" s="652" t="n"/>
    </row>
    <row r="228">
      <c r="B228" s="659" t="inlineStr">
        <is>
          <t>6. Vòng quay các khoản phải thu</t>
        </is>
      </c>
      <c r="C228" s="673" t="n"/>
      <c r="D228" s="675" t="n">
        <v>6</v>
      </c>
      <c r="E228" s="652">
        <f>D228*C220</f>
        <v/>
      </c>
      <c r="F228" s="652" t="n"/>
      <c r="G228" s="652" t="n"/>
      <c r="H228" s="652" t="n"/>
    </row>
    <row r="229">
      <c r="B229" s="659" t="inlineStr">
        <is>
          <t>7. Hiệu suất sử dụng TSCĐ</t>
        </is>
      </c>
      <c r="C229" s="673" t="n"/>
      <c r="D229" s="675" t="n">
        <v>3.83</v>
      </c>
      <c r="E229" s="652">
        <f>D229*C220</f>
        <v/>
      </c>
      <c r="F229" s="652" t="n"/>
      <c r="G229" s="652" t="n"/>
      <c r="H229" s="652" t="n"/>
    </row>
    <row r="230">
      <c r="B230" s="656" t="inlineStr">
        <is>
          <t>Chỉ tiêu cân nợ</t>
        </is>
      </c>
      <c r="C230" s="657" t="n"/>
      <c r="D230" s="672" t="n"/>
      <c r="E230" s="652" t="n"/>
      <c r="F230" s="648" t="n"/>
      <c r="G230" s="648" t="n"/>
      <c r="H230" s="648" t="n"/>
    </row>
    <row r="231">
      <c r="B231" s="659" t="inlineStr">
        <is>
          <t>8. Tổng nợ phải trả/ Tổng tài sản</t>
        </is>
      </c>
      <c r="C231" s="673" t="n"/>
      <c r="D231" s="676" t="n">
        <v>0.76</v>
      </c>
      <c r="E231" s="652">
        <f>D231*C220</f>
        <v/>
      </c>
      <c r="F231" s="652" t="n"/>
      <c r="G231" s="652" t="n"/>
      <c r="H231" s="652" t="n"/>
    </row>
    <row r="232">
      <c r="B232" s="659" t="inlineStr">
        <is>
          <t>9. Nợ dài dạn/Vốn CSH</t>
        </is>
      </c>
      <c r="C232" s="673" t="n"/>
      <c r="D232" s="676" t="n">
        <v>0.83</v>
      </c>
      <c r="E232" s="652">
        <f>D232*C220</f>
        <v/>
      </c>
      <c r="F232" s="652" t="n"/>
      <c r="G232" s="652" t="n"/>
      <c r="H232" s="652" t="n"/>
    </row>
    <row r="233">
      <c r="B233" s="659" t="inlineStr">
        <is>
          <t>10. Tổng nợ/Vốn CSH</t>
        </is>
      </c>
      <c r="C233" s="673" t="n"/>
      <c r="D233" s="676" t="n">
        <v>2.19</v>
      </c>
      <c r="E233" s="652">
        <f>D233*C220</f>
        <v/>
      </c>
      <c r="F233" s="652" t="n"/>
      <c r="G233" s="652" t="n"/>
      <c r="H233" s="652" t="n"/>
    </row>
    <row r="234">
      <c r="B234" s="656" t="inlineStr">
        <is>
          <t>Chỉ tiêu thu nhập</t>
        </is>
      </c>
      <c r="C234" s="657" t="n"/>
      <c r="D234" s="672" t="n"/>
      <c r="E234" s="652" t="n"/>
      <c r="F234" s="648" t="n"/>
      <c r="G234" s="648" t="n"/>
      <c r="H234" s="648" t="n"/>
    </row>
    <row r="235">
      <c r="B235" s="665" t="inlineStr">
        <is>
          <t>11. Lợi nhuận gộp/Doanh thu thuần</t>
        </is>
      </c>
      <c r="C235" s="673" t="n"/>
      <c r="D235" s="676" t="n">
        <v>0.13</v>
      </c>
      <c r="E235" s="652">
        <f>D235*C220</f>
        <v/>
      </c>
      <c r="F235" s="652" t="n"/>
      <c r="G235" s="652" t="n"/>
      <c r="H235" s="652" t="n"/>
    </row>
    <row r="236">
      <c r="B236" s="665" t="inlineStr">
        <is>
          <t>12. Lợi nhuận từ hoạt động kinh doanh/Doanh thu thuần</t>
        </is>
      </c>
      <c r="C236" s="673" t="n"/>
      <c r="D236" s="676" t="n">
        <v>0.06</v>
      </c>
      <c r="E236" s="652">
        <f>D236*C220</f>
        <v/>
      </c>
      <c r="F236" s="652" t="n"/>
      <c r="G236" s="652" t="n"/>
      <c r="H236" s="652" t="n"/>
    </row>
    <row r="237">
      <c r="B237" s="665" t="inlineStr">
        <is>
          <t>13. Lợi nhuận sau thuế/Vốn CSH bình quân</t>
        </is>
      </c>
      <c r="C237" s="673" t="n"/>
      <c r="D237" s="676" t="n">
        <v>0.13</v>
      </c>
      <c r="E237" s="652">
        <f>D237*C220</f>
        <v/>
      </c>
      <c r="F237" s="652" t="n"/>
      <c r="G237" s="652" t="n"/>
      <c r="H237" s="652" t="n"/>
    </row>
    <row r="238">
      <c r="B238" s="665" t="inlineStr">
        <is>
          <t>14. Lợi nhuận sau thuế/Tổng tài sản bình quân</t>
        </is>
      </c>
      <c r="C238" s="673" t="n"/>
      <c r="D238" s="677" t="n">
        <v>0.045</v>
      </c>
      <c r="E238" s="652">
        <f>D238*C220</f>
        <v/>
      </c>
      <c r="F238" s="652" t="n"/>
      <c r="G238" s="652" t="n"/>
      <c r="H238" s="652" t="n"/>
    </row>
    <row r="239" ht="15.75" customHeight="1" s="782" thickBot="1">
      <c r="B239" s="667" t="inlineStr">
        <is>
          <t>15. EBIT/Chi phí lãi vay</t>
        </is>
      </c>
      <c r="C239" s="678" t="n"/>
      <c r="D239" s="679" t="n">
        <v>2.1</v>
      </c>
      <c r="E239" s="652">
        <f>D239*C220</f>
        <v/>
      </c>
      <c r="F239" s="652" t="n"/>
      <c r="G239" s="652" t="n"/>
      <c r="H239" s="652" t="n"/>
    </row>
    <row r="240" ht="29.25" customHeight="1" s="782" thickTop="1">
      <c r="B240" s="670" t="inlineStr">
        <is>
          <t>Khai thác và sơ chế gỗ, chế biến gỗ, sản xuất sản phẩm từ gỗ và lâm sản khác</t>
        </is>
      </c>
      <c r="C240" s="671">
        <f>IF(B240=$G$218,100%,0%)</f>
        <v/>
      </c>
      <c r="D240" s="671" t="n"/>
      <c r="E240" s="644" t="n"/>
      <c r="F240" s="644" t="n"/>
      <c r="G240" s="644" t="n"/>
      <c r="H240" s="644" t="n"/>
    </row>
    <row r="241">
      <c r="B241" s="656" t="inlineStr">
        <is>
          <t>Chỉ tiêu thanh khoản</t>
        </is>
      </c>
      <c r="C241" s="657" t="n"/>
      <c r="D241" s="672" t="n"/>
      <c r="E241" s="648" t="n"/>
      <c r="F241" s="648" t="n"/>
      <c r="G241" s="648" t="n"/>
      <c r="H241" s="648" t="n"/>
    </row>
    <row r="242">
      <c r="B242" s="659" t="inlineStr">
        <is>
          <t>1.Khả năng thanh toán hiện hành</t>
        </is>
      </c>
      <c r="C242" s="673" t="n"/>
      <c r="D242" s="675" t="n">
        <v>1.07</v>
      </c>
      <c r="E242" s="652">
        <f>C240*D242</f>
        <v/>
      </c>
      <c r="F242" s="652" t="n"/>
      <c r="G242" s="652" t="n"/>
      <c r="H242" s="652" t="n"/>
    </row>
    <row r="243">
      <c r="B243" s="659" t="inlineStr">
        <is>
          <t>2. Khả năng thanh toán nhanh</t>
        </is>
      </c>
      <c r="C243" s="673" t="n"/>
      <c r="D243" s="675" t="n">
        <v>0.53</v>
      </c>
      <c r="E243" s="652">
        <f>D243*C240</f>
        <v/>
      </c>
      <c r="F243" s="652" t="n"/>
      <c r="G243" s="652" t="n"/>
      <c r="H243" s="652" t="n"/>
    </row>
    <row r="244">
      <c r="B244" s="659" t="inlineStr">
        <is>
          <t>3. Khả năng thanh toán tức thời</t>
        </is>
      </c>
      <c r="C244" s="673" t="n"/>
      <c r="D244" s="675" t="n">
        <v>0.04</v>
      </c>
      <c r="E244" s="652">
        <f>D244*C240</f>
        <v/>
      </c>
      <c r="F244" s="652" t="n"/>
      <c r="G244" s="652" t="n"/>
      <c r="H244" s="652" t="n"/>
    </row>
    <row r="245">
      <c r="B245" s="656" t="inlineStr">
        <is>
          <t>Chỉ tiêu hoạt động</t>
        </is>
      </c>
      <c r="C245" s="657" t="n"/>
      <c r="D245" s="672" t="n"/>
      <c r="E245" s="652" t="n"/>
      <c r="F245" s="648" t="n"/>
      <c r="G245" s="648" t="n"/>
      <c r="H245" s="648" t="n"/>
    </row>
    <row r="246">
      <c r="B246" s="659" t="inlineStr">
        <is>
          <t>4. Vòng quay vốn lưu động</t>
        </is>
      </c>
      <c r="C246" s="673" t="n"/>
      <c r="D246" s="675" t="n">
        <v>1.83</v>
      </c>
      <c r="E246" s="652">
        <f>D246*C240</f>
        <v/>
      </c>
      <c r="F246" s="652" t="n"/>
      <c r="G246" s="652" t="n"/>
      <c r="H246" s="652" t="n"/>
    </row>
    <row r="247">
      <c r="B247" s="659" t="inlineStr">
        <is>
          <t>5. Vòng quay hàng tồn kho</t>
        </is>
      </c>
      <c r="C247" s="673" t="n"/>
      <c r="D247" s="675" t="n">
        <v>2.9</v>
      </c>
      <c r="E247" s="652">
        <f>D247*C240</f>
        <v/>
      </c>
      <c r="F247" s="652" t="n"/>
      <c r="G247" s="652" t="n"/>
      <c r="H247" s="652" t="n"/>
    </row>
    <row r="248">
      <c r="B248" s="659" t="inlineStr">
        <is>
          <t>6. Vòng quay các khoản phải thu</t>
        </is>
      </c>
      <c r="C248" s="673" t="n"/>
      <c r="D248" s="675" t="n">
        <v>3.5</v>
      </c>
      <c r="E248" s="652">
        <f>D248*C240</f>
        <v/>
      </c>
      <c r="F248" s="652" t="n"/>
      <c r="G248" s="652" t="n"/>
      <c r="H248" s="652" t="n"/>
    </row>
    <row r="249">
      <c r="B249" s="659" t="inlineStr">
        <is>
          <t>7. Hiệu suất sử dụng TSCĐ</t>
        </is>
      </c>
      <c r="C249" s="673" t="n"/>
      <c r="D249" s="675" t="n">
        <v>4.5</v>
      </c>
      <c r="E249" s="652">
        <f>D249*C240</f>
        <v/>
      </c>
      <c r="F249" s="652" t="n"/>
      <c r="G249" s="652" t="n"/>
      <c r="H249" s="652" t="n"/>
    </row>
    <row r="250">
      <c r="B250" s="656" t="inlineStr">
        <is>
          <t>Chỉ tiêu cân nợ</t>
        </is>
      </c>
      <c r="C250" s="657" t="n"/>
      <c r="D250" s="672" t="n"/>
      <c r="E250" s="652" t="n"/>
      <c r="F250" s="648" t="n"/>
      <c r="G250" s="648" t="n"/>
      <c r="H250" s="648" t="n"/>
    </row>
    <row r="251">
      <c r="B251" s="659" t="inlineStr">
        <is>
          <t>8. Tổng nợ phải trả/ Tổng tài sản</t>
        </is>
      </c>
      <c r="C251" s="673" t="n"/>
      <c r="D251" s="676" t="n">
        <v>0.75</v>
      </c>
      <c r="E251" s="652">
        <f>D251*C240</f>
        <v/>
      </c>
      <c r="F251" s="652" t="n"/>
      <c r="G251" s="652" t="n"/>
      <c r="H251" s="652" t="n"/>
    </row>
    <row r="252">
      <c r="B252" s="659" t="inlineStr">
        <is>
          <t>9. Nợ dài dạn/Vốn CSH</t>
        </is>
      </c>
      <c r="C252" s="673" t="n"/>
      <c r="D252" s="676" t="n">
        <v>0.65</v>
      </c>
      <c r="E252" s="652">
        <f>D252*C240</f>
        <v/>
      </c>
      <c r="F252" s="652" t="n"/>
      <c r="G252" s="652" t="n"/>
      <c r="H252" s="652" t="n"/>
    </row>
    <row r="253">
      <c r="B253" s="659" t="inlineStr">
        <is>
          <t>10. Tổng nợ/Vốn CSH</t>
        </is>
      </c>
      <c r="C253" s="673" t="n"/>
      <c r="D253" s="676" t="n">
        <v>2.51</v>
      </c>
      <c r="E253" s="652">
        <f>D253*C240</f>
        <v/>
      </c>
      <c r="F253" s="652" t="n"/>
      <c r="G253" s="652" t="n"/>
      <c r="H253" s="652" t="n"/>
    </row>
    <row r="254">
      <c r="B254" s="656" t="inlineStr">
        <is>
          <t>Chỉ tiêu thu nhập</t>
        </is>
      </c>
      <c r="C254" s="657" t="n"/>
      <c r="D254" s="672" t="n"/>
      <c r="E254" s="652" t="n"/>
      <c r="F254" s="648" t="n"/>
      <c r="G254" s="648" t="n"/>
      <c r="H254" s="648" t="n"/>
    </row>
    <row r="255">
      <c r="B255" s="665" t="inlineStr">
        <is>
          <t>11. Lợi nhuận gộp/Doanh thu thuần</t>
        </is>
      </c>
      <c r="C255" s="673" t="n"/>
      <c r="D255" s="677" t="n">
        <v>0.1367</v>
      </c>
      <c r="E255" s="652">
        <f>D255*C240</f>
        <v/>
      </c>
      <c r="F255" s="652" t="n"/>
      <c r="G255" s="652" t="n"/>
      <c r="H255" s="652" t="n"/>
    </row>
    <row r="256">
      <c r="B256" s="665" t="inlineStr">
        <is>
          <t>12. Lợi nhuận từ hoạt động kinh doanh/Doanh thu thuần</t>
        </is>
      </c>
      <c r="C256" s="673" t="n"/>
      <c r="D256" s="677" t="n">
        <v>0.0717</v>
      </c>
      <c r="E256" s="652">
        <f>D256*C240</f>
        <v/>
      </c>
      <c r="F256" s="652" t="n"/>
      <c r="G256" s="652" t="n"/>
      <c r="H256" s="652" t="n"/>
    </row>
    <row r="257">
      <c r="B257" s="665" t="inlineStr">
        <is>
          <t>13. Lợi nhuận sau thuế/Vốn CSH bình quân</t>
        </is>
      </c>
      <c r="C257" s="673" t="n"/>
      <c r="D257" s="677" t="n">
        <v>0.107</v>
      </c>
      <c r="E257" s="652">
        <f>D257*C240</f>
        <v/>
      </c>
      <c r="F257" s="652" t="n"/>
      <c r="G257" s="652" t="n"/>
      <c r="H257" s="652" t="n"/>
    </row>
    <row r="258">
      <c r="B258" s="665" t="inlineStr">
        <is>
          <t>14. Lợi nhuận sau thuế/Tổng tài sản bình quân</t>
        </is>
      </c>
      <c r="C258" s="673" t="n"/>
      <c r="D258" s="677" t="n">
        <v>0.043</v>
      </c>
      <c r="E258" s="652">
        <f>D258*C240</f>
        <v/>
      </c>
      <c r="F258" s="652" t="n"/>
      <c r="G258" s="652" t="n"/>
      <c r="H258" s="652" t="n"/>
    </row>
    <row r="259" ht="15.75" customHeight="1" s="782" thickBot="1">
      <c r="B259" s="667" t="inlineStr">
        <is>
          <t>15. EBIT/Chi phí lãi vay</t>
        </is>
      </c>
      <c r="C259" s="678" t="n"/>
      <c r="D259" s="679" t="n">
        <v>3.47</v>
      </c>
      <c r="E259" s="652">
        <f>D259*C240</f>
        <v/>
      </c>
      <c r="F259" s="652" t="n"/>
      <c r="G259" s="652" t="n"/>
      <c r="H259" s="652" t="n"/>
    </row>
    <row r="260" ht="15.75" customHeight="1" s="782" thickTop="1">
      <c r="B260" s="670" t="inlineStr">
        <is>
          <t>Sản xuất giấy và các sản phẩm từ giấy và in ấn</t>
        </is>
      </c>
      <c r="C260" s="671">
        <f>IF(B260=$G$218,100%,0%)</f>
        <v/>
      </c>
      <c r="D260" s="671" t="n"/>
      <c r="E260" s="644" t="n"/>
      <c r="F260" s="644" t="n"/>
      <c r="G260" s="644" t="n"/>
      <c r="H260" s="644" t="n"/>
    </row>
    <row r="261">
      <c r="B261" s="656" t="inlineStr">
        <is>
          <t>Chỉ tiêu thanh khoản</t>
        </is>
      </c>
      <c r="C261" s="657" t="n"/>
      <c r="D261" s="672" t="n"/>
      <c r="E261" s="648" t="n"/>
      <c r="F261" s="648" t="n"/>
      <c r="G261" s="648" t="n"/>
      <c r="H261" s="648" t="n"/>
    </row>
    <row r="262">
      <c r="B262" s="659" t="inlineStr">
        <is>
          <t>1.Khả năng thanh toán hiện hành</t>
        </is>
      </c>
      <c r="C262" s="673" t="n"/>
      <c r="D262" s="675" t="n">
        <v>1</v>
      </c>
      <c r="E262" s="652">
        <f>C260*D262</f>
        <v/>
      </c>
      <c r="F262" s="652" t="n"/>
      <c r="G262" s="652" t="n"/>
      <c r="H262" s="652" t="n"/>
    </row>
    <row r="263">
      <c r="B263" s="659" t="inlineStr">
        <is>
          <t>2. Khả năng thanh toán nhanh</t>
        </is>
      </c>
      <c r="C263" s="673" t="n"/>
      <c r="D263" s="675" t="n">
        <v>0.51</v>
      </c>
      <c r="E263" s="652">
        <f>D263*C260</f>
        <v/>
      </c>
      <c r="F263" s="652" t="n"/>
      <c r="G263" s="652" t="n"/>
      <c r="H263" s="652" t="n"/>
    </row>
    <row r="264">
      <c r="B264" s="659" t="inlineStr">
        <is>
          <t>3. Khả năng thanh toán tức thời</t>
        </is>
      </c>
      <c r="C264" s="673" t="n"/>
      <c r="D264" s="675" t="n">
        <v>0.13</v>
      </c>
      <c r="E264" s="652">
        <f>D264*C260</f>
        <v/>
      </c>
      <c r="F264" s="652" t="n"/>
      <c r="G264" s="652" t="n"/>
      <c r="H264" s="652" t="n"/>
    </row>
    <row r="265">
      <c r="B265" s="656" t="inlineStr">
        <is>
          <t>Chỉ tiêu hoạt động</t>
        </is>
      </c>
      <c r="C265" s="657" t="n"/>
      <c r="D265" s="672" t="n"/>
      <c r="E265" s="652" t="n"/>
      <c r="F265" s="648" t="n"/>
      <c r="G265" s="648" t="n"/>
      <c r="H265" s="648" t="n"/>
    </row>
    <row r="266">
      <c r="B266" s="659" t="inlineStr">
        <is>
          <t>4. Vòng quay vốn lưu động</t>
        </is>
      </c>
      <c r="C266" s="673" t="n"/>
      <c r="D266" s="675" t="n">
        <v>2.9</v>
      </c>
      <c r="E266" s="652">
        <f>D266*C260</f>
        <v/>
      </c>
      <c r="F266" s="652" t="n"/>
      <c r="G266" s="652" t="n"/>
      <c r="H266" s="652" t="n"/>
    </row>
    <row r="267">
      <c r="B267" s="659" t="inlineStr">
        <is>
          <t>5. Vòng quay hàng tồn kho</t>
        </is>
      </c>
      <c r="C267" s="673" t="n"/>
      <c r="D267" s="675" t="n">
        <v>3.9</v>
      </c>
      <c r="E267" s="652">
        <f>D267*C260</f>
        <v/>
      </c>
      <c r="F267" s="652" t="n"/>
      <c r="G267" s="652" t="n"/>
      <c r="H267" s="652" t="n"/>
    </row>
    <row r="268">
      <c r="B268" s="659" t="inlineStr">
        <is>
          <t>6. Vòng quay các khoản phải thu</t>
        </is>
      </c>
      <c r="C268" s="673" t="n"/>
      <c r="D268" s="675" t="n">
        <v>6.67</v>
      </c>
      <c r="E268" s="652">
        <f>D268*C260</f>
        <v/>
      </c>
      <c r="F268" s="652" t="n"/>
      <c r="G268" s="652" t="n"/>
      <c r="H268" s="652" t="n"/>
    </row>
    <row r="269">
      <c r="B269" s="659" t="inlineStr">
        <is>
          <t>7. Hiệu suất sử dụng TSCĐ</t>
        </is>
      </c>
      <c r="C269" s="673" t="n"/>
      <c r="D269" s="675" t="n">
        <v>2.33</v>
      </c>
      <c r="E269" s="652">
        <f>D269*C260</f>
        <v/>
      </c>
      <c r="F269" s="652" t="n"/>
      <c r="G269" s="652" t="n"/>
      <c r="H269" s="652" t="n"/>
    </row>
    <row r="270">
      <c r="B270" s="656" t="inlineStr">
        <is>
          <t>Chỉ tiêu cân nợ</t>
        </is>
      </c>
      <c r="C270" s="657" t="n"/>
      <c r="D270" s="672" t="n"/>
      <c r="E270" s="652" t="n"/>
      <c r="F270" s="648" t="n"/>
      <c r="G270" s="648" t="n"/>
      <c r="H270" s="648" t="n"/>
    </row>
    <row r="271">
      <c r="B271" s="659" t="inlineStr">
        <is>
          <t>8. Tổng nợ phải trả/ Tổng tài sản</t>
        </is>
      </c>
      <c r="C271" s="673" t="n"/>
      <c r="D271" s="676" t="n">
        <v>0.72</v>
      </c>
      <c r="E271" s="652">
        <f>D271*C260</f>
        <v/>
      </c>
      <c r="F271" s="652" t="n"/>
      <c r="G271" s="652" t="n"/>
      <c r="H271" s="652" t="n"/>
    </row>
    <row r="272">
      <c r="B272" s="659" t="inlineStr">
        <is>
          <t>9. Nợ dài dạn/Vốn CSH</t>
        </is>
      </c>
      <c r="C272" s="673" t="n"/>
      <c r="D272" s="676" t="n">
        <v>0.85</v>
      </c>
      <c r="E272" s="652">
        <f>D272*C260</f>
        <v/>
      </c>
      <c r="F272" s="652" t="n"/>
      <c r="G272" s="652" t="n"/>
      <c r="H272" s="652" t="n"/>
    </row>
    <row r="273">
      <c r="B273" s="659" t="inlineStr">
        <is>
          <t>10. Tổng nợ/Vốn CSH</t>
        </is>
      </c>
      <c r="C273" s="673" t="n"/>
      <c r="D273" s="676" t="n">
        <v>1.84</v>
      </c>
      <c r="E273" s="652">
        <f>D273*C260</f>
        <v/>
      </c>
      <c r="F273" s="652" t="n"/>
      <c r="G273" s="652" t="n"/>
      <c r="H273" s="652" t="n"/>
    </row>
    <row r="274">
      <c r="B274" s="656" t="inlineStr">
        <is>
          <t>Chỉ tiêu thu nhập</t>
        </is>
      </c>
      <c r="C274" s="657" t="n"/>
      <c r="D274" s="672" t="n"/>
      <c r="E274" s="652" t="n"/>
      <c r="F274" s="648" t="n"/>
      <c r="G274" s="648" t="n"/>
      <c r="H274" s="648" t="n"/>
    </row>
    <row r="275">
      <c r="B275" s="665" t="inlineStr">
        <is>
          <t>11. Lợi nhuận gộp/Doanh thu thuần</t>
        </is>
      </c>
      <c r="C275" s="673" t="n"/>
      <c r="D275" s="677" t="n">
        <v>0.1433</v>
      </c>
      <c r="E275" s="652">
        <f>D275*C260</f>
        <v/>
      </c>
      <c r="F275" s="652" t="n"/>
      <c r="G275" s="652" t="n"/>
      <c r="H275" s="652" t="n"/>
    </row>
    <row r="276">
      <c r="B276" s="665" t="inlineStr">
        <is>
          <t>12. Lợi nhuận từ hoạt động kinh doanh/Doanh thu thuần</t>
        </is>
      </c>
      <c r="C276" s="673" t="n"/>
      <c r="D276" s="677" t="n">
        <v>0.07829999999999999</v>
      </c>
      <c r="E276" s="652">
        <f>D276*C260</f>
        <v/>
      </c>
      <c r="F276" s="652" t="n"/>
      <c r="G276" s="652" t="n"/>
      <c r="H276" s="652" t="n"/>
    </row>
    <row r="277">
      <c r="B277" s="665" t="inlineStr">
        <is>
          <t>13. Lợi nhuận sau thuế/Vốn CSH bình quân</t>
        </is>
      </c>
      <c r="C277" s="673" t="n"/>
      <c r="D277" s="677" t="n">
        <v>0.1383</v>
      </c>
      <c r="E277" s="652">
        <f>D277*C260</f>
        <v/>
      </c>
      <c r="F277" s="652" t="n"/>
      <c r="G277" s="652" t="n"/>
      <c r="H277" s="652" t="n"/>
    </row>
    <row r="278">
      <c r="B278" s="665" t="inlineStr">
        <is>
          <t>14. Lợi nhuận sau thuế/Tổng tài sản bình quân</t>
        </is>
      </c>
      <c r="C278" s="673" t="n"/>
      <c r="D278" s="677" t="n">
        <v>0.0517</v>
      </c>
      <c r="E278" s="652">
        <f>D278*C260</f>
        <v/>
      </c>
      <c r="F278" s="652" t="n"/>
      <c r="G278" s="652" t="n"/>
      <c r="H278" s="652" t="n"/>
    </row>
    <row r="279" ht="15.75" customHeight="1" s="782" thickBot="1">
      <c r="B279" s="667" t="inlineStr">
        <is>
          <t>15. EBIT/Chi phí lãi vay</t>
        </is>
      </c>
      <c r="C279" s="678" t="n"/>
      <c r="D279" s="679" t="n">
        <v>2.33</v>
      </c>
      <c r="E279" s="652">
        <f>D279*C260</f>
        <v/>
      </c>
      <c r="F279" s="652" t="n"/>
      <c r="G279" s="652" t="n"/>
      <c r="H279" s="652" t="n"/>
    </row>
    <row r="280" ht="29.25" customHeight="1" s="782" thickTop="1">
      <c r="B280" s="670" t="inlineStr">
        <is>
          <t>Sản xuất thuốc, hoá dược, dược liệu; cao su, nhựa, phân bón, hoá chất</t>
        </is>
      </c>
      <c r="C280" s="671">
        <f>IF(B280=$G$218,100%,0%)</f>
        <v/>
      </c>
      <c r="D280" s="671" t="n"/>
      <c r="E280" s="644" t="n"/>
      <c r="F280" s="644" t="n"/>
      <c r="G280" s="644" t="n"/>
      <c r="H280" s="644" t="n"/>
    </row>
    <row r="281">
      <c r="B281" s="659" t="inlineStr">
        <is>
          <t>1.Khả năng thanh toán hiện hành</t>
        </is>
      </c>
      <c r="C281" s="673" t="n"/>
      <c r="D281" s="675" t="n">
        <v>1.22</v>
      </c>
      <c r="E281" s="652">
        <f>C279*D281</f>
        <v/>
      </c>
      <c r="F281" s="652" t="n"/>
      <c r="G281" s="652" t="n"/>
      <c r="H281" s="652" t="n"/>
    </row>
    <row r="282">
      <c r="B282" s="659" t="inlineStr">
        <is>
          <t>2. Khả năng thanh toán nhanh</t>
        </is>
      </c>
      <c r="C282" s="673" t="n"/>
      <c r="D282" s="675" t="n">
        <v>0.67</v>
      </c>
      <c r="E282" s="652">
        <f>D282*C279</f>
        <v/>
      </c>
      <c r="F282" s="652" t="n"/>
      <c r="G282" s="652" t="n"/>
      <c r="H282" s="652" t="n"/>
    </row>
    <row r="283">
      <c r="B283" s="659" t="inlineStr">
        <is>
          <t>3. Khả năng thanh toán tức thời</t>
        </is>
      </c>
      <c r="C283" s="673" t="n"/>
      <c r="D283" s="675" t="n">
        <v>0.15</v>
      </c>
      <c r="E283" s="652">
        <f>D283*C279</f>
        <v/>
      </c>
      <c r="F283" s="652" t="n"/>
      <c r="G283" s="652" t="n"/>
      <c r="H283" s="652" t="n"/>
    </row>
    <row r="284">
      <c r="B284" s="656" t="inlineStr">
        <is>
          <t>Chỉ tiêu hoạt động</t>
        </is>
      </c>
      <c r="C284" s="657" t="n"/>
      <c r="D284" s="672" t="n"/>
      <c r="E284" s="652" t="n"/>
      <c r="F284" s="648" t="n"/>
      <c r="G284" s="648" t="n"/>
      <c r="H284" s="648" t="n"/>
    </row>
    <row r="285">
      <c r="B285" s="659" t="inlineStr">
        <is>
          <t>4. Vòng quay vốn lưu động</t>
        </is>
      </c>
      <c r="C285" s="673" t="n"/>
      <c r="D285" s="675" t="n">
        <v>2.07</v>
      </c>
      <c r="E285" s="652">
        <f>D285*C279</f>
        <v/>
      </c>
      <c r="F285" s="652" t="n"/>
      <c r="G285" s="652" t="n"/>
      <c r="H285" s="652" t="n"/>
    </row>
    <row r="286">
      <c r="B286" s="659" t="inlineStr">
        <is>
          <t>5. Vòng quay hàng tồn kho</t>
        </is>
      </c>
      <c r="C286" s="673" t="n"/>
      <c r="D286" s="675" t="n">
        <v>3.83</v>
      </c>
      <c r="E286" s="652">
        <f>D286*C279</f>
        <v/>
      </c>
      <c r="F286" s="652" t="n"/>
      <c r="G286" s="652" t="n"/>
      <c r="H286" s="652" t="n"/>
    </row>
    <row r="287">
      <c r="B287" s="659" t="inlineStr">
        <is>
          <t>6. Vòng quay các khoản phải thu</t>
        </is>
      </c>
      <c r="C287" s="673" t="n"/>
      <c r="D287" s="675" t="n">
        <v>5</v>
      </c>
      <c r="E287" s="652">
        <f>D287*C279</f>
        <v/>
      </c>
      <c r="F287" s="652" t="n"/>
      <c r="G287" s="652" t="n"/>
      <c r="H287" s="652" t="n"/>
    </row>
    <row r="288">
      <c r="B288" s="659" t="inlineStr">
        <is>
          <t>7. Hiệu suất sử dụng TSCĐ</t>
        </is>
      </c>
      <c r="C288" s="673" t="n"/>
      <c r="D288" s="675" t="n">
        <v>4.17</v>
      </c>
      <c r="E288" s="652">
        <f>D288*C279</f>
        <v/>
      </c>
      <c r="F288" s="652" t="n"/>
      <c r="G288" s="652" t="n"/>
      <c r="H288" s="652" t="n"/>
    </row>
    <row r="289">
      <c r="B289" s="656" t="inlineStr">
        <is>
          <t>Chỉ tiêu cân nợ</t>
        </is>
      </c>
      <c r="C289" s="657" t="n"/>
      <c r="D289" s="672" t="n"/>
      <c r="E289" s="652" t="n"/>
      <c r="F289" s="648" t="n"/>
      <c r="G289" s="648" t="n"/>
      <c r="H289" s="648" t="n"/>
    </row>
    <row r="290">
      <c r="B290" s="659" t="inlineStr">
        <is>
          <t>8. Tổng nợ phải trả/ Tổng tài sản</t>
        </is>
      </c>
      <c r="C290" s="673" t="n"/>
      <c r="D290" s="676" t="n">
        <v>0.73</v>
      </c>
      <c r="E290" s="652">
        <f>D290*C279</f>
        <v/>
      </c>
      <c r="F290" s="652" t="n"/>
      <c r="G290" s="652" t="n"/>
      <c r="H290" s="652" t="n"/>
    </row>
    <row r="291">
      <c r="B291" s="659" t="inlineStr">
        <is>
          <t>9. Nợ dài dạn/Vốn CSH</t>
        </is>
      </c>
      <c r="C291" s="673" t="n"/>
      <c r="D291" s="676" t="n">
        <v>0.6</v>
      </c>
      <c r="E291" s="652">
        <f>D291*C279</f>
        <v/>
      </c>
      <c r="F291" s="652" t="n"/>
      <c r="G291" s="652" t="n"/>
      <c r="H291" s="652" t="n"/>
    </row>
    <row r="292">
      <c r="B292" s="665" t="inlineStr">
        <is>
          <t>10. Tổng nợ/Vốn CSH</t>
        </is>
      </c>
      <c r="C292" s="673" t="n"/>
      <c r="D292" s="676" t="n">
        <v>1.9</v>
      </c>
      <c r="E292" s="652">
        <f>D292*C279</f>
        <v/>
      </c>
      <c r="F292" s="652" t="n"/>
      <c r="G292" s="652" t="n"/>
      <c r="H292" s="652" t="n"/>
    </row>
    <row r="293">
      <c r="B293" s="656" t="inlineStr">
        <is>
          <t>Chỉ tiêu thu nhập</t>
        </is>
      </c>
      <c r="C293" s="657" t="n"/>
      <c r="D293" s="672" t="n"/>
      <c r="E293" s="652" t="n"/>
      <c r="F293" s="648" t="n"/>
      <c r="G293" s="648" t="n"/>
      <c r="H293" s="648" t="n"/>
    </row>
    <row r="294">
      <c r="B294" s="665" t="inlineStr">
        <is>
          <t>11. Lợi nhuận gộp/Doanh thu thuần</t>
        </is>
      </c>
      <c r="C294" s="673" t="n"/>
      <c r="D294" s="677" t="n">
        <v>0.1367</v>
      </c>
      <c r="E294" s="652">
        <f>D294*C279</f>
        <v/>
      </c>
      <c r="F294" s="652" t="n"/>
      <c r="G294" s="652" t="n"/>
      <c r="H294" s="652" t="n"/>
    </row>
    <row r="295">
      <c r="B295" s="665" t="inlineStr">
        <is>
          <t>12. Lợi nhuận từ hoạt động kinh doanh/Doanh thu thuần</t>
        </is>
      </c>
      <c r="C295" s="673" t="n"/>
      <c r="D295" s="677" t="n">
        <v>0.0717</v>
      </c>
      <c r="E295" s="652">
        <f>D295*C279</f>
        <v/>
      </c>
      <c r="F295" s="652" t="n"/>
      <c r="G295" s="652" t="n"/>
      <c r="H295" s="652" t="n"/>
    </row>
    <row r="296">
      <c r="B296" s="665" t="inlineStr">
        <is>
          <t>13. Lợi nhuận sau thuế/Vốn CSH bình quân</t>
        </is>
      </c>
      <c r="C296" s="673" t="n"/>
      <c r="D296" s="677" t="n">
        <v>0.1333</v>
      </c>
      <c r="E296" s="652">
        <f>D296*C279</f>
        <v/>
      </c>
      <c r="F296" s="652" t="n"/>
      <c r="G296" s="652" t="n"/>
      <c r="H296" s="652" t="n"/>
    </row>
    <row r="297">
      <c r="B297" s="665" t="inlineStr">
        <is>
          <t>14. Lợi nhuận sau thuế/Tổng tài sản bình quân</t>
        </is>
      </c>
      <c r="C297" s="673" t="n"/>
      <c r="D297" s="677" t="n">
        <v>0.052</v>
      </c>
      <c r="E297" s="652">
        <f>D297*C279</f>
        <v/>
      </c>
      <c r="F297" s="652" t="n"/>
      <c r="G297" s="652" t="n"/>
      <c r="H297" s="652" t="n"/>
    </row>
    <row r="298" ht="15.75" customHeight="1" s="782" thickBot="1">
      <c r="B298" s="667" t="inlineStr">
        <is>
          <t>15. EBIT/Chi phí lãi vay</t>
        </is>
      </c>
      <c r="C298" s="678" t="n"/>
      <c r="D298" s="679" t="n">
        <v>3.23</v>
      </c>
      <c r="E298" s="652">
        <f>D298*C279</f>
        <v/>
      </c>
      <c r="F298" s="652" t="n"/>
      <c r="G298" s="652" t="n"/>
      <c r="H298" s="652" t="n"/>
    </row>
    <row r="299" ht="29.25" customHeight="1" s="782" thickTop="1">
      <c r="B299" s="670" t="inlineStr">
        <is>
          <t>Sản xuất vật liệu xây dựng (trừ thép, Inox, sơn, matit và các chất tương tự)</t>
        </is>
      </c>
      <c r="C299" s="671">
        <f>IF(B299=$G$218,100%,0%)</f>
        <v/>
      </c>
      <c r="D299" s="671" t="n"/>
      <c r="E299" s="644" t="n"/>
      <c r="F299" s="644" t="n"/>
      <c r="G299" s="644" t="n"/>
      <c r="H299" s="644" t="n"/>
    </row>
    <row r="300">
      <c r="B300" s="656" t="inlineStr">
        <is>
          <t>Chỉ tiêu thanh khoản</t>
        </is>
      </c>
      <c r="C300" s="657" t="n"/>
      <c r="D300" s="672" t="n"/>
      <c r="E300" s="648" t="n"/>
      <c r="F300" s="648" t="n"/>
      <c r="G300" s="648" t="n"/>
      <c r="H300" s="648" t="n"/>
    </row>
    <row r="301">
      <c r="B301" s="659" t="inlineStr">
        <is>
          <t>1.Khả năng thanh toán hiện hành</t>
        </is>
      </c>
      <c r="C301" s="673" t="n"/>
      <c r="D301" s="675" t="n">
        <v>1.11</v>
      </c>
      <c r="E301" s="652">
        <f>C299*D301</f>
        <v/>
      </c>
      <c r="F301" s="652" t="n"/>
      <c r="G301" s="652" t="n"/>
      <c r="H301" s="652" t="n"/>
    </row>
    <row r="302">
      <c r="B302" s="659" t="inlineStr">
        <is>
          <t>2. Khả năng thanh toán nhanh</t>
        </is>
      </c>
      <c r="C302" s="673" t="n"/>
      <c r="D302" s="675" t="n">
        <v>0.43</v>
      </c>
      <c r="E302" s="652">
        <f>D302*C299</f>
        <v/>
      </c>
      <c r="F302" s="652" t="n"/>
      <c r="G302" s="652" t="n"/>
      <c r="H302" s="652" t="n"/>
    </row>
    <row r="303">
      <c r="B303" s="659" t="inlineStr">
        <is>
          <t>3. Khả năng thanh toán tức thời</t>
        </is>
      </c>
      <c r="C303" s="673" t="n"/>
      <c r="D303" s="675" t="n">
        <v>0.15</v>
      </c>
      <c r="E303" s="652">
        <f>D303*C299</f>
        <v/>
      </c>
      <c r="F303" s="652" t="n"/>
      <c r="G303" s="652" t="n"/>
      <c r="H303" s="652" t="n"/>
    </row>
    <row r="304">
      <c r="B304" s="656" t="inlineStr">
        <is>
          <t>Chỉ tiêu hoạt động</t>
        </is>
      </c>
      <c r="C304" s="657" t="n"/>
      <c r="D304" s="672" t="n"/>
      <c r="E304" s="652" t="n"/>
      <c r="F304" s="648" t="n"/>
      <c r="G304" s="648" t="n"/>
      <c r="H304" s="648" t="n"/>
    </row>
    <row r="305">
      <c r="B305" s="659" t="inlineStr">
        <is>
          <t>4. Vòng quay vốn lưu động</t>
        </is>
      </c>
      <c r="C305" s="673" t="n"/>
      <c r="D305" s="675" t="n">
        <v>2.5</v>
      </c>
      <c r="E305" s="652">
        <f>D305*C299</f>
        <v/>
      </c>
      <c r="F305" s="652" t="n"/>
      <c r="G305" s="652" t="n"/>
      <c r="H305" s="652" t="n"/>
    </row>
    <row r="306">
      <c r="B306" s="659" t="inlineStr">
        <is>
          <t>5. Vòng quay hàng tồn kho</t>
        </is>
      </c>
      <c r="C306" s="673" t="n"/>
      <c r="D306" s="675" t="n">
        <v>3</v>
      </c>
      <c r="E306" s="652">
        <f>D306*C299</f>
        <v/>
      </c>
      <c r="F306" s="652" t="n"/>
      <c r="G306" s="652" t="n"/>
      <c r="H306" s="652" t="n"/>
    </row>
    <row r="307">
      <c r="B307" s="659" t="inlineStr">
        <is>
          <t>6. Vòng quay các khoản phải thu</t>
        </is>
      </c>
      <c r="C307" s="673" t="n"/>
      <c r="D307" s="675" t="n">
        <v>5.67</v>
      </c>
      <c r="E307" s="652">
        <f>D307*C299</f>
        <v/>
      </c>
      <c r="F307" s="652" t="n"/>
      <c r="G307" s="652" t="n"/>
      <c r="H307" s="652" t="n"/>
    </row>
    <row r="308">
      <c r="B308" s="659" t="inlineStr">
        <is>
          <t>7. Hiệu suất sử dụng TSCĐ</t>
        </is>
      </c>
      <c r="C308" s="673" t="n"/>
      <c r="D308" s="675" t="n">
        <v>3.77</v>
      </c>
      <c r="E308" s="652">
        <f>D308*C299</f>
        <v/>
      </c>
      <c r="F308" s="652" t="n"/>
      <c r="G308" s="652" t="n"/>
      <c r="H308" s="652" t="n"/>
    </row>
    <row r="309">
      <c r="B309" s="656" t="inlineStr">
        <is>
          <t>Chỉ tiêu cân nợ</t>
        </is>
      </c>
      <c r="C309" s="657" t="n"/>
      <c r="D309" s="672" t="n"/>
      <c r="E309" s="652" t="n"/>
      <c r="F309" s="648" t="n"/>
      <c r="G309" s="648" t="n"/>
      <c r="H309" s="648" t="n"/>
    </row>
    <row r="310">
      <c r="B310" s="659" t="inlineStr">
        <is>
          <t>8. Tổng nợ phải trả/ Tổng tài sản</t>
        </is>
      </c>
      <c r="C310" s="673" t="n"/>
      <c r="D310" s="677" t="n">
        <v>0.7333</v>
      </c>
      <c r="E310" s="652">
        <f>D310*C299</f>
        <v/>
      </c>
      <c r="F310" s="652" t="n"/>
      <c r="G310" s="652" t="n"/>
      <c r="H310" s="652" t="n"/>
    </row>
    <row r="311">
      <c r="B311" s="659" t="inlineStr">
        <is>
          <t>9. Nợ dài dạn/Vốn CSH</t>
        </is>
      </c>
      <c r="C311" s="673" t="n"/>
      <c r="D311" s="677" t="n">
        <v>0.7667</v>
      </c>
      <c r="E311" s="652">
        <f>D311*C299</f>
        <v/>
      </c>
      <c r="F311" s="652" t="n"/>
      <c r="G311" s="652" t="n"/>
      <c r="H311" s="652" t="n"/>
    </row>
    <row r="312">
      <c r="B312" s="665" t="inlineStr">
        <is>
          <t>10. Tổng nợ/Vốn CSH</t>
        </is>
      </c>
      <c r="C312" s="673" t="n"/>
      <c r="D312" s="676" t="n">
        <v>1.9</v>
      </c>
      <c r="E312" s="652">
        <f>D312*C299</f>
        <v/>
      </c>
      <c r="F312" s="652" t="n"/>
      <c r="G312" s="652" t="n"/>
      <c r="H312" s="652" t="n"/>
    </row>
    <row r="313">
      <c r="B313" s="656" t="inlineStr">
        <is>
          <t>Chỉ tiêu thu nhập</t>
        </is>
      </c>
      <c r="C313" s="657" t="n"/>
      <c r="D313" s="672" t="n"/>
      <c r="E313" s="652" t="n"/>
      <c r="F313" s="648" t="n"/>
      <c r="G313" s="648" t="n"/>
      <c r="H313" s="648" t="n"/>
    </row>
    <row r="314">
      <c r="B314" s="665" t="inlineStr">
        <is>
          <t>11. Lợi nhuận gộp/Doanh thu thuần</t>
        </is>
      </c>
      <c r="C314" s="673" t="n"/>
      <c r="D314" s="676" t="n">
        <v>0.15</v>
      </c>
      <c r="E314" s="652">
        <f>D314*C299</f>
        <v/>
      </c>
      <c r="F314" s="652" t="n"/>
      <c r="G314" s="652" t="n"/>
      <c r="H314" s="652" t="n"/>
    </row>
    <row r="315">
      <c r="B315" s="665" t="inlineStr">
        <is>
          <t>12. Lợi nhuận từ hoạt động kinh doanh/Doanh thu thuần</t>
        </is>
      </c>
      <c r="C315" s="673" t="n"/>
      <c r="D315" s="676" t="n">
        <v>0.1</v>
      </c>
      <c r="E315" s="652">
        <f>D315*C299</f>
        <v/>
      </c>
      <c r="F315" s="652" t="n"/>
      <c r="G315" s="652" t="n"/>
      <c r="H315" s="652" t="n"/>
    </row>
    <row r="316">
      <c r="B316" s="665" t="inlineStr">
        <is>
          <t>13. Lợi nhuận sau thuế/Vốn CSH bình quân</t>
        </is>
      </c>
      <c r="C316" s="673" t="n"/>
      <c r="D316" s="677" t="n">
        <v>0.1333</v>
      </c>
      <c r="E316" s="652">
        <f>D316*C299</f>
        <v/>
      </c>
      <c r="F316" s="652" t="n"/>
      <c r="G316" s="652" t="n"/>
      <c r="H316" s="652" t="n"/>
    </row>
    <row r="317">
      <c r="B317" s="665" t="inlineStr">
        <is>
          <t>14. Lợi nhuận sau thuế/Tổng tài sản bình quân</t>
        </is>
      </c>
      <c r="C317" s="673" t="n"/>
      <c r="D317" s="676" t="n">
        <v>0.06</v>
      </c>
      <c r="E317" s="652">
        <f>D317*C299</f>
        <v/>
      </c>
      <c r="F317" s="652" t="n"/>
      <c r="G317" s="652" t="n"/>
      <c r="H317" s="652" t="n"/>
    </row>
    <row r="318" ht="15.75" customHeight="1" s="782" thickBot="1">
      <c r="B318" s="667" t="inlineStr">
        <is>
          <t>15. EBIT/Chi phí lãi vay</t>
        </is>
      </c>
      <c r="C318" s="678" t="n"/>
      <c r="D318" s="679" t="n">
        <v>3</v>
      </c>
      <c r="E318" s="652">
        <f>D318*C299</f>
        <v/>
      </c>
      <c r="F318" s="652" t="n"/>
      <c r="G318" s="652" t="n"/>
      <c r="H318" s="652" t="n"/>
    </row>
    <row r="319" ht="15.75" customHeight="1" s="782" thickTop="1">
      <c r="B319" s="684" t="inlineStr">
        <is>
          <t>Sản suất thép thành phẩm</t>
        </is>
      </c>
      <c r="C319" s="671">
        <f>IF(B319=$G$218,100%,0%)</f>
        <v/>
      </c>
      <c r="D319" s="671" t="n"/>
      <c r="E319" s="644" t="n"/>
      <c r="F319" s="644" t="n"/>
      <c r="G319" s="644" t="n"/>
      <c r="H319" s="644" t="n"/>
    </row>
    <row r="320">
      <c r="B320" s="656" t="inlineStr">
        <is>
          <t>Chỉ tiêu thanh khoản</t>
        </is>
      </c>
      <c r="C320" s="657" t="n"/>
      <c r="D320" s="672" t="n"/>
      <c r="E320" s="648" t="n"/>
      <c r="F320" s="648" t="n"/>
      <c r="G320" s="648" t="n"/>
      <c r="H320" s="648" t="n"/>
    </row>
    <row r="321">
      <c r="B321" s="659" t="inlineStr">
        <is>
          <t>1.Khả năng thanh toán hiện hành</t>
        </is>
      </c>
      <c r="C321" s="673" t="n"/>
      <c r="D321" s="675" t="n">
        <v>1.18</v>
      </c>
      <c r="E321" s="652">
        <f>C319*D321</f>
        <v/>
      </c>
      <c r="F321" s="652" t="n"/>
      <c r="G321" s="652" t="n"/>
      <c r="H321" s="652" t="n"/>
    </row>
    <row r="322">
      <c r="B322" s="659" t="inlineStr">
        <is>
          <t>2. Khả năng thanh toán nhanh</t>
        </is>
      </c>
      <c r="C322" s="673" t="n"/>
      <c r="D322" s="675" t="n">
        <v>0.57</v>
      </c>
      <c r="E322" s="652">
        <f>D322*C319</f>
        <v/>
      </c>
      <c r="F322" s="652" t="n"/>
      <c r="G322" s="652" t="n"/>
      <c r="H322" s="652" t="n"/>
    </row>
    <row r="323">
      <c r="B323" s="659" t="inlineStr">
        <is>
          <t>3. Khả năng thanh toán tức thời</t>
        </is>
      </c>
      <c r="C323" s="673" t="n"/>
      <c r="D323" s="675" t="n">
        <v>0.08</v>
      </c>
      <c r="E323" s="652">
        <f>D323*C319</f>
        <v/>
      </c>
      <c r="F323" s="652" t="n"/>
      <c r="G323" s="652" t="n"/>
      <c r="H323" s="652" t="n"/>
    </row>
    <row r="324">
      <c r="B324" s="656" t="inlineStr">
        <is>
          <t>Chỉ tiêu hoạt động</t>
        </is>
      </c>
      <c r="C324" s="657" t="n"/>
      <c r="D324" s="672" t="n"/>
      <c r="E324" s="652" t="n"/>
      <c r="F324" s="648" t="n"/>
      <c r="G324" s="648" t="n"/>
      <c r="H324" s="648" t="n"/>
    </row>
    <row r="325">
      <c r="B325" s="659" t="inlineStr">
        <is>
          <t>4. Vòng quay vốn lưu động</t>
        </is>
      </c>
      <c r="C325" s="673" t="n"/>
      <c r="D325" s="675" t="n">
        <v>3.33</v>
      </c>
      <c r="E325" s="652">
        <f>D325*C319</f>
        <v/>
      </c>
      <c r="F325" s="652" t="n"/>
      <c r="G325" s="652" t="n"/>
      <c r="H325" s="652" t="n"/>
    </row>
    <row r="326">
      <c r="B326" s="659" t="inlineStr">
        <is>
          <t>5. Vòng quay hàng tồn kho</t>
        </is>
      </c>
      <c r="C326" s="673" t="n"/>
      <c r="D326" s="675" t="n">
        <v>4</v>
      </c>
      <c r="E326" s="652">
        <f>D326*C319</f>
        <v/>
      </c>
      <c r="F326" s="652" t="n"/>
      <c r="G326" s="652" t="n"/>
      <c r="H326" s="652" t="n"/>
    </row>
    <row r="327">
      <c r="B327" s="659" t="inlineStr">
        <is>
          <t>6. Vòng quay các khoản phải thu</t>
        </is>
      </c>
      <c r="C327" s="673" t="n"/>
      <c r="D327" s="675" t="n">
        <v>5.17</v>
      </c>
      <c r="E327" s="652">
        <f>D327*C319</f>
        <v/>
      </c>
      <c r="F327" s="652" t="n"/>
      <c r="G327" s="652" t="n"/>
      <c r="H327" s="652" t="n"/>
    </row>
    <row r="328">
      <c r="B328" s="659" t="inlineStr">
        <is>
          <t>7. Hiệu suất sử dụng TSCĐ</t>
        </is>
      </c>
      <c r="C328" s="673" t="n"/>
      <c r="D328" s="675" t="n">
        <v>5</v>
      </c>
      <c r="E328" s="652">
        <f>D328*C319</f>
        <v/>
      </c>
      <c r="F328" s="652" t="n"/>
      <c r="G328" s="652" t="n"/>
      <c r="H328" s="652" t="n"/>
    </row>
    <row r="329">
      <c r="B329" s="656" t="inlineStr">
        <is>
          <t>Chỉ tiêu cân nợ</t>
        </is>
      </c>
      <c r="C329" s="657" t="n"/>
      <c r="D329" s="672" t="n"/>
      <c r="E329" s="652" t="n"/>
      <c r="F329" s="648" t="n"/>
      <c r="G329" s="648" t="n"/>
      <c r="H329" s="648" t="n"/>
    </row>
    <row r="330">
      <c r="B330" s="659" t="inlineStr">
        <is>
          <t>8. Tổng nợ phải trả/ Tổng tài sản</t>
        </is>
      </c>
      <c r="C330" s="673" t="n"/>
      <c r="D330" s="676" t="n">
        <v>0.72</v>
      </c>
      <c r="E330" s="652">
        <f>D330*C319</f>
        <v/>
      </c>
      <c r="F330" s="652" t="n"/>
      <c r="G330" s="652" t="n"/>
      <c r="H330" s="652" t="n"/>
    </row>
    <row r="331">
      <c r="B331" s="659" t="inlineStr">
        <is>
          <t>9. Nợ dài dạn/Vốn CSH</t>
        </is>
      </c>
      <c r="C331" s="673" t="n"/>
      <c r="D331" s="676" t="n">
        <v>0.58</v>
      </c>
      <c r="E331" s="652">
        <f>D331*C319</f>
        <v/>
      </c>
      <c r="F331" s="652" t="n"/>
      <c r="G331" s="652" t="n"/>
      <c r="H331" s="652" t="n"/>
    </row>
    <row r="332">
      <c r="B332" s="659" t="inlineStr">
        <is>
          <t>10. Tổng nợ/Vốn CSH</t>
        </is>
      </c>
      <c r="C332" s="673" t="n"/>
      <c r="D332" s="676" t="n">
        <v>1.84</v>
      </c>
      <c r="E332" s="652">
        <f>D332*C319</f>
        <v/>
      </c>
      <c r="F332" s="652" t="n"/>
      <c r="G332" s="652" t="n"/>
      <c r="H332" s="652" t="n"/>
    </row>
    <row r="333">
      <c r="B333" s="656" t="inlineStr">
        <is>
          <t>Chỉ tiêu thu nhập</t>
        </is>
      </c>
      <c r="C333" s="657" t="n"/>
      <c r="D333" s="672" t="n"/>
      <c r="E333" s="652" t="n"/>
      <c r="F333" s="648" t="n"/>
      <c r="G333" s="648" t="n"/>
      <c r="H333" s="648" t="n"/>
    </row>
    <row r="334">
      <c r="B334" s="665" t="inlineStr">
        <is>
          <t>11. Lợi nhuận gộp/Doanh thu thuần</t>
        </is>
      </c>
      <c r="C334" s="673" t="n"/>
      <c r="D334" s="676" t="n">
        <v>0.14</v>
      </c>
      <c r="E334" s="652">
        <f>D334*C319</f>
        <v/>
      </c>
      <c r="F334" s="652" t="n"/>
      <c r="G334" s="652" t="n"/>
      <c r="H334" s="652" t="n"/>
    </row>
    <row r="335">
      <c r="B335" s="665" t="inlineStr">
        <is>
          <t>12. Lợi nhuận từ hoạt động kinh doanh/Doanh thu thuần</t>
        </is>
      </c>
      <c r="C335" s="673" t="n"/>
      <c r="D335" s="677" t="n">
        <v>0.0917</v>
      </c>
      <c r="E335" s="652">
        <f>D335*C319</f>
        <v/>
      </c>
      <c r="F335" s="652" t="n"/>
      <c r="G335" s="652" t="n"/>
      <c r="H335" s="652" t="n"/>
    </row>
    <row r="336">
      <c r="B336" s="665" t="inlineStr">
        <is>
          <t>13. Lợi nhuận sau thuế/Vốn CSH bình quân</t>
        </is>
      </c>
      <c r="C336" s="673" t="n"/>
      <c r="D336" s="676" t="n">
        <v>0.17</v>
      </c>
      <c r="E336" s="652">
        <f>D336*C319</f>
        <v/>
      </c>
      <c r="F336" s="652" t="n"/>
      <c r="G336" s="652" t="n"/>
      <c r="H336" s="652" t="n"/>
    </row>
    <row r="337">
      <c r="B337" s="665" t="inlineStr">
        <is>
          <t>14. Lợi nhuận sau thuế/Tổng tài sản bình quân</t>
        </is>
      </c>
      <c r="C337" s="673" t="n"/>
      <c r="D337" s="677" t="n">
        <v>0.09329999999999999</v>
      </c>
      <c r="E337" s="652">
        <f>D337*C319</f>
        <v/>
      </c>
      <c r="F337" s="652" t="n"/>
      <c r="G337" s="652" t="n"/>
      <c r="H337" s="652" t="n"/>
    </row>
    <row r="338" ht="15.75" customHeight="1" s="782" thickBot="1">
      <c r="B338" s="667" t="inlineStr">
        <is>
          <t>15. EBIT/Chi phí lãi vay</t>
        </is>
      </c>
      <c r="C338" s="678" t="n"/>
      <c r="D338" s="679" t="n">
        <v>2.73</v>
      </c>
      <c r="E338" s="652">
        <f>D338*C319</f>
        <v/>
      </c>
      <c r="F338" s="652" t="n"/>
      <c r="G338" s="652" t="n"/>
      <c r="H338" s="652" t="n"/>
    </row>
    <row r="339" ht="15.75" customHeight="1" s="782" thickTop="1">
      <c r="B339" s="684" t="inlineStr">
        <is>
          <t>Sản suất phôi thép</t>
        </is>
      </c>
      <c r="C339" s="671">
        <f>IF(B339=$G$218,100%,0%)</f>
        <v/>
      </c>
      <c r="D339" s="671" t="n"/>
      <c r="E339" s="644" t="n"/>
      <c r="F339" s="644" t="n"/>
      <c r="G339" s="644" t="n"/>
      <c r="H339" s="644" t="n"/>
    </row>
    <row r="340">
      <c r="B340" s="656" t="inlineStr">
        <is>
          <t>Chỉ tiêu thanh khoản</t>
        </is>
      </c>
      <c r="C340" s="657" t="n"/>
      <c r="D340" s="672" t="n"/>
      <c r="E340" s="648" t="n"/>
      <c r="F340" s="648" t="n"/>
      <c r="G340" s="648" t="n"/>
      <c r="H340" s="648" t="n"/>
    </row>
    <row r="341">
      <c r="B341" s="659" t="inlineStr">
        <is>
          <t>1.Khả năng thanh toán hiện hành</t>
        </is>
      </c>
      <c r="C341" s="673" t="n"/>
      <c r="D341" s="675" t="n">
        <v>1.18</v>
      </c>
      <c r="E341" s="652">
        <f>C339*D341</f>
        <v/>
      </c>
      <c r="F341" s="652" t="n"/>
      <c r="G341" s="652" t="n"/>
      <c r="H341" s="652" t="n"/>
    </row>
    <row r="342">
      <c r="B342" s="659" t="inlineStr">
        <is>
          <t>2. Khả năng thanh toán nhanh</t>
        </is>
      </c>
      <c r="C342" s="673" t="n"/>
      <c r="D342" s="675" t="n">
        <v>0.57</v>
      </c>
      <c r="E342" s="652">
        <f>D342*C339</f>
        <v/>
      </c>
      <c r="F342" s="652" t="n"/>
      <c r="G342" s="652" t="n"/>
      <c r="H342" s="652" t="n"/>
    </row>
    <row r="343">
      <c r="B343" s="659" t="inlineStr">
        <is>
          <t>3. Khả năng thanh toán tức thời</t>
        </is>
      </c>
      <c r="C343" s="673" t="n"/>
      <c r="D343" s="675" t="n">
        <v>0.07000000000000001</v>
      </c>
      <c r="E343" s="652">
        <f>D343*C339</f>
        <v/>
      </c>
      <c r="F343" s="652" t="n"/>
      <c r="G343" s="652" t="n"/>
      <c r="H343" s="652" t="n"/>
    </row>
    <row r="344">
      <c r="B344" s="656" t="inlineStr">
        <is>
          <t>Chỉ tiêu hoạt động</t>
        </is>
      </c>
      <c r="C344" s="657" t="n"/>
      <c r="D344" s="672" t="n"/>
      <c r="E344" s="652" t="n"/>
      <c r="F344" s="648" t="n"/>
      <c r="G344" s="648" t="n"/>
      <c r="H344" s="648" t="n"/>
    </row>
    <row r="345">
      <c r="B345" s="659" t="inlineStr">
        <is>
          <t>4. Vòng quay vốn lưu động</t>
        </is>
      </c>
      <c r="C345" s="673" t="n"/>
      <c r="D345" s="675" t="n">
        <v>2.67</v>
      </c>
      <c r="E345" s="652">
        <f>D345*C339</f>
        <v/>
      </c>
      <c r="F345" s="652" t="n"/>
      <c r="G345" s="652" t="n"/>
      <c r="H345" s="652" t="n"/>
    </row>
    <row r="346">
      <c r="B346" s="659" t="inlineStr">
        <is>
          <t>5. Vòng quay hàng tồn kho</t>
        </is>
      </c>
      <c r="C346" s="673" t="n"/>
      <c r="D346" s="675" t="n">
        <v>3.33</v>
      </c>
      <c r="E346" s="652">
        <f>D346*C339</f>
        <v/>
      </c>
      <c r="F346" s="652" t="n"/>
      <c r="G346" s="652" t="n"/>
      <c r="H346" s="652" t="n"/>
    </row>
    <row r="347">
      <c r="B347" s="659" t="inlineStr">
        <is>
          <t>6. Vòng quay các khoản phải thu</t>
        </is>
      </c>
      <c r="C347" s="673" t="n"/>
      <c r="D347" s="675" t="n">
        <v>5.17</v>
      </c>
      <c r="E347" s="652">
        <f>D347*C339</f>
        <v/>
      </c>
      <c r="F347" s="652" t="n"/>
      <c r="G347" s="652" t="n"/>
      <c r="H347" s="652" t="n"/>
    </row>
    <row r="348">
      <c r="B348" s="659" t="inlineStr">
        <is>
          <t>7. Hiệu suất sử dụng TSCĐ</t>
        </is>
      </c>
      <c r="C348" s="673" t="n"/>
      <c r="D348" s="675" t="n">
        <v>5</v>
      </c>
      <c r="E348" s="652">
        <f>D348*C339</f>
        <v/>
      </c>
      <c r="F348" s="652" t="n"/>
      <c r="G348" s="652" t="n"/>
      <c r="H348" s="652" t="n"/>
    </row>
    <row r="349">
      <c r="B349" s="656" t="inlineStr">
        <is>
          <t>Chỉ tiêu cân nợ</t>
        </is>
      </c>
      <c r="C349" s="657" t="n"/>
      <c r="D349" s="672" t="n"/>
      <c r="E349" s="652" t="n"/>
      <c r="F349" s="648" t="n"/>
      <c r="G349" s="648" t="n"/>
      <c r="H349" s="648" t="n"/>
    </row>
    <row r="350">
      <c r="B350" s="659" t="inlineStr">
        <is>
          <t>8. Tổng nợ phải trả/ Tổng tài sản</t>
        </is>
      </c>
      <c r="C350" s="673" t="n"/>
      <c r="D350" s="676" t="n">
        <v>0.72</v>
      </c>
      <c r="E350" s="652">
        <f>D350*C339</f>
        <v/>
      </c>
      <c r="F350" s="652" t="n"/>
      <c r="G350" s="652" t="n"/>
      <c r="H350" s="652" t="n"/>
    </row>
    <row r="351">
      <c r="B351" s="659" t="inlineStr">
        <is>
          <t>9. Nợ dài dạn/Vốn CSH</t>
        </is>
      </c>
      <c r="C351" s="673" t="n"/>
      <c r="D351" s="676" t="n">
        <v>0.63</v>
      </c>
      <c r="E351" s="652">
        <f>D351*C339</f>
        <v/>
      </c>
      <c r="F351" s="652" t="n"/>
      <c r="G351" s="652" t="n"/>
      <c r="H351" s="652" t="n"/>
    </row>
    <row r="352">
      <c r="B352" s="665" t="inlineStr">
        <is>
          <t>10. Tổng nợ/Vốn CSH</t>
        </is>
      </c>
      <c r="C352" s="673" t="n"/>
      <c r="D352" s="676" t="n">
        <v>1.84</v>
      </c>
      <c r="E352" s="652">
        <f>D352*C339</f>
        <v/>
      </c>
      <c r="F352" s="652" t="n"/>
      <c r="G352" s="652" t="n"/>
      <c r="H352" s="652" t="n"/>
    </row>
    <row r="353">
      <c r="B353" s="656" t="inlineStr">
        <is>
          <t>Chỉ tiêu thu nhập</t>
        </is>
      </c>
      <c r="C353" s="657" t="n"/>
      <c r="D353" s="672" t="n"/>
      <c r="E353" s="652" t="n"/>
      <c r="F353" s="648" t="n"/>
      <c r="G353" s="648" t="n"/>
      <c r="H353" s="648" t="n"/>
    </row>
    <row r="354">
      <c r="B354" s="665" t="inlineStr">
        <is>
          <t>11. Lợi nhuận gộp/Doanh thu thuần</t>
        </is>
      </c>
      <c r="C354" s="673" t="n"/>
      <c r="D354" s="677" t="n">
        <v>0.1267</v>
      </c>
      <c r="E354" s="652">
        <f>D354*C339</f>
        <v/>
      </c>
      <c r="F354" s="652" t="n"/>
      <c r="G354" s="652" t="n"/>
      <c r="H354" s="652" t="n"/>
    </row>
    <row r="355">
      <c r="B355" s="665" t="inlineStr">
        <is>
          <t>12. Lợi nhuận từ hoạt động kinh doanh/Doanh thu thuần</t>
        </is>
      </c>
      <c r="C355" s="673" t="n"/>
      <c r="D355" s="677" t="n">
        <v>0.07829999999999999</v>
      </c>
      <c r="E355" s="652">
        <f>D355*C339</f>
        <v/>
      </c>
      <c r="F355" s="652" t="n"/>
      <c r="G355" s="652" t="n"/>
      <c r="H355" s="652" t="n"/>
    </row>
    <row r="356">
      <c r="B356" s="665" t="inlineStr">
        <is>
          <t>13. Lợi nhuận sau thuế/Vốn CSH bình quân</t>
        </is>
      </c>
      <c r="C356" s="673" t="n"/>
      <c r="D356" s="677" t="n">
        <v>0.1767</v>
      </c>
      <c r="E356" s="652">
        <f>D356*C339</f>
        <v/>
      </c>
      <c r="F356" s="652" t="n"/>
      <c r="G356" s="652" t="n"/>
      <c r="H356" s="652" t="n"/>
    </row>
    <row r="357">
      <c r="B357" s="665" t="inlineStr">
        <is>
          <t>14. Lợi nhuận sau thuế/Tổng tài sản bình quân</t>
        </is>
      </c>
      <c r="C357" s="673" t="n"/>
      <c r="D357" s="676" t="n">
        <v>0.1</v>
      </c>
      <c r="E357" s="652">
        <f>D357*C339</f>
        <v/>
      </c>
      <c r="F357" s="652" t="n"/>
      <c r="G357" s="652" t="n"/>
      <c r="H357" s="652" t="n"/>
    </row>
    <row r="358" ht="15.75" customHeight="1" s="782" thickBot="1">
      <c r="B358" s="667" t="inlineStr">
        <is>
          <t>15. EBIT/Chi phí lãi vay</t>
        </is>
      </c>
      <c r="C358" s="678" t="n"/>
      <c r="D358" s="679" t="n">
        <v>2.73</v>
      </c>
      <c r="E358" s="652">
        <f>D358*C339</f>
        <v/>
      </c>
      <c r="F358" s="652" t="n"/>
      <c r="G358" s="652" t="n"/>
      <c r="H358" s="652" t="n"/>
    </row>
    <row r="359" ht="15.75" customHeight="1" s="782" thickTop="1">
      <c r="B359" s="684" t="inlineStr">
        <is>
          <t>Sản xuất Inox và Luyện kim khác</t>
        </is>
      </c>
      <c r="C359" s="671">
        <f>IF(B359=$G$218,100%,0%)</f>
        <v/>
      </c>
      <c r="D359" s="671" t="n"/>
      <c r="E359" s="644" t="n"/>
      <c r="F359" s="644" t="n"/>
      <c r="G359" s="644" t="n"/>
      <c r="H359" s="644" t="n"/>
    </row>
    <row r="360">
      <c r="B360" s="656" t="inlineStr">
        <is>
          <t>Chỉ tiêu thanh khoản</t>
        </is>
      </c>
      <c r="C360" s="657" t="n"/>
      <c r="D360" s="672" t="n"/>
      <c r="E360" s="648" t="n"/>
      <c r="F360" s="648" t="n"/>
      <c r="G360" s="648" t="n"/>
      <c r="H360" s="648" t="n"/>
    </row>
    <row r="361">
      <c r="B361" s="659" t="inlineStr">
        <is>
          <t>1.Khả năng thanh toán hiện hành</t>
        </is>
      </c>
      <c r="C361" s="673" t="n"/>
      <c r="D361" s="675" t="n">
        <v>1.18</v>
      </c>
      <c r="E361" s="652">
        <f>C359*D361</f>
        <v/>
      </c>
      <c r="F361" s="652" t="n"/>
      <c r="G361" s="652" t="n"/>
      <c r="H361" s="652" t="n"/>
    </row>
    <row r="362">
      <c r="B362" s="659" t="inlineStr">
        <is>
          <t>2. Khả năng thanh toán nhanh</t>
        </is>
      </c>
      <c r="C362" s="673" t="n"/>
      <c r="D362" s="675" t="n">
        <v>0.57</v>
      </c>
      <c r="E362" s="652">
        <f>D362*C359</f>
        <v/>
      </c>
      <c r="F362" s="652" t="n"/>
      <c r="G362" s="652" t="n"/>
      <c r="H362" s="652" t="n"/>
    </row>
    <row r="363">
      <c r="B363" s="659" t="inlineStr">
        <is>
          <t>3. Khả năng thanh toán tức thời</t>
        </is>
      </c>
      <c r="C363" s="673" t="n"/>
      <c r="D363" s="675" t="n">
        <v>0.07000000000000001</v>
      </c>
      <c r="E363" s="652">
        <f>D363*C359</f>
        <v/>
      </c>
      <c r="F363" s="652" t="n"/>
      <c r="G363" s="652" t="n"/>
      <c r="H363" s="652" t="n"/>
    </row>
    <row r="364">
      <c r="B364" s="656" t="inlineStr">
        <is>
          <t>Chỉ tiêu hoạt động</t>
        </is>
      </c>
      <c r="C364" s="657" t="n"/>
      <c r="D364" s="672" t="n"/>
      <c r="E364" s="652" t="n"/>
      <c r="F364" s="648" t="n"/>
      <c r="G364" s="648" t="n"/>
      <c r="H364" s="648" t="n"/>
    </row>
    <row r="365">
      <c r="B365" s="659" t="inlineStr">
        <is>
          <t>4. Vòng quay vốn lưu động</t>
        </is>
      </c>
      <c r="C365" s="673" t="n"/>
      <c r="D365" s="675" t="n">
        <v>3.3</v>
      </c>
      <c r="E365" s="652">
        <f>D365*C359</f>
        <v/>
      </c>
      <c r="F365" s="652" t="n"/>
      <c r="G365" s="652" t="n"/>
      <c r="H365" s="652" t="n"/>
    </row>
    <row r="366">
      <c r="B366" s="659" t="inlineStr">
        <is>
          <t>5. Vòng quay hàng tồn kho</t>
        </is>
      </c>
      <c r="C366" s="673" t="n"/>
      <c r="D366" s="675" t="n">
        <v>4</v>
      </c>
      <c r="E366" s="652">
        <f>D366*C359</f>
        <v/>
      </c>
      <c r="F366" s="652" t="n"/>
      <c r="G366" s="652" t="n"/>
      <c r="H366" s="652" t="n"/>
    </row>
    <row r="367">
      <c r="B367" s="659" t="inlineStr">
        <is>
          <t>6. Vòng quay các khoản phải thu</t>
        </is>
      </c>
      <c r="C367" s="673" t="n"/>
      <c r="D367" s="675" t="n">
        <v>6.83</v>
      </c>
      <c r="E367" s="652">
        <f>D367*C359</f>
        <v/>
      </c>
      <c r="F367" s="652" t="n"/>
      <c r="G367" s="652" t="n"/>
      <c r="H367" s="652" t="n"/>
    </row>
    <row r="368">
      <c r="B368" s="659" t="inlineStr">
        <is>
          <t>7. Hiệu suất sử dụng TSCĐ</t>
        </is>
      </c>
      <c r="C368" s="673" t="n"/>
      <c r="D368" s="675" t="n">
        <v>5</v>
      </c>
      <c r="E368" s="652">
        <f>D368*C359</f>
        <v/>
      </c>
      <c r="F368" s="652" t="n"/>
      <c r="G368" s="652" t="n"/>
      <c r="H368" s="652" t="n"/>
    </row>
    <row r="369">
      <c r="B369" s="656" t="inlineStr">
        <is>
          <t>Chỉ tiêu cân nợ</t>
        </is>
      </c>
      <c r="C369" s="657" t="n"/>
      <c r="D369" s="672" t="n"/>
      <c r="E369" s="652" t="n"/>
      <c r="F369" s="648" t="n"/>
      <c r="G369" s="648" t="n"/>
      <c r="H369" s="648" t="n"/>
    </row>
    <row r="370">
      <c r="B370" s="659" t="inlineStr">
        <is>
          <t>8. Tổng nợ phải trả/ Tổng tài sản</t>
        </is>
      </c>
      <c r="C370" s="673" t="n"/>
      <c r="D370" s="677" t="n">
        <v>0.717</v>
      </c>
      <c r="E370" s="652">
        <f>D370*C359</f>
        <v/>
      </c>
      <c r="F370" s="652" t="n"/>
      <c r="G370" s="652" t="n"/>
      <c r="H370" s="652" t="n"/>
    </row>
    <row r="371">
      <c r="B371" s="659" t="inlineStr">
        <is>
          <t>9. Nợ dài dạn/Vốn CSH</t>
        </is>
      </c>
      <c r="C371" s="673" t="n"/>
      <c r="D371" s="677" t="n">
        <v>0.583</v>
      </c>
      <c r="E371" s="652">
        <f>D371*C359</f>
        <v/>
      </c>
      <c r="F371" s="652" t="n"/>
      <c r="G371" s="652" t="n"/>
      <c r="H371" s="652" t="n"/>
    </row>
    <row r="372">
      <c r="B372" s="659" t="inlineStr">
        <is>
          <t>10. Tổng nợ/Vốn CSH</t>
        </is>
      </c>
      <c r="C372" s="673" t="n"/>
      <c r="D372" s="676" t="n">
        <v>1.84</v>
      </c>
      <c r="E372" s="652">
        <f>D372*C359</f>
        <v/>
      </c>
      <c r="F372" s="652" t="n"/>
      <c r="G372" s="652" t="n"/>
      <c r="H372" s="652" t="n"/>
    </row>
    <row r="373">
      <c r="B373" s="656" t="inlineStr">
        <is>
          <t>Chỉ tiêu thu nhập</t>
        </is>
      </c>
      <c r="C373" s="657" t="n"/>
      <c r="D373" s="672" t="n"/>
      <c r="E373" s="652" t="n"/>
      <c r="F373" s="648" t="n"/>
      <c r="G373" s="648" t="n"/>
      <c r="H373" s="648" t="n"/>
    </row>
    <row r="374">
      <c r="B374" s="665" t="inlineStr">
        <is>
          <t>11. Lợi nhuận gộp/Doanh thu thuần</t>
        </is>
      </c>
      <c r="C374" s="673" t="n"/>
      <c r="D374" s="676" t="n">
        <v>0.14</v>
      </c>
      <c r="E374" s="652">
        <f>D374*C359</f>
        <v/>
      </c>
      <c r="F374" s="652" t="n"/>
      <c r="G374" s="652" t="n"/>
      <c r="H374" s="652" t="n"/>
    </row>
    <row r="375">
      <c r="B375" s="665" t="inlineStr">
        <is>
          <t>12. Lợi nhuận từ hoạt động kinh doanh/Doanh thu thuần</t>
        </is>
      </c>
      <c r="C375" s="673" t="n"/>
      <c r="D375" s="677" t="n">
        <v>0.092</v>
      </c>
      <c r="E375" s="652">
        <f>D375*C359</f>
        <v/>
      </c>
      <c r="F375" s="652" t="n"/>
      <c r="G375" s="652" t="n"/>
      <c r="H375" s="652" t="n"/>
    </row>
    <row r="376">
      <c r="B376" s="665" t="inlineStr">
        <is>
          <t>13. Lợi nhuận sau thuế/Vốn CSH bình quân</t>
        </is>
      </c>
      <c r="C376" s="673" t="n"/>
      <c r="D376" s="676" t="n">
        <v>0.17</v>
      </c>
      <c r="E376" s="652">
        <f>D376*C359</f>
        <v/>
      </c>
      <c r="F376" s="652" t="n"/>
      <c r="G376" s="652" t="n"/>
      <c r="H376" s="652" t="n"/>
    </row>
    <row r="377">
      <c r="B377" s="665" t="inlineStr">
        <is>
          <t>14. Lợi nhuận sau thuế/Tổng tài sản bình quân</t>
        </is>
      </c>
      <c r="C377" s="673" t="n"/>
      <c r="D377" s="677" t="n">
        <v>0.093</v>
      </c>
      <c r="E377" s="652">
        <f>D377*C359</f>
        <v/>
      </c>
      <c r="F377" s="652" t="n"/>
      <c r="G377" s="652" t="n"/>
      <c r="H377" s="652" t="n"/>
    </row>
    <row r="378" ht="15.75" customHeight="1" s="782" thickBot="1">
      <c r="B378" s="667" t="inlineStr">
        <is>
          <t>15. EBIT/Chi phí lãi vay</t>
        </is>
      </c>
      <c r="C378" s="678" t="n"/>
      <c r="D378" s="679" t="n">
        <v>2.7</v>
      </c>
      <c r="E378" s="652">
        <f>D378*C359</f>
        <v/>
      </c>
      <c r="F378" s="652" t="n"/>
      <c r="G378" s="652" t="n"/>
      <c r="H378" s="652" t="n"/>
    </row>
    <row r="379" ht="15.75" customHeight="1" s="782" thickTop="1">
      <c r="B379" s="670" t="inlineStr">
        <is>
          <t>Cơ khí, lắp ráp, chế tạo máy móc, ô tô, xe máy</t>
        </is>
      </c>
      <c r="C379" s="671">
        <f>IF(B379=$G$218,100%,0%)</f>
        <v/>
      </c>
      <c r="D379" s="671" t="n"/>
      <c r="E379" s="644" t="n"/>
      <c r="F379" s="644" t="n"/>
      <c r="G379" s="644" t="n"/>
      <c r="H379" s="644" t="n"/>
    </row>
    <row r="380">
      <c r="B380" s="656" t="inlineStr">
        <is>
          <t>Chỉ tiêu thanh khoản</t>
        </is>
      </c>
      <c r="C380" s="657" t="n"/>
      <c r="D380" s="675" t="n"/>
      <c r="E380" s="652" t="n"/>
      <c r="F380" s="652" t="n"/>
      <c r="G380" s="652" t="n"/>
      <c r="H380" s="652" t="n"/>
    </row>
    <row r="381">
      <c r="B381" s="659" t="inlineStr">
        <is>
          <t>1.Khả năng thanh toán hiện hành</t>
        </is>
      </c>
      <c r="C381" s="673" t="n"/>
      <c r="D381" s="675" t="n">
        <v>1.05</v>
      </c>
      <c r="E381" s="652">
        <f>C379*D381</f>
        <v/>
      </c>
      <c r="F381" s="652" t="n"/>
      <c r="G381" s="652" t="n"/>
      <c r="H381" s="652" t="n"/>
    </row>
    <row r="382">
      <c r="B382" s="659" t="inlineStr">
        <is>
          <t>2. Khả năng thanh toán nhanh</t>
        </is>
      </c>
      <c r="C382" s="673" t="n"/>
      <c r="D382" s="675" t="n">
        <v>0.52</v>
      </c>
      <c r="E382" s="652">
        <f>D382*C379</f>
        <v/>
      </c>
      <c r="F382" s="652" t="n"/>
      <c r="G382" s="652" t="n"/>
      <c r="H382" s="652" t="n"/>
    </row>
    <row r="383">
      <c r="B383" s="659" t="inlineStr">
        <is>
          <t>3. Khả năng thanh toán tức thời</t>
        </is>
      </c>
      <c r="C383" s="673" t="n"/>
      <c r="D383" s="675" t="n">
        <v>0.06</v>
      </c>
      <c r="E383" s="652">
        <f>D383*C379</f>
        <v/>
      </c>
      <c r="F383" s="652" t="n"/>
      <c r="G383" s="652" t="n"/>
      <c r="H383" s="652" t="n"/>
    </row>
    <row r="384">
      <c r="B384" s="656" t="inlineStr">
        <is>
          <t>Chỉ tiêu hoạt động</t>
        </is>
      </c>
      <c r="C384" s="657" t="n"/>
      <c r="D384" s="675" t="n"/>
      <c r="E384" s="652" t="n"/>
      <c r="F384" s="652" t="n"/>
      <c r="G384" s="652" t="n"/>
      <c r="H384" s="652" t="n"/>
    </row>
    <row r="385">
      <c r="B385" s="659" t="inlineStr">
        <is>
          <t>4. Vòng quay vốn lưu động</t>
        </is>
      </c>
      <c r="C385" s="673" t="n"/>
      <c r="D385" s="675" t="n">
        <v>3.17</v>
      </c>
      <c r="E385" s="652">
        <f>D385*C379</f>
        <v/>
      </c>
      <c r="F385" s="652" t="n"/>
      <c r="G385" s="652" t="n"/>
      <c r="H385" s="652" t="n"/>
    </row>
    <row r="386">
      <c r="B386" s="659" t="inlineStr">
        <is>
          <t>5. Vòng quay hàng tồn kho</t>
        </is>
      </c>
      <c r="C386" s="673" t="n"/>
      <c r="D386" s="675" t="n">
        <v>4.83</v>
      </c>
      <c r="E386" s="652">
        <f>D386*C379</f>
        <v/>
      </c>
      <c r="F386" s="652" t="n"/>
      <c r="G386" s="652" t="n"/>
      <c r="H386" s="652" t="n"/>
    </row>
    <row r="387">
      <c r="B387" s="659" t="inlineStr">
        <is>
          <t>6. Vòng quay các khoản phải thu</t>
        </is>
      </c>
      <c r="C387" s="673" t="n"/>
      <c r="D387" s="675" t="n">
        <v>6.83</v>
      </c>
      <c r="E387" s="652">
        <f>D387*C379</f>
        <v/>
      </c>
      <c r="F387" s="652" t="n"/>
      <c r="G387" s="652" t="n"/>
      <c r="H387" s="652" t="n"/>
    </row>
    <row r="388">
      <c r="B388" s="659" t="inlineStr">
        <is>
          <t>7. Hiệu suất sử dụng TSCĐ</t>
        </is>
      </c>
      <c r="C388" s="673" t="n"/>
      <c r="D388" s="675" t="n">
        <v>6.17</v>
      </c>
      <c r="E388" s="652">
        <f>D388*C379</f>
        <v/>
      </c>
      <c r="F388" s="652" t="n"/>
      <c r="G388" s="652" t="n"/>
      <c r="H388" s="652" t="n"/>
    </row>
    <row r="389">
      <c r="B389" s="656" t="inlineStr">
        <is>
          <t>Chỉ tiêu cân nợ</t>
        </is>
      </c>
      <c r="C389" s="657" t="n"/>
      <c r="D389" s="675" t="n"/>
      <c r="E389" s="652" t="n"/>
      <c r="F389" s="652" t="n"/>
      <c r="G389" s="652" t="n"/>
      <c r="H389" s="652" t="n"/>
    </row>
    <row r="390">
      <c r="B390" s="665" t="inlineStr">
        <is>
          <t>8. Tổng nợ phải trả/ Tổng tài sản</t>
        </is>
      </c>
      <c r="C390" s="673" t="n"/>
      <c r="D390" s="676" t="n">
        <v>0.7</v>
      </c>
      <c r="E390" s="652">
        <f>D390*C379</f>
        <v/>
      </c>
      <c r="F390" s="652" t="n"/>
      <c r="G390" s="652" t="n"/>
      <c r="H390" s="652" t="n"/>
    </row>
    <row r="391">
      <c r="B391" s="665" t="inlineStr">
        <is>
          <t>9. Nợ dài dạn/Vốn CSH</t>
        </is>
      </c>
      <c r="C391" s="673" t="n"/>
      <c r="D391" s="676" t="n">
        <v>0.65</v>
      </c>
      <c r="E391" s="652">
        <f>D391*C379</f>
        <v/>
      </c>
      <c r="F391" s="652" t="n"/>
      <c r="G391" s="652" t="n"/>
      <c r="H391" s="652" t="n"/>
    </row>
    <row r="392">
      <c r="B392" s="659" t="inlineStr">
        <is>
          <t>10. Tổng nợ/Vốn CSH</t>
        </is>
      </c>
      <c r="C392" s="673" t="n"/>
      <c r="D392" s="676" t="n">
        <v>1.8</v>
      </c>
      <c r="E392" s="652">
        <f>D392*C379</f>
        <v/>
      </c>
      <c r="F392" s="652" t="n"/>
      <c r="G392" s="652" t="n"/>
      <c r="H392" s="652" t="n"/>
    </row>
    <row r="393">
      <c r="B393" s="656" t="inlineStr">
        <is>
          <t>Chỉ tiêu thu nhập</t>
        </is>
      </c>
      <c r="C393" s="657" t="n"/>
      <c r="D393" s="675" t="n"/>
      <c r="E393" s="652" t="n"/>
      <c r="F393" s="652" t="n"/>
      <c r="G393" s="652" t="n"/>
      <c r="H393" s="652" t="n"/>
    </row>
    <row r="394">
      <c r="B394" s="665" t="inlineStr">
        <is>
          <t>11. Lợi nhuận gộp/Doanh thu thuần</t>
        </is>
      </c>
      <c r="C394" s="673" t="n"/>
      <c r="D394" s="677" t="n">
        <v>0.1117</v>
      </c>
      <c r="E394" s="652">
        <f>D394*C379</f>
        <v/>
      </c>
      <c r="F394" s="652" t="n"/>
      <c r="G394" s="652" t="n"/>
      <c r="H394" s="652" t="n"/>
    </row>
    <row r="395">
      <c r="B395" s="665" t="inlineStr">
        <is>
          <t>12. Lợi nhuận từ hoạt động kinh doanh/Doanh thu thuần</t>
        </is>
      </c>
      <c r="C395" s="673" t="n"/>
      <c r="D395" s="677" t="n">
        <v>0.08169999999999999</v>
      </c>
      <c r="E395" s="652">
        <f>D395*C379</f>
        <v/>
      </c>
      <c r="F395" s="652" t="n"/>
      <c r="G395" s="652" t="n"/>
      <c r="H395" s="652" t="n"/>
    </row>
    <row r="396">
      <c r="B396" s="665" t="inlineStr">
        <is>
          <t>13. Lợi nhuận sau thuế/Vốn CSH bình quân</t>
        </is>
      </c>
      <c r="C396" s="673" t="n"/>
      <c r="D396" s="677" t="n">
        <v>0.1467</v>
      </c>
      <c r="E396" s="652">
        <f>D396*C379</f>
        <v/>
      </c>
      <c r="F396" s="652" t="n"/>
      <c r="G396" s="652" t="n"/>
      <c r="H396" s="652" t="n"/>
    </row>
    <row r="397">
      <c r="B397" s="665" t="inlineStr">
        <is>
          <t>14. Lợi nhuận sau thuế/Tổng tài sản bình quân</t>
        </is>
      </c>
      <c r="C397" s="673" t="n"/>
      <c r="D397" s="676" t="n">
        <v>0.06</v>
      </c>
      <c r="E397" s="652">
        <f>D397*C379</f>
        <v/>
      </c>
      <c r="F397" s="652" t="n"/>
      <c r="G397" s="652" t="n"/>
      <c r="H397" s="652" t="n"/>
    </row>
    <row r="398" ht="15.75" customHeight="1" s="782" thickBot="1">
      <c r="B398" s="667" t="inlineStr">
        <is>
          <t>15. EBIT/Chi phí lãi vay</t>
        </is>
      </c>
      <c r="C398" s="678" t="n"/>
      <c r="D398" s="679" t="n">
        <v>2.3</v>
      </c>
      <c r="E398" s="652">
        <f>D398*C379</f>
        <v/>
      </c>
      <c r="F398" s="652" t="n"/>
      <c r="G398" s="652" t="n"/>
      <c r="H398" s="652" t="n"/>
    </row>
    <row r="399" ht="29.25" customHeight="1" s="782" thickTop="1">
      <c r="B399" s="670" t="inlineStr">
        <is>
          <t>Sản xuất điện tử, thiết bị điện, máy vi tính quang học, thiết bị viễn thông</t>
        </is>
      </c>
      <c r="C399" s="671">
        <f>IF(B399=$G$218,100%,0%)</f>
        <v/>
      </c>
      <c r="D399" s="671" t="n"/>
      <c r="E399" s="644" t="n"/>
      <c r="F399" s="644" t="n"/>
      <c r="G399" s="644" t="n"/>
      <c r="H399" s="644" t="n"/>
    </row>
    <row r="400">
      <c r="B400" s="656" t="inlineStr">
        <is>
          <t>Chỉ tiêu thanh khoản</t>
        </is>
      </c>
      <c r="C400" s="657" t="n"/>
      <c r="D400" s="672" t="n"/>
      <c r="E400" s="648" t="n"/>
      <c r="F400" s="648" t="n"/>
      <c r="G400" s="648" t="n"/>
      <c r="H400" s="648" t="n"/>
    </row>
    <row r="401">
      <c r="B401" s="659" t="inlineStr">
        <is>
          <t>1.Khả năng thanh toán hiện hành</t>
        </is>
      </c>
      <c r="C401" s="673" t="n"/>
      <c r="D401" s="675" t="n">
        <v>1.23</v>
      </c>
      <c r="E401" s="652">
        <f>C399*D401</f>
        <v/>
      </c>
      <c r="F401" s="652" t="n"/>
      <c r="G401" s="652" t="n"/>
      <c r="H401" s="652" t="n"/>
    </row>
    <row r="402">
      <c r="B402" s="659" t="inlineStr">
        <is>
          <t>2. Khả năng thanh toán nhanh</t>
        </is>
      </c>
      <c r="C402" s="673" t="n"/>
      <c r="D402" s="675" t="n">
        <v>0.85</v>
      </c>
      <c r="E402" s="652">
        <f>D402*C399</f>
        <v/>
      </c>
      <c r="F402" s="652" t="n"/>
      <c r="G402" s="652" t="n"/>
      <c r="H402" s="652" t="n"/>
    </row>
    <row r="403">
      <c r="B403" s="659" t="inlineStr">
        <is>
          <t>3. Khả năng thanh toán tức thời</t>
        </is>
      </c>
      <c r="C403" s="673" t="n"/>
      <c r="D403" s="675" t="n">
        <v>0.11</v>
      </c>
      <c r="E403" s="652">
        <f>D403*C399</f>
        <v/>
      </c>
      <c r="F403" s="652" t="n"/>
      <c r="G403" s="652" t="n"/>
      <c r="H403" s="652" t="n"/>
    </row>
    <row r="404">
      <c r="B404" s="656" t="inlineStr">
        <is>
          <t>Chỉ tiêu hoạt động</t>
        </is>
      </c>
      <c r="C404" s="657" t="n"/>
      <c r="D404" s="672" t="n"/>
      <c r="E404" s="652" t="n"/>
      <c r="F404" s="648" t="n"/>
      <c r="G404" s="648" t="n"/>
      <c r="H404" s="648" t="n"/>
    </row>
    <row r="405">
      <c r="B405" s="659" t="inlineStr">
        <is>
          <t>4. Vòng quay vốn lưu động</t>
        </is>
      </c>
      <c r="C405" s="673" t="n"/>
      <c r="D405" s="675" t="n">
        <v>2.7</v>
      </c>
      <c r="E405" s="652">
        <f>D405*C399</f>
        <v/>
      </c>
      <c r="F405" s="652" t="n"/>
      <c r="G405" s="652" t="n"/>
      <c r="H405" s="652" t="n"/>
    </row>
    <row r="406">
      <c r="B406" s="659" t="inlineStr">
        <is>
          <t>5. Vòng quay hàng tồn kho</t>
        </is>
      </c>
      <c r="C406" s="673" t="n"/>
      <c r="D406" s="675" t="n">
        <v>5.33</v>
      </c>
      <c r="E406" s="652">
        <f>D406*C399</f>
        <v/>
      </c>
      <c r="F406" s="652" t="n"/>
      <c r="G406" s="652" t="n"/>
      <c r="H406" s="652" t="n"/>
    </row>
    <row r="407">
      <c r="B407" s="659" t="inlineStr">
        <is>
          <t>6. Vòng quay các khoản phải thu</t>
        </is>
      </c>
      <c r="C407" s="673" t="n"/>
      <c r="D407" s="675" t="n">
        <v>6</v>
      </c>
      <c r="E407" s="652">
        <f>D407*C399</f>
        <v/>
      </c>
      <c r="F407" s="652" t="n"/>
      <c r="G407" s="652" t="n"/>
      <c r="H407" s="652" t="n"/>
    </row>
    <row r="408">
      <c r="B408" s="659" t="inlineStr">
        <is>
          <t>7. Hiệu suất sử dụng TSCĐ</t>
        </is>
      </c>
      <c r="C408" s="673" t="n"/>
      <c r="D408" s="675" t="n">
        <v>2.27</v>
      </c>
      <c r="E408" s="652">
        <f>D408*C399</f>
        <v/>
      </c>
      <c r="F408" s="652" t="n"/>
      <c r="G408" s="652" t="n"/>
      <c r="H408" s="652" t="n"/>
    </row>
    <row r="409">
      <c r="B409" s="656" t="inlineStr">
        <is>
          <t>Chỉ tiêu cân nợ</t>
        </is>
      </c>
      <c r="C409" s="657" t="n"/>
      <c r="D409" s="672" t="n"/>
      <c r="E409" s="652" t="n"/>
      <c r="F409" s="648" t="n"/>
      <c r="G409" s="648" t="n"/>
      <c r="H409" s="648" t="n"/>
    </row>
    <row r="410">
      <c r="B410" s="659" t="inlineStr">
        <is>
          <t>8. Tổng nợ phải trả/ Tổng tài sản</t>
        </is>
      </c>
      <c r="C410" s="673" t="n"/>
      <c r="D410" s="676" t="n">
        <v>0.65</v>
      </c>
      <c r="E410" s="652">
        <f>D410*C399</f>
        <v/>
      </c>
      <c r="F410" s="652" t="n"/>
      <c r="G410" s="652" t="n"/>
      <c r="H410" s="652" t="n"/>
    </row>
    <row r="411">
      <c r="B411" s="659" t="inlineStr">
        <is>
          <t>9. Nợ dài dạn/Vốn CSH</t>
        </is>
      </c>
      <c r="C411" s="673" t="n"/>
      <c r="D411" s="676" t="n">
        <v>0.53</v>
      </c>
      <c r="E411" s="652">
        <f>D411*C399</f>
        <v/>
      </c>
      <c r="F411" s="652" t="n"/>
      <c r="G411" s="652" t="n"/>
      <c r="H411" s="652" t="n"/>
    </row>
    <row r="412">
      <c r="B412" s="659" t="inlineStr">
        <is>
          <t>10. Tổng nợ/Vốn CSH</t>
        </is>
      </c>
      <c r="C412" s="673" t="n"/>
      <c r="D412" s="676" t="n">
        <v>1.71</v>
      </c>
      <c r="E412" s="652">
        <f>D412*C399</f>
        <v/>
      </c>
      <c r="F412" s="652" t="n"/>
      <c r="G412" s="652" t="n"/>
      <c r="H412" s="652" t="n"/>
    </row>
    <row r="413">
      <c r="B413" s="656" t="inlineStr">
        <is>
          <t>Chỉ tiêu thu nhập</t>
        </is>
      </c>
      <c r="C413" s="657" t="n"/>
      <c r="D413" s="672" t="n"/>
      <c r="E413" s="652" t="n"/>
      <c r="F413" s="648" t="n"/>
      <c r="G413" s="648" t="n"/>
      <c r="H413" s="648" t="n"/>
    </row>
    <row r="414">
      <c r="B414" s="665" t="inlineStr">
        <is>
          <t>11. Lợi nhuận gộp/Doanh thu thuần</t>
        </is>
      </c>
      <c r="C414" s="673" t="n"/>
      <c r="D414" s="676" t="n">
        <v>0.2</v>
      </c>
      <c r="E414" s="652">
        <f>D414*C399</f>
        <v/>
      </c>
      <c r="F414" s="652" t="n"/>
      <c r="G414" s="652" t="n"/>
      <c r="H414" s="652" t="n"/>
    </row>
    <row r="415">
      <c r="B415" s="665" t="inlineStr">
        <is>
          <t>12. Lợi nhuận từ hoạt động kinh doanh/Doanh thu thuần</t>
        </is>
      </c>
      <c r="C415" s="673" t="n"/>
      <c r="D415" s="676" t="n">
        <v>0.08</v>
      </c>
      <c r="E415" s="652">
        <f>D415*C399</f>
        <v/>
      </c>
      <c r="F415" s="652" t="n"/>
      <c r="G415" s="652" t="n"/>
      <c r="H415" s="652" t="n"/>
    </row>
    <row r="416">
      <c r="B416" s="665" t="inlineStr">
        <is>
          <t>13. Lợi nhuận sau thuế/Vốn CSH bình quân</t>
        </is>
      </c>
      <c r="C416" s="673" t="n"/>
      <c r="D416" s="677" t="n">
        <v>0.1667</v>
      </c>
      <c r="E416" s="652">
        <f>D416*C399</f>
        <v/>
      </c>
      <c r="F416" s="652" t="n"/>
      <c r="G416" s="652" t="n"/>
      <c r="H416" s="652" t="n"/>
    </row>
    <row r="417">
      <c r="B417" s="665" t="inlineStr">
        <is>
          <t>14. Lợi nhuận sau thuế/Tổng tài sản bình quân</t>
        </is>
      </c>
      <c r="C417" s="673" t="n"/>
      <c r="D417" s="677" t="n">
        <v>0.08400000000000001</v>
      </c>
      <c r="E417" s="652">
        <f>D417*C399</f>
        <v/>
      </c>
      <c r="F417" s="652" t="n"/>
      <c r="G417" s="652" t="n"/>
      <c r="H417" s="652" t="n"/>
    </row>
    <row r="418" ht="15.75" customHeight="1" s="782" thickBot="1">
      <c r="B418" s="667" t="inlineStr">
        <is>
          <t>15. EBIT/Chi phí lãi vay</t>
        </is>
      </c>
      <c r="C418" s="678" t="n"/>
      <c r="D418" s="679" t="n">
        <v>3.57</v>
      </c>
      <c r="E418" s="652">
        <f>D418*C399</f>
        <v/>
      </c>
      <c r="F418" s="652" t="n"/>
      <c r="G418" s="652" t="n"/>
      <c r="H418" s="652" t="n"/>
    </row>
    <row r="419" ht="15.75" customHeight="1" s="782" thickTop="1">
      <c r="B419" s="670" t="inlineStr">
        <is>
          <t>Đóng tàu, thuyền</t>
        </is>
      </c>
      <c r="C419" s="671">
        <f>IF(B419=$G$218,100%,0%)</f>
        <v/>
      </c>
      <c r="D419" s="671" t="n"/>
      <c r="E419" s="644" t="n"/>
      <c r="F419" s="644" t="n"/>
      <c r="G419" s="644" t="n"/>
      <c r="H419" s="644" t="n"/>
    </row>
    <row r="420">
      <c r="B420" s="656" t="inlineStr">
        <is>
          <t>Chỉ tiêu thanh khoản</t>
        </is>
      </c>
      <c r="C420" s="657" t="n"/>
      <c r="D420" s="672" t="n"/>
      <c r="E420" s="648" t="n"/>
      <c r="F420" s="648" t="n"/>
      <c r="G420" s="648" t="n"/>
      <c r="H420" s="648" t="n"/>
    </row>
    <row r="421">
      <c r="B421" s="659" t="inlineStr">
        <is>
          <t>1.Khả năng thanh toán hiện hành</t>
        </is>
      </c>
      <c r="C421" s="673" t="n"/>
      <c r="D421" s="675" t="n">
        <v>1.1</v>
      </c>
      <c r="E421" s="652">
        <f>C419*D421</f>
        <v/>
      </c>
      <c r="F421" s="652" t="n"/>
      <c r="G421" s="652" t="n"/>
      <c r="H421" s="652" t="n"/>
    </row>
    <row r="422">
      <c r="B422" s="659" t="inlineStr">
        <is>
          <t>2. Khả năng thanh toán nhanh</t>
        </is>
      </c>
      <c r="C422" s="673" t="n"/>
      <c r="D422" s="675" t="n">
        <v>0.53</v>
      </c>
      <c r="E422" s="652">
        <f>D422*C419</f>
        <v/>
      </c>
      <c r="F422" s="652" t="n"/>
      <c r="G422" s="652" t="n"/>
      <c r="H422" s="652" t="n"/>
    </row>
    <row r="423">
      <c r="B423" s="659" t="inlineStr">
        <is>
          <t>3. Khả năng thanh toán tức thời</t>
        </is>
      </c>
      <c r="C423" s="673" t="n"/>
      <c r="D423" s="675" t="n">
        <v>0.09</v>
      </c>
      <c r="E423" s="652">
        <f>D423*C419</f>
        <v/>
      </c>
      <c r="F423" s="652" t="n"/>
      <c r="G423" s="652" t="n"/>
      <c r="H423" s="652" t="n"/>
    </row>
    <row r="424">
      <c r="B424" s="656" t="inlineStr">
        <is>
          <t>Chỉ tiêu hoạt động</t>
        </is>
      </c>
      <c r="C424" s="657" t="n"/>
      <c r="D424" s="672" t="n"/>
      <c r="E424" s="652" t="n"/>
      <c r="F424" s="648" t="n"/>
      <c r="G424" s="648" t="n"/>
      <c r="H424" s="648" t="n"/>
    </row>
    <row r="425">
      <c r="B425" s="659" t="inlineStr">
        <is>
          <t>4. Vòng quay vốn lưu động</t>
        </is>
      </c>
      <c r="C425" s="673" t="n"/>
      <c r="D425" s="675" t="n">
        <v>0.9</v>
      </c>
      <c r="E425" s="652">
        <f>D425*C419</f>
        <v/>
      </c>
      <c r="F425" s="652" t="n"/>
      <c r="G425" s="652" t="n"/>
      <c r="H425" s="652" t="n"/>
    </row>
    <row r="426">
      <c r="B426" s="659" t="inlineStr">
        <is>
          <t>5. Vòng quay hàng tồn kho</t>
        </is>
      </c>
      <c r="C426" s="673" t="n"/>
      <c r="D426" s="675" t="n">
        <v>1.4</v>
      </c>
      <c r="E426" s="652">
        <f>D426*C419</f>
        <v/>
      </c>
      <c r="F426" s="652" t="n"/>
      <c r="G426" s="652" t="n"/>
      <c r="H426" s="652" t="n"/>
    </row>
    <row r="427">
      <c r="B427" s="659" t="inlineStr">
        <is>
          <t>6. Vòng quay các khoản phải thu</t>
        </is>
      </c>
      <c r="C427" s="673" t="n"/>
      <c r="D427" s="675" t="n">
        <v>1.7</v>
      </c>
      <c r="E427" s="652">
        <f>D427*C419</f>
        <v/>
      </c>
      <c r="F427" s="652" t="n"/>
      <c r="G427" s="652" t="n"/>
      <c r="H427" s="652" t="n"/>
    </row>
    <row r="428">
      <c r="B428" s="659" t="inlineStr">
        <is>
          <t>7. Hiệu suất sử dụng TSCĐ</t>
        </is>
      </c>
      <c r="C428" s="673" t="n"/>
      <c r="D428" s="675" t="n">
        <v>2.57</v>
      </c>
      <c r="E428" s="652">
        <f>D428*C419</f>
        <v/>
      </c>
      <c r="F428" s="652" t="n"/>
      <c r="G428" s="652" t="n"/>
      <c r="H428" s="652" t="n"/>
    </row>
    <row r="429">
      <c r="B429" s="656" t="inlineStr">
        <is>
          <t>Chỉ tiêu cân nợ</t>
        </is>
      </c>
      <c r="C429" s="657" t="n"/>
      <c r="D429" s="672" t="n"/>
      <c r="E429" s="652" t="n"/>
      <c r="F429" s="648" t="n"/>
      <c r="G429" s="648" t="n"/>
      <c r="H429" s="648" t="n"/>
    </row>
    <row r="430">
      <c r="B430" s="659" t="inlineStr">
        <is>
          <t>8. Tổng nợ phải trả/ Tổng tài sản</t>
        </is>
      </c>
      <c r="C430" s="673" t="n"/>
      <c r="D430" s="676" t="n">
        <v>0.78</v>
      </c>
      <c r="E430" s="652">
        <f>D430*C419</f>
        <v/>
      </c>
      <c r="F430" s="652" t="n"/>
      <c r="G430" s="652" t="n"/>
      <c r="H430" s="652" t="n"/>
    </row>
    <row r="431">
      <c r="B431" s="659" t="inlineStr">
        <is>
          <t>9. Nợ dài dạn/Vốn CSH</t>
        </is>
      </c>
      <c r="C431" s="673" t="n"/>
      <c r="D431" s="676" t="n">
        <v>2</v>
      </c>
      <c r="E431" s="652">
        <f>D431*C419</f>
        <v/>
      </c>
      <c r="F431" s="652" t="n"/>
      <c r="G431" s="652" t="n"/>
      <c r="H431" s="652" t="n"/>
    </row>
    <row r="432">
      <c r="B432" s="659" t="inlineStr">
        <is>
          <t>10. Tổng nợ/Vốn CSH</t>
        </is>
      </c>
      <c r="C432" s="673" t="n"/>
      <c r="D432" s="676" t="n">
        <v>2.64</v>
      </c>
      <c r="E432" s="652">
        <f>D432*C419</f>
        <v/>
      </c>
      <c r="F432" s="652" t="n"/>
      <c r="G432" s="652" t="n"/>
      <c r="H432" s="652" t="n"/>
    </row>
    <row r="433">
      <c r="B433" s="656" t="inlineStr">
        <is>
          <t>Chỉ tiêu thu nhập</t>
        </is>
      </c>
      <c r="C433" s="657" t="n"/>
      <c r="D433" s="672" t="n"/>
      <c r="E433" s="652" t="n"/>
      <c r="F433" s="648" t="n"/>
      <c r="G433" s="648" t="n"/>
      <c r="H433" s="648" t="n"/>
    </row>
    <row r="434">
      <c r="B434" s="665" t="inlineStr">
        <is>
          <t>11. Lợi nhuận gộp/Doanh thu thuần</t>
        </is>
      </c>
      <c r="C434" s="673" t="n"/>
      <c r="D434" s="676" t="n">
        <v>0.09</v>
      </c>
      <c r="E434" s="652">
        <f>D434*C419</f>
        <v/>
      </c>
      <c r="F434" s="652" t="n"/>
      <c r="G434" s="652" t="n"/>
      <c r="H434" s="652" t="n"/>
    </row>
    <row r="435">
      <c r="B435" s="665" t="inlineStr">
        <is>
          <t>12. Lợi nhuận từ hoạt động kinh doanh/Doanh thu thuần</t>
        </is>
      </c>
      <c r="C435" s="673" t="n"/>
      <c r="D435" s="676" t="n">
        <v>0.07000000000000001</v>
      </c>
      <c r="E435" s="652">
        <f>D435*C419</f>
        <v/>
      </c>
      <c r="F435" s="652" t="n"/>
      <c r="G435" s="652" t="n"/>
      <c r="H435" s="652" t="n"/>
    </row>
    <row r="436">
      <c r="B436" s="665" t="inlineStr">
        <is>
          <t>13. Lợi nhuận sau thuế/Vốn CSH bình quân</t>
        </is>
      </c>
      <c r="C436" s="673" t="n"/>
      <c r="D436" s="676" t="n">
        <v>0.12</v>
      </c>
      <c r="E436" s="652">
        <f>D436*C419</f>
        <v/>
      </c>
      <c r="F436" s="652" t="n"/>
      <c r="G436" s="652" t="n"/>
      <c r="H436" s="652" t="n"/>
    </row>
    <row r="437">
      <c r="B437" s="665" t="inlineStr">
        <is>
          <t>14. Lợi nhuận sau thuế/Tổng tài sản bình quân</t>
        </is>
      </c>
      <c r="C437" s="673" t="n"/>
      <c r="D437" s="677" t="n">
        <v>0.017</v>
      </c>
      <c r="E437" s="652">
        <f>D437*C419</f>
        <v/>
      </c>
      <c r="F437" s="652" t="n"/>
      <c r="G437" s="652" t="n"/>
      <c r="H437" s="652" t="n"/>
    </row>
    <row r="438" ht="15.75" customHeight="1" s="782" thickBot="1">
      <c r="B438" s="667" t="inlineStr">
        <is>
          <t>15. EBIT/Chi phí lãi vay</t>
        </is>
      </c>
      <c r="C438" s="678" t="n"/>
      <c r="D438" s="679" t="n">
        <v>2.08</v>
      </c>
      <c r="E438" s="652">
        <f>D438*C419</f>
        <v/>
      </c>
      <c r="F438" s="652" t="n"/>
      <c r="G438" s="652" t="n"/>
      <c r="H438" s="652" t="n"/>
    </row>
    <row r="439" ht="29.25" customHeight="1" s="782" thickTop="1">
      <c r="B439" s="670" t="inlineStr">
        <is>
          <t>Sản xuất thiết bị văn phòng, đồ gia dụng, thiết bị y tế, giáo dục, thể dục thể thao</t>
        </is>
      </c>
      <c r="C439" s="671">
        <f>IF(B439=$G$218,100%,0%)</f>
        <v/>
      </c>
      <c r="D439" s="671" t="n"/>
      <c r="E439" s="644" t="n"/>
      <c r="F439" s="644" t="n"/>
      <c r="G439" s="644" t="n"/>
      <c r="H439" s="644" t="n"/>
    </row>
    <row r="440">
      <c r="B440" s="656" t="inlineStr">
        <is>
          <t>Chỉ tiêu thanh khoản</t>
        </is>
      </c>
      <c r="C440" s="657" t="n"/>
      <c r="D440" s="672" t="n"/>
      <c r="E440" s="648" t="n"/>
      <c r="F440" s="648" t="n"/>
      <c r="G440" s="648" t="n"/>
      <c r="H440" s="648" t="n"/>
    </row>
    <row r="441">
      <c r="B441" s="659" t="inlineStr">
        <is>
          <t>1.Khả năng thanh toán hiện hành</t>
        </is>
      </c>
      <c r="C441" s="673" t="n"/>
      <c r="D441" s="675" t="n">
        <v>1.2</v>
      </c>
      <c r="E441" s="652">
        <f>C439*D441</f>
        <v/>
      </c>
      <c r="F441" s="652" t="n"/>
      <c r="G441" s="652" t="n"/>
      <c r="H441" s="652" t="n"/>
    </row>
    <row r="442">
      <c r="B442" s="659" t="inlineStr">
        <is>
          <t>2. Khả năng thanh toán nhanh</t>
        </is>
      </c>
      <c r="C442" s="673" t="n"/>
      <c r="D442" s="675" t="n">
        <v>0.68</v>
      </c>
      <c r="E442" s="652">
        <f>D442*C439</f>
        <v/>
      </c>
      <c r="F442" s="652" t="n"/>
      <c r="G442" s="652" t="n"/>
      <c r="H442" s="652" t="n"/>
    </row>
    <row r="443">
      <c r="B443" s="659" t="inlineStr">
        <is>
          <t>3. Khả năng thanh toán tức thời</t>
        </is>
      </c>
      <c r="C443" s="673" t="n"/>
      <c r="D443" s="675" t="n">
        <v>0.18</v>
      </c>
      <c r="E443" s="652">
        <f>D443*C439</f>
        <v/>
      </c>
      <c r="F443" s="652" t="n"/>
      <c r="G443" s="652" t="n"/>
      <c r="H443" s="652" t="n"/>
    </row>
    <row r="444">
      <c r="B444" s="656" t="inlineStr">
        <is>
          <t>Chỉ tiêu hoạt động</t>
        </is>
      </c>
      <c r="C444" s="657" t="n"/>
      <c r="D444" s="672" t="n"/>
      <c r="E444" s="652" t="n"/>
      <c r="F444" s="648" t="n"/>
      <c r="G444" s="648" t="n"/>
      <c r="H444" s="648" t="n"/>
    </row>
    <row r="445">
      <c r="B445" s="659" t="inlineStr">
        <is>
          <t>4. Vòng quay vốn lưu động</t>
        </is>
      </c>
      <c r="C445" s="673" t="n"/>
      <c r="D445" s="675" t="n">
        <v>2.7</v>
      </c>
      <c r="E445" s="652">
        <f>D445*C439</f>
        <v/>
      </c>
      <c r="F445" s="652" t="n"/>
      <c r="G445" s="652" t="n"/>
      <c r="H445" s="652" t="n"/>
    </row>
    <row r="446">
      <c r="B446" s="659" t="inlineStr">
        <is>
          <t>5. Vòng quay hàng tồn kho</t>
        </is>
      </c>
      <c r="C446" s="673" t="n"/>
      <c r="D446" s="675" t="n">
        <v>4.37</v>
      </c>
      <c r="E446" s="652">
        <f>D446*C439</f>
        <v/>
      </c>
      <c r="F446" s="652" t="n"/>
      <c r="G446" s="652" t="n"/>
      <c r="H446" s="652" t="n"/>
    </row>
    <row r="447">
      <c r="B447" s="659" t="inlineStr">
        <is>
          <t>6. Vòng quay các khoản phải thu</t>
        </is>
      </c>
      <c r="C447" s="673" t="n"/>
      <c r="D447" s="675" t="n">
        <v>5.83</v>
      </c>
      <c r="E447" s="652">
        <f>D447*C439</f>
        <v/>
      </c>
      <c r="F447" s="652" t="n"/>
      <c r="G447" s="652" t="n"/>
      <c r="H447" s="652" t="n"/>
    </row>
    <row r="448">
      <c r="B448" s="659" t="inlineStr">
        <is>
          <t>7. Hiệu suất sử dụng TSCĐ</t>
        </is>
      </c>
      <c r="C448" s="673" t="n"/>
      <c r="D448" s="675" t="n">
        <v>4.8</v>
      </c>
      <c r="E448" s="652">
        <f>D448*C439</f>
        <v/>
      </c>
      <c r="F448" s="652" t="n"/>
      <c r="G448" s="652" t="n"/>
      <c r="H448" s="652" t="n"/>
    </row>
    <row r="449">
      <c r="B449" s="656" t="inlineStr">
        <is>
          <t>Chỉ tiêu cân nợ</t>
        </is>
      </c>
      <c r="C449" s="657" t="n"/>
      <c r="D449" s="672" t="n"/>
      <c r="E449" s="652" t="n"/>
      <c r="F449" s="648" t="n"/>
      <c r="G449" s="648" t="n"/>
      <c r="H449" s="648" t="n"/>
    </row>
    <row r="450">
      <c r="B450" s="659" t="inlineStr">
        <is>
          <t>8. Tổng nợ phải trả/ Tổng tài sản</t>
        </is>
      </c>
      <c r="C450" s="673" t="n"/>
      <c r="D450" s="676" t="n">
        <v>0.71</v>
      </c>
      <c r="E450" s="652">
        <f>D450*C439</f>
        <v/>
      </c>
      <c r="F450" s="652" t="n"/>
      <c r="G450" s="652" t="n"/>
      <c r="H450" s="652" t="n"/>
    </row>
    <row r="451">
      <c r="B451" s="659" t="inlineStr">
        <is>
          <t>9. Nợ dài dạn/Vốn CSH</t>
        </is>
      </c>
      <c r="C451" s="673" t="n"/>
      <c r="D451" s="676" t="n">
        <v>0.65</v>
      </c>
      <c r="E451" s="652">
        <f>D451*C439</f>
        <v/>
      </c>
      <c r="F451" s="652" t="n"/>
      <c r="G451" s="652" t="n"/>
      <c r="H451" s="652" t="n"/>
    </row>
    <row r="452">
      <c r="B452" s="659" t="inlineStr">
        <is>
          <t>10. Tổng nợ/Vốn CSH</t>
        </is>
      </c>
      <c r="C452" s="673" t="n"/>
      <c r="D452" s="676" t="n">
        <v>1.84</v>
      </c>
      <c r="E452" s="652">
        <f>D452*C439</f>
        <v/>
      </c>
      <c r="F452" s="652" t="n"/>
      <c r="G452" s="652" t="n"/>
      <c r="H452" s="652" t="n"/>
    </row>
    <row r="453">
      <c r="B453" s="656" t="inlineStr">
        <is>
          <t>Chỉ tiêu thu nhập</t>
        </is>
      </c>
      <c r="C453" s="657" t="n"/>
      <c r="D453" s="672" t="n"/>
      <c r="E453" s="652" t="n"/>
      <c r="F453" s="648" t="n"/>
      <c r="G453" s="648" t="n"/>
      <c r="H453" s="648" t="n"/>
    </row>
    <row r="454">
      <c r="B454" s="665" t="inlineStr">
        <is>
          <t>11. Lợi nhuận gộp/Doanh thu thuần</t>
        </is>
      </c>
      <c r="C454" s="673" t="n"/>
      <c r="D454" s="677" t="n">
        <v>0.207</v>
      </c>
      <c r="E454" s="652">
        <f>D454*C439</f>
        <v/>
      </c>
      <c r="F454" s="652" t="n"/>
      <c r="G454" s="652" t="n"/>
      <c r="H454" s="652" t="n"/>
    </row>
    <row r="455">
      <c r="B455" s="665" t="inlineStr">
        <is>
          <t>12. Lợi nhuận từ hoạt động kinh doanh/Doanh thu thuần</t>
        </is>
      </c>
      <c r="C455" s="673" t="n"/>
      <c r="D455" s="676" t="n">
        <v>0.06</v>
      </c>
      <c r="E455" s="652">
        <f>D455*C439</f>
        <v/>
      </c>
      <c r="F455" s="652" t="n"/>
      <c r="G455" s="652" t="n"/>
      <c r="H455" s="652" t="n"/>
    </row>
    <row r="456">
      <c r="B456" s="665" t="inlineStr">
        <is>
          <t>13. Lợi nhuận sau thuế/Vốn CSH bình quân</t>
        </is>
      </c>
      <c r="C456" s="673" t="n"/>
      <c r="D456" s="676" t="n">
        <v>0.18</v>
      </c>
      <c r="E456" s="652">
        <f>D456*C439</f>
        <v/>
      </c>
      <c r="F456" s="652" t="n"/>
      <c r="G456" s="652" t="n"/>
      <c r="H456" s="652" t="n"/>
    </row>
    <row r="457">
      <c r="B457" s="665" t="inlineStr">
        <is>
          <t>14. Lợi nhuận sau thuế/Tổng tài sản bình quân</t>
        </is>
      </c>
      <c r="C457" s="673" t="n"/>
      <c r="D457" s="677" t="n">
        <v>0.0567</v>
      </c>
      <c r="E457" s="652">
        <f>D457*C439</f>
        <v/>
      </c>
      <c r="F457" s="652" t="n"/>
      <c r="G457" s="652" t="n"/>
      <c r="H457" s="652" t="n"/>
    </row>
    <row r="458" ht="15.75" customHeight="1" s="782" thickBot="1">
      <c r="B458" s="667" t="inlineStr">
        <is>
          <t>15. EBIT/Chi phí lãi vay</t>
        </is>
      </c>
      <c r="C458" s="678" t="n"/>
      <c r="D458" s="679" t="n">
        <v>2.17</v>
      </c>
      <c r="E458" s="652">
        <f>D458*C439</f>
        <v/>
      </c>
      <c r="F458" s="652" t="n"/>
      <c r="G458" s="652" t="n"/>
      <c r="H458" s="652" t="n"/>
    </row>
    <row r="459" ht="15.75" customHeight="1" s="782" thickTop="1">
      <c r="B459" s="670" t="inlineStr">
        <is>
          <t>Sản xuất và phân phối điện, năng lượng</t>
        </is>
      </c>
      <c r="C459" s="671">
        <f>IF(B459=$G$218,100%,0%)</f>
        <v/>
      </c>
      <c r="D459" s="671" t="n"/>
      <c r="E459" s="644" t="n"/>
      <c r="F459" s="644" t="n"/>
      <c r="G459" s="644" t="n"/>
      <c r="H459" s="644" t="n"/>
    </row>
    <row r="460">
      <c r="B460" s="656" t="inlineStr">
        <is>
          <t>Chỉ tiêu thanh khoản</t>
        </is>
      </c>
      <c r="C460" s="657" t="n"/>
      <c r="D460" s="672" t="n"/>
      <c r="E460" s="648" t="n"/>
      <c r="F460" s="648" t="n"/>
      <c r="G460" s="648" t="n"/>
      <c r="H460" s="648" t="n"/>
    </row>
    <row r="461">
      <c r="B461" s="659" t="inlineStr">
        <is>
          <t>1.Khả năng thanh toán hiện hành</t>
        </is>
      </c>
      <c r="C461" s="673" t="n"/>
      <c r="D461" s="675" t="n">
        <v>1.5</v>
      </c>
      <c r="E461" s="652">
        <f>C459*D461</f>
        <v/>
      </c>
      <c r="F461" s="652" t="n"/>
      <c r="G461" s="652" t="n"/>
      <c r="H461" s="652" t="n"/>
    </row>
    <row r="462">
      <c r="B462" s="659" t="inlineStr">
        <is>
          <t>2. Khả năng thanh toán nhanh</t>
        </is>
      </c>
      <c r="C462" s="673" t="n"/>
      <c r="D462" s="675" t="n">
        <v>1.4</v>
      </c>
      <c r="E462" s="652">
        <f>D462*C459</f>
        <v/>
      </c>
      <c r="F462" s="652" t="n"/>
      <c r="G462" s="652" t="n"/>
      <c r="H462" s="652" t="n"/>
    </row>
    <row r="463">
      <c r="B463" s="659" t="inlineStr">
        <is>
          <t>3. Khả năng thanh toán tức thời</t>
        </is>
      </c>
      <c r="C463" s="673" t="n"/>
      <c r="D463" s="675" t="n">
        <v>0.9</v>
      </c>
      <c r="E463" s="652">
        <f>D463*C459</f>
        <v/>
      </c>
      <c r="F463" s="652" t="n"/>
      <c r="G463" s="652" t="n"/>
      <c r="H463" s="652" t="n"/>
    </row>
    <row r="464">
      <c r="B464" s="656" t="inlineStr">
        <is>
          <t>Chỉ tiêu hoạt động</t>
        </is>
      </c>
      <c r="C464" s="657" t="n"/>
      <c r="D464" s="672" t="n"/>
      <c r="E464" s="652" t="n"/>
      <c r="F464" s="648" t="n"/>
      <c r="G464" s="648" t="n"/>
      <c r="H464" s="648" t="n"/>
    </row>
    <row r="465">
      <c r="B465" s="659" t="inlineStr">
        <is>
          <t>4. Vòng quay vốn lưu động</t>
        </is>
      </c>
      <c r="C465" s="673" t="n"/>
      <c r="D465" s="675" t="n">
        <v>4.3</v>
      </c>
      <c r="E465" s="652">
        <f>D465*C459</f>
        <v/>
      </c>
      <c r="F465" s="652" t="n"/>
      <c r="G465" s="652" t="n"/>
      <c r="H465" s="652" t="n"/>
    </row>
    <row r="466">
      <c r="B466" s="659" t="inlineStr">
        <is>
          <t>5. Vòng quay hàng tồn kho</t>
        </is>
      </c>
      <c r="C466" s="673" t="n"/>
      <c r="D466" s="675" t="n">
        <v>7</v>
      </c>
      <c r="E466" s="652">
        <f>D466*C459</f>
        <v/>
      </c>
      <c r="F466" s="652" t="n"/>
      <c r="G466" s="652" t="n"/>
      <c r="H466" s="652" t="n"/>
    </row>
    <row r="467">
      <c r="B467" s="659" t="inlineStr">
        <is>
          <t>6. Vòng quay các khoản phải thu</t>
        </is>
      </c>
      <c r="C467" s="673" t="n"/>
      <c r="D467" s="675" t="n">
        <v>7.2</v>
      </c>
      <c r="E467" s="652">
        <f>D467*C459</f>
        <v/>
      </c>
      <c r="F467" s="652" t="n"/>
      <c r="G467" s="652" t="n"/>
      <c r="H467" s="652" t="n"/>
    </row>
    <row r="468">
      <c r="B468" s="659" t="inlineStr">
        <is>
          <t>7. Hiệu suất sử dụng TSCĐ</t>
        </is>
      </c>
      <c r="C468" s="673" t="n"/>
      <c r="D468" s="675" t="n">
        <v>0.35</v>
      </c>
      <c r="E468" s="652">
        <f>D468*C459</f>
        <v/>
      </c>
      <c r="F468" s="652" t="n"/>
      <c r="G468" s="652" t="n"/>
      <c r="H468" s="652" t="n"/>
    </row>
    <row r="469">
      <c r="B469" s="656" t="inlineStr">
        <is>
          <t>Chỉ tiêu cân nợ</t>
        </is>
      </c>
      <c r="C469" s="657" t="n"/>
      <c r="D469" s="672" t="n"/>
      <c r="E469" s="652" t="n"/>
      <c r="F469" s="648" t="n"/>
      <c r="G469" s="648" t="n"/>
      <c r="H469" s="648" t="n"/>
    </row>
    <row r="470">
      <c r="B470" s="659" t="inlineStr">
        <is>
          <t>8. Tổng nợ phải trả/ Tổng tài sản</t>
        </is>
      </c>
      <c r="C470" s="673" t="n"/>
      <c r="D470" s="676" t="n">
        <v>0.73</v>
      </c>
      <c r="E470" s="652">
        <f>D470*C459</f>
        <v/>
      </c>
      <c r="F470" s="652" t="n"/>
      <c r="G470" s="652" t="n"/>
      <c r="H470" s="652" t="n"/>
    </row>
    <row r="471">
      <c r="B471" s="659" t="inlineStr">
        <is>
          <t>9. Nợ dài dạn/Vốn CSH</t>
        </is>
      </c>
      <c r="C471" s="673" t="n"/>
      <c r="D471" s="676" t="n">
        <v>1.67</v>
      </c>
      <c r="E471" s="652">
        <f>D471*C459</f>
        <v/>
      </c>
      <c r="F471" s="652" t="n"/>
      <c r="G471" s="652" t="n"/>
      <c r="H471" s="652" t="n"/>
    </row>
    <row r="472">
      <c r="B472" s="659" t="inlineStr">
        <is>
          <t>10. Tổng nợ/Vốn CSH</t>
        </is>
      </c>
      <c r="C472" s="673" t="n"/>
      <c r="D472" s="676" t="n">
        <v>1.9</v>
      </c>
      <c r="E472" s="652">
        <f>D472*C459</f>
        <v/>
      </c>
      <c r="F472" s="652" t="n"/>
      <c r="G472" s="652" t="n"/>
      <c r="H472" s="652" t="n"/>
    </row>
    <row r="473">
      <c r="B473" s="656" t="inlineStr">
        <is>
          <t>Chỉ tiêu thu nhập</t>
        </is>
      </c>
      <c r="C473" s="657" t="n"/>
      <c r="D473" s="672" t="n"/>
      <c r="E473" s="652" t="n"/>
      <c r="F473" s="648" t="n"/>
      <c r="G473" s="648" t="n"/>
      <c r="H473" s="648" t="n"/>
    </row>
    <row r="474">
      <c r="B474" s="665" t="inlineStr">
        <is>
          <t>11. Lợi nhuận gộp/Doanh thu thuần</t>
        </is>
      </c>
      <c r="C474" s="673" t="n"/>
      <c r="D474" s="676" t="n">
        <v>0.22</v>
      </c>
      <c r="E474" s="652">
        <f>D474*C459</f>
        <v/>
      </c>
      <c r="F474" s="652" t="n"/>
      <c r="G474" s="652" t="n"/>
      <c r="H474" s="652" t="n"/>
    </row>
    <row r="475">
      <c r="B475" s="665" t="inlineStr">
        <is>
          <t>12. Lợi nhuận từ hoạt động kinh doanh/Doanh thu thuần</t>
        </is>
      </c>
      <c r="C475" s="673" t="n"/>
      <c r="D475" s="676" t="n">
        <v>0.06</v>
      </c>
      <c r="E475" s="652">
        <f>D475*C459</f>
        <v/>
      </c>
      <c r="F475" s="652" t="n"/>
      <c r="G475" s="652" t="n"/>
      <c r="H475" s="652" t="n"/>
    </row>
    <row r="476">
      <c r="B476" s="665" t="inlineStr">
        <is>
          <t>13. Lợi nhuận sau thuế/Vốn CSH bình quân</t>
        </is>
      </c>
      <c r="C476" s="673" t="n"/>
      <c r="D476" s="676" t="n">
        <v>0.2</v>
      </c>
      <c r="E476" s="652">
        <f>D476*C459</f>
        <v/>
      </c>
      <c r="F476" s="652" t="n"/>
      <c r="G476" s="652" t="n"/>
      <c r="H476" s="652" t="n"/>
    </row>
    <row r="477">
      <c r="B477" s="665" t="inlineStr">
        <is>
          <t>14. Lợi nhuận sau thuế/Tổng tài sản bình quân</t>
        </is>
      </c>
      <c r="C477" s="673" t="n"/>
      <c r="D477" s="676" t="n">
        <v>0.07000000000000001</v>
      </c>
      <c r="E477" s="652">
        <f>D477*C459</f>
        <v/>
      </c>
      <c r="F477" s="652" t="n"/>
      <c r="G477" s="652" t="n"/>
      <c r="H477" s="652" t="n"/>
    </row>
    <row r="478" ht="15.75" customHeight="1" s="782" thickBot="1">
      <c r="B478" s="667" t="inlineStr">
        <is>
          <t>15. EBIT/Chi phí lãi vay</t>
        </is>
      </c>
      <c r="C478" s="678" t="n"/>
      <c r="D478" s="679" t="n">
        <v>4.3</v>
      </c>
      <c r="E478" s="652">
        <f>D478*C459</f>
        <v/>
      </c>
      <c r="F478" s="652" t="n"/>
      <c r="G478" s="652" t="n"/>
      <c r="H478" s="652" t="n"/>
    </row>
    <row r="479" ht="15.75" customHeight="1" s="782" thickTop="1">
      <c r="B479" s="670" t="inlineStr">
        <is>
          <t>Xây dựng</t>
        </is>
      </c>
      <c r="C479" s="671">
        <f>IF(B479=$G$218,100%,0%)</f>
        <v/>
      </c>
      <c r="D479" s="671" t="n"/>
      <c r="E479" s="644" t="n"/>
      <c r="F479" s="644" t="n"/>
      <c r="G479" s="644" t="n"/>
      <c r="H479" s="644" t="n"/>
    </row>
    <row r="480">
      <c r="B480" s="656" t="inlineStr">
        <is>
          <t>Chỉ tiêu thanh khoản</t>
        </is>
      </c>
      <c r="C480" s="685" t="n"/>
      <c r="D480" s="672" t="n"/>
      <c r="E480" s="648" t="n"/>
      <c r="F480" s="648" t="n"/>
      <c r="G480" s="648" t="n"/>
      <c r="H480" s="648" t="n"/>
    </row>
    <row r="481">
      <c r="B481" s="659" t="inlineStr">
        <is>
          <t>1.Khả năng thanh toán hiện hành</t>
        </is>
      </c>
      <c r="C481" s="673" t="n"/>
      <c r="D481" s="675" t="n">
        <v>1.12</v>
      </c>
      <c r="E481" s="652">
        <f>C479*D481</f>
        <v/>
      </c>
      <c r="F481" s="652" t="n"/>
      <c r="G481" s="652" t="n"/>
      <c r="H481" s="652" t="n"/>
    </row>
    <row r="482">
      <c r="B482" s="659" t="inlineStr">
        <is>
          <t>2. Khả năng thanh toán nhanh</t>
        </is>
      </c>
      <c r="C482" s="673" t="n"/>
      <c r="D482" s="675" t="n">
        <v>0.62</v>
      </c>
      <c r="E482" s="652">
        <f>D482*C479</f>
        <v/>
      </c>
      <c r="F482" s="652" t="n"/>
      <c r="G482" s="652" t="n"/>
      <c r="H482" s="652" t="n"/>
    </row>
    <row r="483">
      <c r="B483" s="659" t="inlineStr">
        <is>
          <t>3. Khả năng thanh toán tức thời</t>
        </is>
      </c>
      <c r="C483" s="673" t="n"/>
      <c r="D483" s="675" t="n">
        <v>0.09</v>
      </c>
      <c r="E483" s="652">
        <f>D483*C479</f>
        <v/>
      </c>
      <c r="F483" s="652" t="n"/>
      <c r="G483" s="652" t="n"/>
      <c r="H483" s="652" t="n"/>
    </row>
    <row r="484">
      <c r="B484" s="656" t="inlineStr">
        <is>
          <t>Chỉ tiêu hoạt động</t>
        </is>
      </c>
      <c r="C484" s="685" t="n"/>
      <c r="D484" s="672" t="n"/>
      <c r="E484" s="652" t="n"/>
      <c r="F484" s="648" t="n"/>
      <c r="G484" s="648" t="n"/>
      <c r="H484" s="648" t="n"/>
    </row>
    <row r="485">
      <c r="B485" s="659" t="inlineStr">
        <is>
          <t>4. Vòng quay vốn lưu động</t>
        </is>
      </c>
      <c r="C485" s="673" t="n"/>
      <c r="D485" s="675" t="n">
        <v>1.4</v>
      </c>
      <c r="E485" s="652">
        <f>D485*C479</f>
        <v/>
      </c>
      <c r="F485" s="652" t="n"/>
      <c r="G485" s="652" t="n"/>
      <c r="H485" s="652" t="n"/>
    </row>
    <row r="486">
      <c r="B486" s="659" t="inlineStr">
        <is>
          <t>5. Vòng quay hàng tồn kho</t>
        </is>
      </c>
      <c r="C486" s="673" t="n"/>
      <c r="D486" s="675" t="n">
        <v>3</v>
      </c>
      <c r="E486" s="652">
        <f>D486*C479</f>
        <v/>
      </c>
      <c r="F486" s="652" t="n"/>
      <c r="G486" s="652" t="n"/>
      <c r="H486" s="652" t="n"/>
    </row>
    <row r="487">
      <c r="B487" s="659" t="inlineStr">
        <is>
          <t>6. Vòng quay các khoản phải thu</t>
        </is>
      </c>
      <c r="C487" s="673" t="n"/>
      <c r="D487" s="675" t="n">
        <v>5.53</v>
      </c>
      <c r="E487" s="652">
        <f>D487*C479</f>
        <v/>
      </c>
      <c r="F487" s="652" t="n"/>
      <c r="G487" s="652" t="n"/>
      <c r="H487" s="652" t="n"/>
    </row>
    <row r="488">
      <c r="B488" s="659" t="inlineStr">
        <is>
          <t>7. Hiệu suất sử dụng TSCĐ</t>
        </is>
      </c>
      <c r="C488" s="673" t="n"/>
      <c r="D488" s="675" t="n">
        <v>2.13</v>
      </c>
      <c r="E488" s="652">
        <f>D488*C479</f>
        <v/>
      </c>
      <c r="F488" s="652" t="n"/>
      <c r="G488" s="652" t="n"/>
      <c r="H488" s="652" t="n"/>
    </row>
    <row r="489">
      <c r="B489" s="656" t="inlineStr">
        <is>
          <t>Chỉ tiêu cân nợ</t>
        </is>
      </c>
      <c r="C489" s="685" t="n"/>
      <c r="D489" s="672" t="n"/>
      <c r="E489" s="652" t="n"/>
      <c r="F489" s="648" t="n"/>
      <c r="G489" s="648" t="n"/>
      <c r="H489" s="648" t="n"/>
    </row>
    <row r="490">
      <c r="B490" s="659" t="inlineStr">
        <is>
          <t>8. Tổng nợ phải trả/ Tổng tài sản</t>
        </is>
      </c>
      <c r="C490" s="673" t="n"/>
      <c r="D490" s="676" t="n">
        <v>0.83</v>
      </c>
      <c r="E490" s="652">
        <f>D490*C479</f>
        <v/>
      </c>
      <c r="F490" s="652" t="n"/>
      <c r="G490" s="652" t="n"/>
      <c r="H490" s="652" t="n"/>
    </row>
    <row r="491">
      <c r="B491" s="659" t="inlineStr">
        <is>
          <t>9. Nợ dài dạn/Vốn CSH</t>
        </is>
      </c>
      <c r="C491" s="673" t="n"/>
      <c r="D491" s="676" t="n">
        <v>1.4</v>
      </c>
      <c r="E491" s="652">
        <f>D491*C479</f>
        <v/>
      </c>
      <c r="F491" s="652" t="n"/>
      <c r="G491" s="652" t="n"/>
      <c r="H491" s="652" t="n"/>
    </row>
    <row r="492">
      <c r="B492" s="659" t="inlineStr">
        <is>
          <t>10. Tổng nợ/Vốn CSH</t>
        </is>
      </c>
      <c r="C492" s="673" t="n"/>
      <c r="D492" s="676" t="n">
        <v>4.07</v>
      </c>
      <c r="E492" s="652">
        <f>D492*C479</f>
        <v/>
      </c>
      <c r="F492" s="652" t="n"/>
      <c r="G492" s="652" t="n"/>
      <c r="H492" s="652" t="n"/>
    </row>
    <row r="493">
      <c r="B493" s="656" t="inlineStr">
        <is>
          <t>Chỉ tiêu thu nhập</t>
        </is>
      </c>
      <c r="C493" s="685" t="n"/>
      <c r="D493" s="672" t="n"/>
      <c r="E493" s="652" t="n"/>
      <c r="F493" s="648" t="n"/>
      <c r="G493" s="648" t="n"/>
      <c r="H493" s="648" t="n"/>
    </row>
    <row r="494">
      <c r="B494" s="665" t="inlineStr">
        <is>
          <t>11. Lợi nhuận gộp/Doanh thu thuần</t>
        </is>
      </c>
      <c r="C494" s="673" t="n"/>
      <c r="D494" s="677" t="n">
        <v>0.0633</v>
      </c>
      <c r="E494" s="652">
        <f>D494*C479</f>
        <v/>
      </c>
      <c r="F494" s="652" t="n"/>
      <c r="G494" s="652" t="n"/>
      <c r="H494" s="652" t="n"/>
    </row>
    <row r="495">
      <c r="B495" s="665" t="inlineStr">
        <is>
          <t>12. Lợi nhuận từ hoạt động kinh doanh/Doanh thu thuần</t>
        </is>
      </c>
      <c r="C495" s="673" t="n"/>
      <c r="D495" s="677" t="n">
        <v>0.0467</v>
      </c>
      <c r="E495" s="652">
        <f>D495*C479</f>
        <v/>
      </c>
      <c r="F495" s="652" t="n"/>
      <c r="G495" s="652" t="n"/>
      <c r="H495" s="652" t="n"/>
    </row>
    <row r="496">
      <c r="B496" s="665" t="inlineStr">
        <is>
          <t>13. Lợi nhuận sau thuế/Vốn CSH bình quân</t>
        </is>
      </c>
      <c r="C496" s="673" t="n"/>
      <c r="D496" s="676" t="n">
        <v>0.16</v>
      </c>
      <c r="E496" s="652">
        <f>D496*C479</f>
        <v/>
      </c>
      <c r="F496" s="652" t="n"/>
      <c r="G496" s="652" t="n"/>
      <c r="H496" s="652" t="n"/>
    </row>
    <row r="497">
      <c r="B497" s="665" t="inlineStr">
        <is>
          <t>14. Lợi nhuận sau thuế/Tổng tài sản bình quân</t>
        </is>
      </c>
      <c r="C497" s="673" t="n"/>
      <c r="D497" s="676" t="n">
        <v>0.05</v>
      </c>
      <c r="E497" s="652">
        <f>D497*C479</f>
        <v/>
      </c>
      <c r="F497" s="652" t="n"/>
      <c r="G497" s="652" t="n"/>
      <c r="H497" s="652" t="n"/>
    </row>
    <row r="498" ht="15.75" customHeight="1" s="782" thickBot="1">
      <c r="B498" s="667" t="inlineStr">
        <is>
          <t>15. EBIT/Chi phí lãi vay</t>
        </is>
      </c>
      <c r="C498" s="678" t="n"/>
      <c r="D498" s="679" t="n">
        <v>2.27</v>
      </c>
      <c r="E498" s="652">
        <f>D498*C479</f>
        <v/>
      </c>
      <c r="F498" s="652" t="n"/>
      <c r="G498" s="652" t="n"/>
      <c r="H498" s="652" t="n"/>
    </row>
    <row r="499" ht="15.75" customHeight="1" s="782" thickTop="1">
      <c r="B499" s="670" t="inlineStr">
        <is>
          <t>Thương mại hàng công nghiệp nhẹ và hàng tiêu dùng</t>
        </is>
      </c>
      <c r="C499" s="671">
        <f>IF(B499=$G$218,100%,0%)</f>
        <v/>
      </c>
      <c r="D499" s="671" t="n"/>
      <c r="E499" s="644" t="n"/>
      <c r="F499" s="644" t="n"/>
      <c r="G499" s="644" t="n"/>
      <c r="H499" s="644" t="n"/>
    </row>
    <row r="500">
      <c r="B500" s="656" t="inlineStr">
        <is>
          <t>Chỉ tiêu thanh khoản</t>
        </is>
      </c>
      <c r="C500" s="657" t="n"/>
      <c r="D500" s="672" t="n"/>
      <c r="E500" s="648" t="n"/>
      <c r="F500" s="648" t="n"/>
      <c r="G500" s="648" t="n"/>
      <c r="H500" s="648" t="n"/>
    </row>
    <row r="501">
      <c r="B501" s="659" t="inlineStr">
        <is>
          <t>1.Khả năng thanh toán hiện hành</t>
        </is>
      </c>
      <c r="C501" s="673" t="n"/>
      <c r="D501" s="675" t="n">
        <v>1.37</v>
      </c>
      <c r="E501" s="652">
        <f>C499*D501</f>
        <v/>
      </c>
      <c r="F501" s="652" t="n"/>
      <c r="G501" s="652" t="n"/>
      <c r="H501" s="652" t="n"/>
    </row>
    <row r="502">
      <c r="B502" s="659" t="inlineStr">
        <is>
          <t>2. Khả năng thanh toán nhanh</t>
        </is>
      </c>
      <c r="C502" s="673" t="n"/>
      <c r="D502" s="675" t="n">
        <v>0.72</v>
      </c>
      <c r="E502" s="652">
        <f>D502*C499</f>
        <v/>
      </c>
      <c r="F502" s="652" t="n"/>
      <c r="G502" s="652" t="n"/>
      <c r="H502" s="652" t="n"/>
    </row>
    <row r="503">
      <c r="B503" s="659" t="inlineStr">
        <is>
          <t>3. Khả năng thanh toán tức thời</t>
        </is>
      </c>
      <c r="C503" s="673" t="n"/>
      <c r="D503" s="675" t="n">
        <v>0.16</v>
      </c>
      <c r="E503" s="652">
        <f>D503*C499</f>
        <v/>
      </c>
      <c r="F503" s="652" t="n"/>
      <c r="G503" s="652" t="n"/>
      <c r="H503" s="652" t="n"/>
    </row>
    <row r="504">
      <c r="B504" s="656" t="inlineStr">
        <is>
          <t>Chỉ tiêu hoạt động</t>
        </is>
      </c>
      <c r="C504" s="657" t="n"/>
      <c r="D504" s="672" t="n"/>
      <c r="E504" s="652" t="n"/>
      <c r="F504" s="648" t="n"/>
      <c r="G504" s="648" t="n"/>
      <c r="H504" s="648" t="n"/>
    </row>
    <row r="505">
      <c r="B505" s="659" t="inlineStr">
        <is>
          <t>4. Vòng quay vốn lưu động</t>
        </is>
      </c>
      <c r="C505" s="673" t="n"/>
      <c r="D505" s="675" t="n">
        <v>3.33</v>
      </c>
      <c r="E505" s="652">
        <f>D505*C499</f>
        <v/>
      </c>
      <c r="F505" s="652" t="n"/>
      <c r="G505" s="652" t="n"/>
      <c r="H505" s="652" t="n"/>
    </row>
    <row r="506">
      <c r="B506" s="659" t="inlineStr">
        <is>
          <t>5. Vòng quay hàng tồn kho</t>
        </is>
      </c>
      <c r="C506" s="673" t="n"/>
      <c r="D506" s="675" t="n">
        <v>5.83</v>
      </c>
      <c r="E506" s="652">
        <f>D506*C499</f>
        <v/>
      </c>
      <c r="F506" s="652" t="n"/>
      <c r="G506" s="652" t="n"/>
      <c r="H506" s="652" t="n"/>
    </row>
    <row r="507">
      <c r="B507" s="659" t="inlineStr">
        <is>
          <t>6. Vòng quay các khoản phải thu</t>
        </is>
      </c>
      <c r="C507" s="673" t="n"/>
      <c r="D507" s="675" t="n">
        <v>8.67</v>
      </c>
      <c r="E507" s="652">
        <f>D507*C499</f>
        <v/>
      </c>
      <c r="F507" s="652" t="n"/>
      <c r="G507" s="652" t="n"/>
      <c r="H507" s="652" t="n"/>
    </row>
    <row r="508">
      <c r="B508" s="659" t="inlineStr">
        <is>
          <t>7. Hiệu suất sử dụng TSCĐ</t>
        </is>
      </c>
      <c r="C508" s="673" t="n"/>
      <c r="D508" s="675" t="n">
        <v>6.5</v>
      </c>
      <c r="E508" s="652">
        <f>D508*C499</f>
        <v/>
      </c>
      <c r="F508" s="652" t="n"/>
      <c r="G508" s="652" t="n"/>
      <c r="H508" s="652" t="n"/>
    </row>
    <row r="509">
      <c r="B509" s="656" t="inlineStr">
        <is>
          <t>Chỉ tiêu cân nợ</t>
        </is>
      </c>
      <c r="C509" s="657" t="n"/>
      <c r="D509" s="672" t="n"/>
      <c r="E509" s="652" t="n"/>
      <c r="F509" s="648" t="n"/>
      <c r="G509" s="648" t="n"/>
      <c r="H509" s="648" t="n"/>
    </row>
    <row r="510">
      <c r="B510" s="659" t="inlineStr">
        <is>
          <t>8. Tổng nợ phải trả/ Tổng tài sản</t>
        </is>
      </c>
      <c r="C510" s="673" t="n"/>
      <c r="D510" s="676" t="n">
        <v>0.66</v>
      </c>
      <c r="E510" s="652">
        <f>D510*C499</f>
        <v/>
      </c>
      <c r="F510" s="652" t="n"/>
      <c r="G510" s="652" t="n"/>
      <c r="H510" s="652" t="n"/>
    </row>
    <row r="511">
      <c r="B511" s="659" t="inlineStr">
        <is>
          <t>9. Nợ dài dạn/Vốn CSH</t>
        </is>
      </c>
      <c r="C511" s="673" t="n"/>
      <c r="D511" s="676" t="n">
        <v>0.25</v>
      </c>
      <c r="E511" s="652">
        <f>D511*C499</f>
        <v/>
      </c>
      <c r="F511" s="652" t="n"/>
      <c r="G511" s="652" t="n"/>
      <c r="H511" s="652" t="n"/>
    </row>
    <row r="512">
      <c r="B512" s="659" t="inlineStr">
        <is>
          <t>10. Tổng nợ/Vốn CSH</t>
        </is>
      </c>
      <c r="C512" s="673" t="n"/>
      <c r="D512" s="676" t="n">
        <v>1.3</v>
      </c>
      <c r="E512" s="652">
        <f>D512*C499</f>
        <v/>
      </c>
      <c r="F512" s="652" t="n"/>
      <c r="G512" s="652" t="n"/>
      <c r="H512" s="652" t="n"/>
    </row>
    <row r="513">
      <c r="B513" s="656" t="inlineStr">
        <is>
          <t>Chỉ tiêu thu nhập</t>
        </is>
      </c>
      <c r="C513" s="657" t="n"/>
      <c r="D513" s="672" t="n"/>
      <c r="E513" s="652" t="n"/>
      <c r="F513" s="648" t="n"/>
      <c r="G513" s="648" t="n"/>
      <c r="H513" s="648" t="n"/>
    </row>
    <row r="514">
      <c r="B514" s="665" t="inlineStr">
        <is>
          <t>11. Lợi nhuận gộp/Doanh thu thuần</t>
        </is>
      </c>
      <c r="C514" s="673" t="n"/>
      <c r="D514" s="677" t="n">
        <v>0.1083</v>
      </c>
      <c r="E514" s="652">
        <f>D514*C499</f>
        <v/>
      </c>
      <c r="F514" s="652" t="n"/>
      <c r="G514" s="652" t="n"/>
      <c r="H514" s="652" t="n"/>
    </row>
    <row r="515">
      <c r="B515" s="665" t="inlineStr">
        <is>
          <t>12. Lợi nhuận từ hoạt động kinh doanh/Doanh thu thuần</t>
        </is>
      </c>
      <c r="C515" s="673" t="n"/>
      <c r="D515" s="677" t="n">
        <v>0.075</v>
      </c>
      <c r="E515" s="652">
        <f>D515*C499</f>
        <v/>
      </c>
      <c r="F515" s="652" t="n"/>
      <c r="G515" s="652" t="n"/>
      <c r="H515" s="652" t="n"/>
    </row>
    <row r="516">
      <c r="B516" s="665" t="inlineStr">
        <is>
          <t>13. Lợi nhuận sau thuế/Vốn CSH bình quân</t>
        </is>
      </c>
      <c r="C516" s="673" t="n"/>
      <c r="D516" s="677" t="n">
        <v>0.1433</v>
      </c>
      <c r="E516" s="652">
        <f>D516*C499</f>
        <v/>
      </c>
      <c r="F516" s="652" t="n"/>
      <c r="G516" s="652" t="n"/>
      <c r="H516" s="652" t="n"/>
    </row>
    <row r="517">
      <c r="B517" s="665" t="inlineStr">
        <is>
          <t>14. Lợi nhuận sau thuế/Tổng tài sản bình quân</t>
        </is>
      </c>
      <c r="C517" s="673" t="n"/>
      <c r="D517" s="677" t="n">
        <v>0.0467</v>
      </c>
      <c r="E517" s="652">
        <f>D517*C499</f>
        <v/>
      </c>
      <c r="F517" s="652" t="n"/>
      <c r="G517" s="652" t="n"/>
      <c r="H517" s="652" t="n"/>
    </row>
    <row r="518" ht="15.75" customHeight="1" s="782" thickBot="1">
      <c r="B518" s="667" t="inlineStr">
        <is>
          <t>15. EBIT/Chi phí lãi vay</t>
        </is>
      </c>
      <c r="C518" s="678" t="n"/>
      <c r="D518" s="679" t="n">
        <v>3.5</v>
      </c>
      <c r="E518" s="652">
        <f>D518*C499</f>
        <v/>
      </c>
      <c r="F518" s="652" t="n"/>
      <c r="G518" s="652" t="n"/>
      <c r="H518" s="652" t="n"/>
    </row>
    <row r="519" ht="29.25" customHeight="1" s="782" thickTop="1">
      <c r="B519" s="670" t="inlineStr">
        <is>
          <t>Kinh doanh Phân bón, hóa chất, các sản phẩm hóa chất khác, thuốc, hóa dược, dược liệu, thiết bị y tế</t>
        </is>
      </c>
      <c r="C519" s="671">
        <f>IF(B519=$G$218,100%,0%)</f>
        <v/>
      </c>
      <c r="D519" s="671" t="n"/>
      <c r="E519" s="644" t="n"/>
      <c r="F519" s="644" t="n"/>
      <c r="G519" s="644" t="n"/>
      <c r="H519" s="644" t="n"/>
    </row>
    <row r="520">
      <c r="B520" s="656" t="inlineStr">
        <is>
          <t>Chỉ tiêu thanh khoản</t>
        </is>
      </c>
      <c r="C520" s="685" t="n"/>
      <c r="D520" s="672" t="n"/>
      <c r="E520" s="648" t="n"/>
      <c r="F520" s="648" t="n"/>
      <c r="G520" s="648" t="n"/>
      <c r="H520" s="648" t="n"/>
    </row>
    <row r="521">
      <c r="B521" s="659" t="inlineStr">
        <is>
          <t>1.Khả năng thanh toán hiện hành</t>
        </is>
      </c>
      <c r="C521" s="673" t="n"/>
      <c r="D521" s="675" t="n">
        <v>1.33</v>
      </c>
      <c r="E521" s="652">
        <f>C519*D521</f>
        <v/>
      </c>
      <c r="F521" s="652" t="n"/>
      <c r="G521" s="652" t="n"/>
      <c r="H521" s="652" t="n"/>
    </row>
    <row r="522">
      <c r="B522" s="659" t="inlineStr">
        <is>
          <t>2. Khả năng thanh toán nhanh</t>
        </is>
      </c>
      <c r="C522" s="673" t="n"/>
      <c r="D522" s="675" t="n">
        <v>0.77</v>
      </c>
      <c r="E522" s="652">
        <f>D522*C519</f>
        <v/>
      </c>
      <c r="F522" s="652" t="n"/>
      <c r="G522" s="652" t="n"/>
      <c r="H522" s="652" t="n"/>
    </row>
    <row r="523">
      <c r="B523" s="659" t="inlineStr">
        <is>
          <t>3. Khả năng thanh toán tức thời</t>
        </is>
      </c>
      <c r="C523" s="673" t="n"/>
      <c r="D523" s="675" t="n">
        <v>0.16</v>
      </c>
      <c r="E523" s="652">
        <f>D523*C519</f>
        <v/>
      </c>
      <c r="F523" s="652" t="n"/>
      <c r="G523" s="652" t="n"/>
      <c r="H523" s="652" t="n"/>
    </row>
    <row r="524">
      <c r="B524" s="656" t="inlineStr">
        <is>
          <t>Chỉ tiêu hoạt động</t>
        </is>
      </c>
      <c r="C524" s="685" t="n"/>
      <c r="D524" s="672" t="n"/>
      <c r="E524" s="652" t="n"/>
      <c r="F524" s="648" t="n"/>
      <c r="G524" s="648" t="n"/>
      <c r="H524" s="648" t="n"/>
    </row>
    <row r="525">
      <c r="B525" s="659" t="inlineStr">
        <is>
          <t>4. Vòng quay vốn lưu động</t>
        </is>
      </c>
      <c r="C525" s="673" t="n"/>
      <c r="D525" s="675" t="n">
        <v>3.5</v>
      </c>
      <c r="E525" s="652">
        <f>D525*C519</f>
        <v/>
      </c>
      <c r="F525" s="652" t="n"/>
      <c r="G525" s="652" t="n"/>
      <c r="H525" s="652" t="n"/>
    </row>
    <row r="526">
      <c r="B526" s="659" t="inlineStr">
        <is>
          <t>5. Vòng quay hàng tồn kho</t>
        </is>
      </c>
      <c r="C526" s="673" t="n"/>
      <c r="D526" s="675" t="n">
        <v>8.17</v>
      </c>
      <c r="E526" s="652">
        <f>D526*C519</f>
        <v/>
      </c>
      <c r="F526" s="652" t="n"/>
      <c r="G526" s="652" t="n"/>
      <c r="H526" s="652" t="n"/>
    </row>
    <row r="527">
      <c r="B527" s="659" t="inlineStr">
        <is>
          <t>6. Vòng quay các khoản phải thu</t>
        </is>
      </c>
      <c r="C527" s="673" t="n"/>
      <c r="D527" s="675" t="n">
        <v>8.67</v>
      </c>
      <c r="E527" s="652">
        <f>D527*C519</f>
        <v/>
      </c>
      <c r="F527" s="652" t="n"/>
      <c r="G527" s="652" t="n"/>
      <c r="H527" s="652" t="n"/>
    </row>
    <row r="528">
      <c r="B528" s="659" t="inlineStr">
        <is>
          <t>7. Hiệu suất sử dụng TSCĐ</t>
        </is>
      </c>
      <c r="C528" s="673" t="n"/>
      <c r="D528" s="675" t="n">
        <v>4</v>
      </c>
      <c r="E528" s="652">
        <f>D528*C519</f>
        <v/>
      </c>
      <c r="F528" s="652" t="n"/>
      <c r="G528" s="652" t="n"/>
      <c r="H528" s="652" t="n"/>
    </row>
    <row r="529">
      <c r="B529" s="656" t="inlineStr">
        <is>
          <t>Chỉ tiêu cân nợ</t>
        </is>
      </c>
      <c r="C529" s="685" t="n"/>
      <c r="D529" s="672" t="n"/>
      <c r="E529" s="652" t="n"/>
      <c r="F529" s="648" t="n"/>
      <c r="G529" s="648" t="n"/>
      <c r="H529" s="648" t="n"/>
    </row>
    <row r="530">
      <c r="B530" s="659" t="inlineStr">
        <is>
          <t>8. Tổng nợ phải trả/ Tổng tài sản</t>
        </is>
      </c>
      <c r="C530" s="673" t="n"/>
      <c r="D530" s="676" t="n">
        <v>0.75</v>
      </c>
      <c r="E530" s="652">
        <f>D530*C519</f>
        <v/>
      </c>
      <c r="F530" s="652" t="n"/>
      <c r="G530" s="652" t="n"/>
      <c r="H530" s="652" t="n"/>
    </row>
    <row r="531">
      <c r="B531" s="659" t="inlineStr">
        <is>
          <t>9. Nợ dài dạn/Vốn CSH</t>
        </is>
      </c>
      <c r="C531" s="673" t="n"/>
      <c r="D531" s="677" t="n">
        <v>0.207</v>
      </c>
      <c r="E531" s="652">
        <f>D531*C519</f>
        <v/>
      </c>
      <c r="F531" s="652" t="n"/>
      <c r="G531" s="652" t="n"/>
      <c r="H531" s="652" t="n"/>
    </row>
    <row r="532">
      <c r="B532" s="659" t="inlineStr">
        <is>
          <t>10. Tổng nợ/Vốn CSH</t>
        </is>
      </c>
      <c r="C532" s="673" t="n"/>
      <c r="D532" s="676" t="n">
        <v>1.97</v>
      </c>
      <c r="E532" s="652">
        <f>D532*C519</f>
        <v/>
      </c>
      <c r="F532" s="652" t="n"/>
      <c r="G532" s="652" t="n"/>
      <c r="H532" s="652" t="n"/>
    </row>
    <row r="533">
      <c r="B533" s="656" t="inlineStr">
        <is>
          <t>Chỉ tiêu thu nhập</t>
        </is>
      </c>
      <c r="C533" s="685" t="n"/>
      <c r="D533" s="672" t="n"/>
      <c r="E533" s="652" t="n"/>
      <c r="F533" s="648" t="n"/>
      <c r="G533" s="648" t="n"/>
      <c r="H533" s="648" t="n"/>
    </row>
    <row r="534">
      <c r="B534" s="665" t="inlineStr">
        <is>
          <t>11. Lợi nhuận gộp/Doanh thu thuần</t>
        </is>
      </c>
      <c r="C534" s="673" t="n"/>
      <c r="D534" s="677" t="n">
        <v>0.133</v>
      </c>
      <c r="E534" s="652">
        <f>D534*C519</f>
        <v/>
      </c>
      <c r="F534" s="652" t="n"/>
      <c r="G534" s="652" t="n"/>
      <c r="H534" s="652" t="n"/>
    </row>
    <row r="535">
      <c r="B535" s="665" t="inlineStr">
        <is>
          <t>12. Lợi nhuận từ hoạt động kinh doanh/Doanh thu thuần</t>
        </is>
      </c>
      <c r="C535" s="673" t="n"/>
      <c r="D535" s="677" t="n">
        <v>0.09329999999999999</v>
      </c>
      <c r="E535" s="652">
        <f>D535*C519</f>
        <v/>
      </c>
      <c r="F535" s="652" t="n"/>
      <c r="G535" s="652" t="n"/>
      <c r="H535" s="652" t="n"/>
    </row>
    <row r="536">
      <c r="B536" s="665" t="inlineStr">
        <is>
          <t>13. Lợi nhuận sau thuế/Vốn CSH bình quân</t>
        </is>
      </c>
      <c r="C536" s="673" t="n"/>
      <c r="D536" s="676" t="n">
        <v>0.23</v>
      </c>
      <c r="E536" s="652">
        <f>D536*C519</f>
        <v/>
      </c>
      <c r="F536" s="652" t="n"/>
      <c r="G536" s="652" t="n"/>
      <c r="H536" s="652" t="n"/>
    </row>
    <row r="537">
      <c r="B537" s="665" t="inlineStr">
        <is>
          <t>14. Lợi nhuận sau thuế/Tổng tài sản bình quân</t>
        </is>
      </c>
      <c r="C537" s="673" t="n"/>
      <c r="D537" s="677" t="n">
        <v>0.097</v>
      </c>
      <c r="E537" s="652">
        <f>D537*C519</f>
        <v/>
      </c>
      <c r="F537" s="652" t="n"/>
      <c r="G537" s="652" t="n"/>
      <c r="H537" s="652" t="n"/>
    </row>
    <row r="538" ht="15.75" customHeight="1" s="782" thickBot="1">
      <c r="B538" s="667" t="inlineStr">
        <is>
          <t>15. EBIT/Chi phí lãi vay</t>
        </is>
      </c>
      <c r="C538" s="678" t="n"/>
      <c r="D538" s="679" t="n">
        <v>3.5</v>
      </c>
      <c r="E538" s="652">
        <f>D538*C519</f>
        <v/>
      </c>
      <c r="F538" s="652" t="n"/>
      <c r="G538" s="652" t="n"/>
      <c r="H538" s="652" t="n"/>
    </row>
    <row r="539" ht="15.75" customHeight="1" s="782" thickTop="1">
      <c r="B539" s="670" t="inlineStr">
        <is>
          <t>Thương mại xăng, dầu, gas, khí đốt</t>
        </is>
      </c>
      <c r="C539" s="671">
        <f>IF(B539=$G$218,100%,0%)</f>
        <v/>
      </c>
      <c r="D539" s="671" t="n"/>
      <c r="E539" s="644" t="n"/>
      <c r="F539" s="644" t="n"/>
      <c r="G539" s="644" t="n"/>
      <c r="H539" s="644" t="n"/>
    </row>
    <row r="540">
      <c r="B540" s="656" t="inlineStr">
        <is>
          <t>Chỉ tiêu thanh khoản</t>
        </is>
      </c>
      <c r="C540" s="685" t="n"/>
      <c r="D540" s="672" t="n"/>
      <c r="E540" s="648" t="n"/>
      <c r="F540" s="648" t="n"/>
      <c r="G540" s="648" t="n"/>
      <c r="H540" s="648" t="n"/>
    </row>
    <row r="541">
      <c r="B541" s="659" t="inlineStr">
        <is>
          <t>1.Khả năng thanh toán hiện hành</t>
        </is>
      </c>
      <c r="C541" s="673" t="n"/>
      <c r="D541" s="675" t="n">
        <v>1.18</v>
      </c>
      <c r="E541" s="652">
        <f>C539*D541</f>
        <v/>
      </c>
      <c r="F541" s="652" t="n"/>
      <c r="G541" s="652" t="n"/>
      <c r="H541" s="652" t="n"/>
    </row>
    <row r="542">
      <c r="B542" s="659" t="inlineStr">
        <is>
          <t>2. Khả năng thanh toán nhanh</t>
        </is>
      </c>
      <c r="C542" s="673" t="n"/>
      <c r="D542" s="675" t="n">
        <v>0.6</v>
      </c>
      <c r="E542" s="652">
        <f>D542*C539</f>
        <v/>
      </c>
      <c r="F542" s="652" t="n"/>
      <c r="G542" s="652" t="n"/>
      <c r="H542" s="652" t="n"/>
    </row>
    <row r="543">
      <c r="B543" s="659" t="inlineStr">
        <is>
          <t>3. Khả năng thanh toán tức thời</t>
        </is>
      </c>
      <c r="C543" s="673" t="n"/>
      <c r="D543" s="675" t="n">
        <v>0.12</v>
      </c>
      <c r="E543" s="652">
        <f>D543*C539</f>
        <v/>
      </c>
      <c r="F543" s="652" t="n"/>
      <c r="G543" s="652" t="n"/>
      <c r="H543" s="652" t="n"/>
    </row>
    <row r="544">
      <c r="B544" s="656" t="inlineStr">
        <is>
          <t>Chỉ tiêu hoạt động</t>
        </is>
      </c>
      <c r="C544" s="685" t="n"/>
      <c r="D544" s="672" t="n"/>
      <c r="E544" s="652" t="n"/>
      <c r="F544" s="648" t="n"/>
      <c r="G544" s="648" t="n"/>
      <c r="H544" s="648" t="n"/>
    </row>
    <row r="545">
      <c r="B545" s="659" t="inlineStr">
        <is>
          <t>4. Vòng quay vốn lưu động</t>
        </is>
      </c>
      <c r="C545" s="673" t="n"/>
      <c r="D545" s="675" t="n">
        <v>6.67</v>
      </c>
      <c r="E545" s="652">
        <f>D545*C539</f>
        <v/>
      </c>
      <c r="F545" s="652" t="n"/>
      <c r="G545" s="652" t="n"/>
      <c r="H545" s="652" t="n"/>
    </row>
    <row r="546">
      <c r="B546" s="659" t="inlineStr">
        <is>
          <t>5. Vòng quay hàng tồn kho</t>
        </is>
      </c>
      <c r="C546" s="673" t="n"/>
      <c r="D546" s="675" t="n">
        <v>13.33</v>
      </c>
      <c r="E546" s="652">
        <f>D546*C539</f>
        <v/>
      </c>
      <c r="F546" s="652" t="n"/>
      <c r="G546" s="652" t="n"/>
      <c r="H546" s="652" t="n"/>
    </row>
    <row r="547">
      <c r="B547" s="659" t="inlineStr">
        <is>
          <t>6. Vòng quay các khoản phải thu</t>
        </is>
      </c>
      <c r="C547" s="673" t="n"/>
      <c r="D547" s="675" t="n">
        <v>9</v>
      </c>
      <c r="E547" s="652">
        <f>D547*C539</f>
        <v/>
      </c>
      <c r="F547" s="652" t="n"/>
      <c r="G547" s="652" t="n"/>
      <c r="H547" s="652" t="n"/>
    </row>
    <row r="548">
      <c r="B548" s="659" t="inlineStr">
        <is>
          <t>7. Hiệu suất sử dụng TSCĐ</t>
        </is>
      </c>
      <c r="C548" s="673" t="n"/>
      <c r="D548" s="675" t="n">
        <v>12.33</v>
      </c>
      <c r="E548" s="652">
        <f>D548*C539</f>
        <v/>
      </c>
      <c r="F548" s="652" t="n"/>
      <c r="G548" s="652" t="n"/>
      <c r="H548" s="652" t="n"/>
    </row>
    <row r="549">
      <c r="B549" s="656" t="inlineStr">
        <is>
          <t>Chỉ tiêu cân nợ</t>
        </is>
      </c>
      <c r="C549" s="685" t="n"/>
      <c r="D549" s="672" t="n"/>
      <c r="E549" s="652" t="n"/>
      <c r="F549" s="648" t="n"/>
      <c r="G549" s="648" t="n"/>
      <c r="H549" s="648" t="n"/>
    </row>
    <row r="550">
      <c r="B550" s="659" t="inlineStr">
        <is>
          <t>8. Tổng nợ phải trả/ Tổng tài sản</t>
        </is>
      </c>
      <c r="C550" s="673" t="n"/>
      <c r="D550" s="676" t="n">
        <v>0.68</v>
      </c>
      <c r="E550" s="652">
        <f>D550*C539</f>
        <v/>
      </c>
      <c r="F550" s="652" t="n"/>
      <c r="G550" s="652" t="n"/>
      <c r="H550" s="652" t="n"/>
    </row>
    <row r="551">
      <c r="B551" s="659" t="inlineStr">
        <is>
          <t>9. Nợ dài dạn/Vốn CSH</t>
        </is>
      </c>
      <c r="C551" s="673" t="n"/>
      <c r="D551" s="676" t="n">
        <v>0.36</v>
      </c>
      <c r="E551" s="652">
        <f>D551*C539</f>
        <v/>
      </c>
      <c r="F551" s="652" t="n"/>
      <c r="G551" s="652" t="n"/>
      <c r="H551" s="652" t="n"/>
    </row>
    <row r="552">
      <c r="B552" s="665" t="inlineStr">
        <is>
          <t>10. Tổng nợ/Vốn CSH</t>
        </is>
      </c>
      <c r="C552" s="673" t="n"/>
      <c r="D552" s="676" t="n">
        <v>1.44</v>
      </c>
      <c r="E552" s="652">
        <f>D552*C539</f>
        <v/>
      </c>
      <c r="F552" s="652" t="n"/>
      <c r="G552" s="652" t="n"/>
      <c r="H552" s="652" t="n"/>
    </row>
    <row r="553">
      <c r="B553" s="656" t="inlineStr">
        <is>
          <t>Chỉ tiêu thu nhập</t>
        </is>
      </c>
      <c r="C553" s="685" t="n"/>
      <c r="D553" s="672" t="n"/>
      <c r="E553" s="652" t="n"/>
      <c r="F553" s="648" t="n"/>
      <c r="G553" s="648" t="n"/>
      <c r="H553" s="648" t="n"/>
    </row>
    <row r="554">
      <c r="B554" s="665" t="inlineStr">
        <is>
          <t>11. Lợi nhuận gộp/Doanh thu thuần</t>
        </is>
      </c>
      <c r="C554" s="673" t="n"/>
      <c r="D554" s="677" t="n">
        <v>0.067</v>
      </c>
      <c r="E554" s="652">
        <f>D554*C539</f>
        <v/>
      </c>
      <c r="F554" s="652" t="n"/>
      <c r="G554" s="652" t="n"/>
      <c r="H554" s="652" t="n"/>
    </row>
    <row r="555">
      <c r="B555" s="665" t="inlineStr">
        <is>
          <t>12. Lợi nhuận từ hoạt động kinh doanh/Doanh thu thuần</t>
        </is>
      </c>
      <c r="C555" s="673" t="n"/>
      <c r="D555" s="676" t="n">
        <v>0.05</v>
      </c>
      <c r="E555" s="652">
        <f>D555*C539</f>
        <v/>
      </c>
      <c r="F555" s="652" t="n"/>
      <c r="G555" s="652" t="n"/>
      <c r="H555" s="652" t="n"/>
    </row>
    <row r="556">
      <c r="B556" s="665" t="inlineStr">
        <is>
          <t>13. Lợi nhuận sau thuế/Vốn CSH bình quân</t>
        </is>
      </c>
      <c r="C556" s="673" t="n"/>
      <c r="D556" s="677" t="n">
        <v>0.177</v>
      </c>
      <c r="E556" s="652">
        <f>D556*C539</f>
        <v/>
      </c>
      <c r="F556" s="652" t="n"/>
      <c r="G556" s="652" t="n"/>
      <c r="H556" s="652" t="n"/>
    </row>
    <row r="557">
      <c r="B557" s="665" t="inlineStr">
        <is>
          <t>14. Lợi nhuận sau thuế/Tổng tài sản bình quân</t>
        </is>
      </c>
      <c r="C557" s="673" t="n"/>
      <c r="D557" s="677" t="n">
        <v>0.08799999999999999</v>
      </c>
      <c r="E557" s="652">
        <f>D557*C539</f>
        <v/>
      </c>
      <c r="F557" s="652" t="n"/>
      <c r="G557" s="652" t="n"/>
      <c r="H557" s="652" t="n"/>
    </row>
    <row r="558" ht="15.75" customHeight="1" s="782" thickBot="1">
      <c r="B558" s="667" t="inlineStr">
        <is>
          <t>15. EBIT/Chi phí lãi vay</t>
        </is>
      </c>
      <c r="C558" s="678" t="n"/>
      <c r="D558" s="679" t="n">
        <v>2.8</v>
      </c>
      <c r="E558" s="652">
        <f>D558*C539</f>
        <v/>
      </c>
      <c r="F558" s="652" t="n"/>
      <c r="G558" s="652" t="n"/>
      <c r="H558" s="652" t="n"/>
    </row>
    <row r="559" ht="29.25" customHeight="1" s="782" thickTop="1">
      <c r="B559" s="670" t="inlineStr">
        <is>
          <t>Kinh doanh sắt thép, xi măng, vật liệu xây dựng tổng hợp khác</t>
        </is>
      </c>
      <c r="C559" s="671">
        <f>IF(B559=$G$218,100%,0%)</f>
        <v/>
      </c>
      <c r="D559" s="671" t="n"/>
      <c r="E559" s="644" t="n"/>
      <c r="F559" s="644" t="n"/>
      <c r="G559" s="644" t="n"/>
      <c r="H559" s="644" t="n"/>
    </row>
    <row r="560">
      <c r="B560" s="656" t="inlineStr">
        <is>
          <t>Chỉ tiêu thanh khoản</t>
        </is>
      </c>
      <c r="C560" s="685" t="n"/>
      <c r="D560" s="672" t="n"/>
      <c r="E560" s="648" t="n"/>
      <c r="F560" s="648" t="n"/>
      <c r="G560" s="648" t="n"/>
      <c r="H560" s="648" t="n"/>
    </row>
    <row r="561">
      <c r="B561" s="659" t="inlineStr">
        <is>
          <t>1.Khả năng thanh toán hiện hành</t>
        </is>
      </c>
      <c r="C561" s="673" t="n"/>
      <c r="D561" s="675" t="n">
        <v>1.2</v>
      </c>
      <c r="E561" s="652">
        <f>C559*D561</f>
        <v/>
      </c>
      <c r="F561" s="652" t="n"/>
      <c r="G561" s="652" t="n"/>
      <c r="H561" s="652" t="n"/>
    </row>
    <row r="562">
      <c r="B562" s="659" t="inlineStr">
        <is>
          <t>2. Khả năng thanh toán nhanh</t>
        </is>
      </c>
      <c r="C562" s="673" t="n"/>
      <c r="D562" s="675" t="n">
        <v>0.77</v>
      </c>
      <c r="E562" s="652">
        <f>D562*C559</f>
        <v/>
      </c>
      <c r="F562" s="652" t="n"/>
      <c r="G562" s="652" t="n"/>
      <c r="H562" s="652" t="n"/>
    </row>
    <row r="563">
      <c r="B563" s="659" t="inlineStr">
        <is>
          <t>3. Khả năng thanh toán tức thời</t>
        </is>
      </c>
      <c r="C563" s="673" t="n"/>
      <c r="D563" s="675" t="n">
        <v>0.16</v>
      </c>
      <c r="E563" s="652">
        <f>D563*C559</f>
        <v/>
      </c>
      <c r="F563" s="652" t="n"/>
      <c r="G563" s="652" t="n"/>
      <c r="H563" s="652" t="n"/>
    </row>
    <row r="564">
      <c r="B564" s="656" t="inlineStr">
        <is>
          <t>Chỉ tiêu hoạt động</t>
        </is>
      </c>
      <c r="C564" s="685" t="n"/>
      <c r="D564" s="672" t="n"/>
      <c r="E564" s="652" t="n"/>
      <c r="F564" s="648" t="n"/>
      <c r="G564" s="648" t="n"/>
      <c r="H564" s="648" t="n"/>
    </row>
    <row r="565">
      <c r="B565" s="659" t="inlineStr">
        <is>
          <t>4. Vòng quay vốn lưu động</t>
        </is>
      </c>
      <c r="C565" s="673" t="n"/>
      <c r="D565" s="675" t="n">
        <v>3.67</v>
      </c>
      <c r="E565" s="652">
        <f>D565*C559</f>
        <v/>
      </c>
      <c r="F565" s="652" t="n"/>
      <c r="G565" s="652" t="n"/>
      <c r="H565" s="652" t="n"/>
    </row>
    <row r="566">
      <c r="B566" s="659" t="inlineStr">
        <is>
          <t>5. Vòng quay hàng tồn kho</t>
        </is>
      </c>
      <c r="C566" s="673" t="n"/>
      <c r="D566" s="675" t="n">
        <v>6.67</v>
      </c>
      <c r="E566" s="652">
        <f>D566*C559</f>
        <v/>
      </c>
      <c r="F566" s="652" t="n"/>
      <c r="G566" s="652" t="n"/>
      <c r="H566" s="652" t="n"/>
    </row>
    <row r="567">
      <c r="B567" s="659" t="inlineStr">
        <is>
          <t>6. Vòng quay các khoản phải thu</t>
        </is>
      </c>
      <c r="C567" s="673" t="n"/>
      <c r="D567" s="675" t="n">
        <v>4.67</v>
      </c>
      <c r="E567" s="652">
        <f>D567*C559</f>
        <v/>
      </c>
      <c r="F567" s="652" t="n"/>
      <c r="G567" s="652" t="n"/>
      <c r="H567" s="652" t="n"/>
    </row>
    <row r="568">
      <c r="B568" s="659" t="inlineStr">
        <is>
          <t>7. Hiệu suất sử dụng TSCĐ</t>
        </is>
      </c>
      <c r="C568" s="673" t="n"/>
      <c r="D568" s="675" t="n">
        <v>39</v>
      </c>
      <c r="E568" s="652">
        <f>D568*C559</f>
        <v/>
      </c>
      <c r="F568" s="652" t="n"/>
      <c r="G568" s="652" t="n"/>
      <c r="H568" s="652" t="n"/>
    </row>
    <row r="569">
      <c r="B569" s="656" t="inlineStr">
        <is>
          <t>Chỉ tiêu cân nợ</t>
        </is>
      </c>
      <c r="C569" s="685" t="n"/>
      <c r="D569" s="672" t="n"/>
      <c r="E569" s="652" t="n"/>
      <c r="F569" s="648" t="n"/>
      <c r="G569" s="648" t="n"/>
      <c r="H569" s="648" t="n"/>
    </row>
    <row r="570">
      <c r="B570" s="665" t="inlineStr">
        <is>
          <t>8. Tổng nợ phải trả/ Tổng tài sản</t>
        </is>
      </c>
      <c r="C570" s="673" t="n"/>
      <c r="D570" s="676" t="n">
        <v>0.77</v>
      </c>
      <c r="E570" s="652">
        <f>D570*C559</f>
        <v/>
      </c>
      <c r="F570" s="652" t="n"/>
      <c r="G570" s="652" t="n"/>
      <c r="H570" s="652" t="n"/>
    </row>
    <row r="571">
      <c r="B571" s="665" t="inlineStr">
        <is>
          <t>9. Nợ dài dạn/Vốn CSH</t>
        </is>
      </c>
      <c r="C571" s="673" t="n"/>
      <c r="D571" s="676" t="n">
        <v>0.5</v>
      </c>
      <c r="E571" s="652">
        <f>D571*C559</f>
        <v/>
      </c>
      <c r="F571" s="652" t="n"/>
      <c r="G571" s="652" t="n"/>
      <c r="H571" s="652" t="n"/>
    </row>
    <row r="572">
      <c r="B572" s="659" t="inlineStr">
        <is>
          <t>10. Tổng nợ/Vốn CSH</t>
        </is>
      </c>
      <c r="C572" s="673" t="n"/>
      <c r="D572" s="676" t="n">
        <v>2.57</v>
      </c>
      <c r="E572" s="652">
        <f>D572*C559</f>
        <v/>
      </c>
      <c r="F572" s="652" t="n"/>
      <c r="G572" s="652" t="n"/>
      <c r="H572" s="652" t="n"/>
    </row>
    <row r="573">
      <c r="B573" s="656" t="inlineStr">
        <is>
          <t>Chỉ tiêu thu nhập</t>
        </is>
      </c>
      <c r="C573" s="685" t="n"/>
      <c r="D573" s="672" t="n"/>
      <c r="E573" s="652" t="n"/>
      <c r="F573" s="648" t="n"/>
      <c r="G573" s="648" t="n"/>
      <c r="H573" s="648" t="n"/>
    </row>
    <row r="574">
      <c r="B574" s="659" t="inlineStr">
        <is>
          <t>11. Lợi nhuận gộp/Doanh thu thuần</t>
        </is>
      </c>
      <c r="C574" s="673" t="n"/>
      <c r="D574" s="677" t="n">
        <v>0.0633</v>
      </c>
      <c r="E574" s="652">
        <f>D574*C559</f>
        <v/>
      </c>
      <c r="F574" s="652" t="n"/>
      <c r="G574" s="652" t="n"/>
      <c r="H574" s="652" t="n"/>
    </row>
    <row r="575">
      <c r="B575" s="659" t="inlineStr">
        <is>
          <t>12. Lợi nhuận từ hoạt động kinh doanh/Doanh thu thuần</t>
        </is>
      </c>
      <c r="C575" s="673" t="n"/>
      <c r="D575" s="677" t="n">
        <v>0.0633</v>
      </c>
      <c r="E575" s="652">
        <f>D575*C559</f>
        <v/>
      </c>
      <c r="F575" s="652" t="n"/>
      <c r="G575" s="652" t="n"/>
      <c r="H575" s="652" t="n"/>
    </row>
    <row r="576">
      <c r="B576" s="659" t="inlineStr">
        <is>
          <t>13. Lợi nhuận sau thuế/Vốn CSH bình quân</t>
        </is>
      </c>
      <c r="C576" s="673" t="n"/>
      <c r="D576" s="677" t="n">
        <v>0.1267</v>
      </c>
      <c r="E576" s="652">
        <f>D576*C559</f>
        <v/>
      </c>
      <c r="F576" s="652" t="n"/>
      <c r="G576" s="652" t="n"/>
      <c r="H576" s="652" t="n"/>
    </row>
    <row r="577">
      <c r="B577" s="659" t="inlineStr">
        <is>
          <t>14. Lợi nhuận sau thuế/Tổng tài sản bình quân</t>
        </is>
      </c>
      <c r="C577" s="673" t="n"/>
      <c r="D577" s="677" t="n">
        <v>0.065</v>
      </c>
      <c r="E577" s="652">
        <f>D577*C559</f>
        <v/>
      </c>
      <c r="F577" s="652" t="n"/>
      <c r="G577" s="652" t="n"/>
      <c r="H577" s="652" t="n"/>
    </row>
    <row r="578" ht="15.75" customHeight="1" s="782" thickBot="1">
      <c r="B578" s="686" t="inlineStr">
        <is>
          <t>15. EBIT/Chi phí lãi vay</t>
        </is>
      </c>
      <c r="C578" s="678" t="n"/>
      <c r="D578" s="679" t="n">
        <v>2.8</v>
      </c>
      <c r="E578" s="652">
        <f>D578*C559</f>
        <v/>
      </c>
      <c r="F578" s="652" t="n"/>
      <c r="G578" s="652" t="n"/>
      <c r="H578" s="652" t="n"/>
    </row>
    <row r="579" ht="15.75" customHeight="1" s="782" thickTop="1">
      <c r="B579" s="670" t="inlineStr">
        <is>
          <t>Thương mại hàng công nghiệp nặng khác</t>
        </is>
      </c>
      <c r="C579" s="671">
        <f>IF(B579=$G$218,100%,0%)</f>
        <v/>
      </c>
      <c r="D579" s="671" t="n"/>
      <c r="E579" s="644" t="n"/>
      <c r="F579" s="644" t="n"/>
      <c r="G579" s="644" t="n"/>
      <c r="H579" s="644" t="n"/>
    </row>
    <row r="580">
      <c r="B580" s="656" t="inlineStr">
        <is>
          <t>Chỉ tiêu thanh khoản</t>
        </is>
      </c>
      <c r="C580" s="685" t="n"/>
      <c r="D580" s="672" t="n"/>
      <c r="E580" s="648" t="n"/>
      <c r="F580" s="648" t="n"/>
      <c r="G580" s="648" t="n"/>
      <c r="H580" s="648" t="n"/>
    </row>
    <row r="581">
      <c r="B581" s="659" t="inlineStr">
        <is>
          <t>1.Khả năng thanh toán hiện hành</t>
        </is>
      </c>
      <c r="C581" s="673" t="n"/>
      <c r="D581" s="675" t="n">
        <v>1.23</v>
      </c>
      <c r="E581" s="652">
        <f>C579*D581</f>
        <v/>
      </c>
      <c r="F581" s="652" t="n"/>
      <c r="G581" s="652" t="n"/>
      <c r="H581" s="652" t="n"/>
    </row>
    <row r="582">
      <c r="B582" s="659" t="inlineStr">
        <is>
          <t>2. Khả năng thanh toán nhanh</t>
        </is>
      </c>
      <c r="C582" s="673" t="n"/>
      <c r="D582" s="675" t="n">
        <v>0.72</v>
      </c>
      <c r="E582" s="652">
        <f>D582*C579</f>
        <v/>
      </c>
      <c r="F582" s="652" t="n"/>
      <c r="G582" s="652" t="n"/>
      <c r="H582" s="652" t="n"/>
    </row>
    <row r="583">
      <c r="B583" s="659" t="inlineStr">
        <is>
          <t>3. Khả năng thanh toán tức thời</t>
        </is>
      </c>
      <c r="C583" s="673" t="n"/>
      <c r="D583" s="675" t="n">
        <v>0.16</v>
      </c>
      <c r="E583" s="652">
        <f>D583*C579</f>
        <v/>
      </c>
      <c r="F583" s="652" t="n"/>
      <c r="G583" s="652" t="n"/>
      <c r="H583" s="652" t="n"/>
    </row>
    <row r="584">
      <c r="B584" s="656" t="inlineStr">
        <is>
          <t>Chỉ tiêu hoạt động</t>
        </is>
      </c>
      <c r="C584" s="685" t="n"/>
      <c r="D584" s="672" t="n"/>
      <c r="E584" s="652" t="n"/>
      <c r="F584" s="648" t="n"/>
      <c r="G584" s="648" t="n"/>
      <c r="H584" s="648" t="n"/>
    </row>
    <row r="585">
      <c r="B585" s="659" t="inlineStr">
        <is>
          <t>4. Vòng quay vốn lưu động</t>
        </is>
      </c>
      <c r="C585" s="673" t="n"/>
      <c r="D585" s="675" t="n">
        <v>3</v>
      </c>
      <c r="E585" s="652">
        <f>D585*C579</f>
        <v/>
      </c>
      <c r="F585" s="652" t="n"/>
      <c r="G585" s="652" t="n"/>
      <c r="H585" s="652" t="n"/>
    </row>
    <row r="586">
      <c r="B586" s="659" t="inlineStr">
        <is>
          <t>5. Vòng quay hàng tồn kho</t>
        </is>
      </c>
      <c r="C586" s="673" t="n"/>
      <c r="D586" s="675" t="n">
        <v>8.17</v>
      </c>
      <c r="E586" s="652">
        <f>D586*C579</f>
        <v/>
      </c>
      <c r="F586" s="652" t="n"/>
      <c r="G586" s="652" t="n"/>
      <c r="H586" s="652" t="n"/>
    </row>
    <row r="587">
      <c r="B587" s="659" t="inlineStr">
        <is>
          <t>6. Vòng quay các khoản phải thu</t>
        </is>
      </c>
      <c r="C587" s="673" t="n"/>
      <c r="D587" s="675" t="n">
        <v>6.5</v>
      </c>
      <c r="E587" s="652">
        <f>D587*C579</f>
        <v/>
      </c>
      <c r="F587" s="652" t="n"/>
      <c r="G587" s="652" t="n"/>
      <c r="H587" s="652" t="n"/>
    </row>
    <row r="588">
      <c r="B588" s="659" t="inlineStr">
        <is>
          <t>7. Hiệu suất sử dụng TSCĐ</t>
        </is>
      </c>
      <c r="C588" s="673" t="n"/>
      <c r="D588" s="675" t="n">
        <v>8.33</v>
      </c>
      <c r="E588" s="652">
        <f>D588*C579</f>
        <v/>
      </c>
      <c r="F588" s="652" t="n"/>
      <c r="G588" s="652" t="n"/>
      <c r="H588" s="652" t="n"/>
    </row>
    <row r="589">
      <c r="B589" s="656" t="inlineStr">
        <is>
          <t>Chỉ tiêu cân nợ</t>
        </is>
      </c>
      <c r="C589" s="685" t="n"/>
      <c r="D589" s="672" t="n"/>
      <c r="E589" s="652" t="n"/>
      <c r="F589" s="648" t="n"/>
      <c r="G589" s="648" t="n"/>
      <c r="H589" s="648" t="n"/>
    </row>
    <row r="590">
      <c r="B590" s="659" t="inlineStr">
        <is>
          <t>8. Tổng nợ phải trả/ Tổng tài sản</t>
        </is>
      </c>
      <c r="C590" s="673" t="n"/>
      <c r="D590" s="676" t="n">
        <v>0.75</v>
      </c>
      <c r="E590" s="652">
        <f>D590*C579</f>
        <v/>
      </c>
      <c r="F590" s="652" t="n"/>
      <c r="G590" s="652" t="n"/>
      <c r="H590" s="652" t="n"/>
    </row>
    <row r="591">
      <c r="B591" s="659" t="inlineStr">
        <is>
          <t>9. Nợ dài dạn/Vốn CSH</t>
        </is>
      </c>
      <c r="C591" s="673" t="n"/>
      <c r="D591" s="676" t="n">
        <v>0.45</v>
      </c>
      <c r="E591" s="652">
        <f>D591*C579</f>
        <v/>
      </c>
      <c r="F591" s="652" t="n"/>
      <c r="G591" s="652" t="n"/>
      <c r="H591" s="652" t="n"/>
    </row>
    <row r="592">
      <c r="B592" s="659" t="inlineStr">
        <is>
          <t>10. Tổng nợ/Vốn CSH</t>
        </is>
      </c>
      <c r="C592" s="673" t="n"/>
      <c r="D592" s="676" t="n">
        <v>1.97</v>
      </c>
      <c r="E592" s="652">
        <f>D592*C579</f>
        <v/>
      </c>
      <c r="F592" s="652" t="n"/>
      <c r="G592" s="652" t="n"/>
      <c r="H592" s="652" t="n"/>
    </row>
    <row r="593">
      <c r="B593" s="656" t="inlineStr">
        <is>
          <t>Chỉ tiêu thu nhập</t>
        </is>
      </c>
      <c r="C593" s="685" t="n"/>
      <c r="D593" s="672" t="n"/>
      <c r="E593" s="652" t="n"/>
      <c r="F593" s="648" t="n"/>
      <c r="G593" s="648" t="n"/>
      <c r="H593" s="648" t="n"/>
    </row>
    <row r="594">
      <c r="B594" s="665" t="inlineStr">
        <is>
          <t>11. Lợi nhuận gộp/Doanh thu thuần</t>
        </is>
      </c>
      <c r="C594" s="673" t="n"/>
      <c r="D594" s="677" t="n">
        <v>0.1017</v>
      </c>
      <c r="E594" s="652">
        <f>D594*C579</f>
        <v/>
      </c>
      <c r="F594" s="652" t="n"/>
      <c r="G594" s="652" t="n"/>
      <c r="H594" s="652" t="n"/>
    </row>
    <row r="595">
      <c r="B595" s="665" t="inlineStr">
        <is>
          <t>12. Lợi nhuận từ hoạt động kinh doanh/Doanh thu thuần</t>
        </is>
      </c>
      <c r="C595" s="673" t="n"/>
      <c r="D595" s="677" t="n">
        <v>0.055</v>
      </c>
      <c r="E595" s="652">
        <f>D595*C579</f>
        <v/>
      </c>
      <c r="F595" s="652" t="n"/>
      <c r="G595" s="652" t="n"/>
      <c r="H595" s="652" t="n"/>
    </row>
    <row r="596">
      <c r="B596" s="665" t="inlineStr">
        <is>
          <t>13. Lợi nhuận sau thuế/Vốn CSH bình quân</t>
        </is>
      </c>
      <c r="C596" s="673" t="n"/>
      <c r="D596" s="677" t="n">
        <v>0.1367</v>
      </c>
      <c r="E596" s="652">
        <f>D596*C579</f>
        <v/>
      </c>
      <c r="F596" s="652" t="n"/>
      <c r="G596" s="652" t="n"/>
      <c r="H596" s="652" t="n"/>
    </row>
    <row r="597">
      <c r="B597" s="665" t="inlineStr">
        <is>
          <t>14. Lợi nhuận sau thuế/Tổng tài sản bình quân</t>
        </is>
      </c>
      <c r="C597" s="673" t="n"/>
      <c r="D597" s="677" t="n">
        <v>0.0433</v>
      </c>
      <c r="E597" s="652">
        <f>D597*C579</f>
        <v/>
      </c>
      <c r="F597" s="652" t="n"/>
      <c r="G597" s="652" t="n"/>
      <c r="H597" s="652" t="n"/>
    </row>
    <row r="598" ht="15.75" customHeight="1" s="782" thickBot="1">
      <c r="B598" s="667" t="inlineStr">
        <is>
          <t>15. EBIT/Chi phí lãi vay</t>
        </is>
      </c>
      <c r="C598" s="678" t="n"/>
      <c r="D598" s="679" t="n">
        <v>2.8</v>
      </c>
      <c r="E598" s="652">
        <f>D598*C579</f>
        <v/>
      </c>
      <c r="F598" s="652" t="n"/>
      <c r="G598" s="652" t="n"/>
      <c r="H598" s="652" t="n"/>
    </row>
    <row r="599" ht="15.75" customHeight="1" s="782" thickTop="1">
      <c r="B599" s="670" t="inlineStr">
        <is>
          <t>Kinh doanh vận tải bộ và đường sông</t>
        </is>
      </c>
      <c r="C599" s="671">
        <f>IF(B599=$G$218,100%,0%)</f>
        <v/>
      </c>
      <c r="D599" s="687" t="n"/>
      <c r="E599" s="688" t="n"/>
      <c r="F599" s="688" t="n"/>
      <c r="G599" s="688" t="n"/>
      <c r="H599" s="688" t="n"/>
    </row>
    <row r="600">
      <c r="B600" s="656" t="inlineStr">
        <is>
          <t>Chỉ tiêu thanh khoản</t>
        </is>
      </c>
      <c r="C600" s="657" t="n"/>
      <c r="D600" s="672" t="n"/>
      <c r="E600" s="648" t="n"/>
      <c r="F600" s="648" t="n"/>
      <c r="G600" s="648" t="n"/>
      <c r="H600" s="648" t="n"/>
    </row>
    <row r="601">
      <c r="B601" s="659" t="inlineStr">
        <is>
          <t>1.Khả năng thanh toán hiện hành</t>
        </is>
      </c>
      <c r="C601" s="673" t="n"/>
      <c r="D601" s="675" t="n">
        <v>1.07</v>
      </c>
      <c r="E601" s="652">
        <f>C599*D601</f>
        <v/>
      </c>
      <c r="F601" s="652" t="n"/>
      <c r="G601" s="652" t="n"/>
      <c r="H601" s="652" t="n"/>
    </row>
    <row r="602">
      <c r="B602" s="659" t="inlineStr">
        <is>
          <t>2. Khả năng thanh toán nhanh</t>
        </is>
      </c>
      <c r="C602" s="673" t="n"/>
      <c r="D602" s="675" t="n">
        <v>0.73</v>
      </c>
      <c r="E602" s="652">
        <f>D602*C599</f>
        <v/>
      </c>
      <c r="F602" s="652" t="n"/>
      <c r="G602" s="652" t="n"/>
      <c r="H602" s="652" t="n"/>
    </row>
    <row r="603">
      <c r="B603" s="659" t="inlineStr">
        <is>
          <t>3. Khả năng thanh toán tức thời</t>
        </is>
      </c>
      <c r="C603" s="673" t="n"/>
      <c r="D603" s="675" t="n">
        <v>0.37</v>
      </c>
      <c r="E603" s="652">
        <f>D603*C599</f>
        <v/>
      </c>
      <c r="F603" s="652" t="n"/>
      <c r="G603" s="652" t="n"/>
      <c r="H603" s="652" t="n"/>
    </row>
    <row r="604">
      <c r="B604" s="656" t="inlineStr">
        <is>
          <t>Chỉ tiêu hoạt động</t>
        </is>
      </c>
      <c r="C604" s="657" t="n"/>
      <c r="D604" s="672" t="n"/>
      <c r="E604" s="652" t="n"/>
      <c r="F604" s="648" t="n"/>
      <c r="G604" s="648" t="n"/>
      <c r="H604" s="648" t="n"/>
    </row>
    <row r="605">
      <c r="B605" s="659" t="inlineStr">
        <is>
          <t>4. Vòng quay vốn lưu động</t>
        </is>
      </c>
      <c r="C605" s="673" t="n"/>
      <c r="D605" s="675" t="n">
        <v>5.5</v>
      </c>
      <c r="E605" s="652">
        <f>D605*C599</f>
        <v/>
      </c>
      <c r="F605" s="652" t="n"/>
      <c r="G605" s="652" t="n"/>
      <c r="H605" s="652" t="n"/>
    </row>
    <row r="606">
      <c r="B606" s="659" t="inlineStr">
        <is>
          <t>5. Vòng quay hàng tồn kho</t>
        </is>
      </c>
      <c r="C606" s="673" t="n"/>
      <c r="D606" s="675" t="n">
        <v>15</v>
      </c>
      <c r="E606" s="652">
        <f>D606*C599</f>
        <v/>
      </c>
      <c r="F606" s="652" t="n"/>
      <c r="G606" s="652" t="n"/>
      <c r="H606" s="652" t="n"/>
    </row>
    <row r="607">
      <c r="B607" s="659" t="inlineStr">
        <is>
          <t>6. Vòng quay các khoản phải thu</t>
        </is>
      </c>
      <c r="C607" s="673" t="n"/>
      <c r="D607" s="675" t="n">
        <v>14.33</v>
      </c>
      <c r="E607" s="652">
        <f>D607*C599</f>
        <v/>
      </c>
      <c r="F607" s="652" t="n"/>
      <c r="G607" s="652" t="n"/>
      <c r="H607" s="652" t="n"/>
    </row>
    <row r="608">
      <c r="B608" s="659" t="inlineStr">
        <is>
          <t>7. Hiệu suất sử dụng TSCĐ</t>
        </is>
      </c>
      <c r="C608" s="673" t="n"/>
      <c r="D608" s="675" t="n">
        <v>1.97</v>
      </c>
      <c r="E608" s="652">
        <f>D608*C599</f>
        <v/>
      </c>
      <c r="F608" s="652" t="n"/>
      <c r="G608" s="652" t="n"/>
      <c r="H608" s="652" t="n"/>
    </row>
    <row r="609">
      <c r="B609" s="656" t="inlineStr">
        <is>
          <t>Chỉ tiêu cân nợ</t>
        </is>
      </c>
      <c r="C609" s="657" t="n"/>
      <c r="D609" s="672" t="n"/>
      <c r="E609" s="652" t="n"/>
      <c r="F609" s="648" t="n"/>
      <c r="G609" s="648" t="n"/>
      <c r="H609" s="648" t="n"/>
    </row>
    <row r="610">
      <c r="B610" s="659" t="inlineStr">
        <is>
          <t>8. Tổng nợ phải trả/ Tổng tài sản</t>
        </is>
      </c>
      <c r="C610" s="673" t="n"/>
      <c r="D610" s="677" t="n">
        <v>0.6667</v>
      </c>
      <c r="E610" s="652">
        <f>D610*C599</f>
        <v/>
      </c>
      <c r="F610" s="652" t="n"/>
      <c r="G610" s="652" t="n"/>
      <c r="H610" s="652" t="n"/>
    </row>
    <row r="611">
      <c r="B611" s="659" t="inlineStr">
        <is>
          <t>9. Nợ dài dạn/Vốn CSH</t>
        </is>
      </c>
      <c r="C611" s="673" t="n"/>
      <c r="D611" s="676" t="n">
        <v>0.65</v>
      </c>
      <c r="E611" s="652">
        <f>D611*C599</f>
        <v/>
      </c>
      <c r="F611" s="652" t="n"/>
      <c r="G611" s="652" t="n"/>
      <c r="H611" s="652" t="n"/>
    </row>
    <row r="612">
      <c r="B612" s="665" t="inlineStr">
        <is>
          <t>10. Tổng nợ/Vốn CSH</t>
        </is>
      </c>
      <c r="C612" s="673" t="n"/>
      <c r="D612" s="676" t="n">
        <v>1.4</v>
      </c>
      <c r="E612" s="652">
        <f>D612*C599</f>
        <v/>
      </c>
      <c r="F612" s="652" t="n"/>
      <c r="G612" s="652" t="n"/>
      <c r="H612" s="652" t="n"/>
    </row>
    <row r="613">
      <c r="B613" s="656" t="inlineStr">
        <is>
          <t>Chỉ tiêu thu nhập</t>
        </is>
      </c>
      <c r="C613" s="657" t="n"/>
      <c r="D613" s="672" t="n"/>
      <c r="E613" s="652" t="n"/>
      <c r="F613" s="648" t="n"/>
      <c r="G613" s="648" t="n"/>
      <c r="H613" s="648" t="n"/>
    </row>
    <row r="614">
      <c r="B614" s="665" t="inlineStr">
        <is>
          <t>11. Lợi nhuận gộp/Doanh thu thuần</t>
        </is>
      </c>
      <c r="C614" s="673" t="n"/>
      <c r="D614" s="677" t="n">
        <v>0.1867</v>
      </c>
      <c r="E614" s="652">
        <f>D614*C599</f>
        <v/>
      </c>
      <c r="F614" s="652" t="n"/>
      <c r="G614" s="652" t="n"/>
      <c r="H614" s="652" t="n"/>
    </row>
    <row r="615">
      <c r="B615" s="665" t="inlineStr">
        <is>
          <t>12. Lợi nhuận từ hoạt động kinh doanh/Doanh thu thuần</t>
        </is>
      </c>
      <c r="C615" s="673" t="n"/>
      <c r="D615" s="677" t="n">
        <v>0.1033</v>
      </c>
      <c r="E615" s="652">
        <f>D615*C599</f>
        <v/>
      </c>
      <c r="F615" s="652" t="n"/>
      <c r="G615" s="652" t="n"/>
      <c r="H615" s="652" t="n"/>
    </row>
    <row r="616">
      <c r="B616" s="665" t="inlineStr">
        <is>
          <t>13. Lợi nhuận sau thuế/Vốn CSH bình quân</t>
        </is>
      </c>
      <c r="C616" s="673" t="n"/>
      <c r="D616" s="676" t="n">
        <v>0.14</v>
      </c>
      <c r="E616" s="652">
        <f>D616*C599</f>
        <v/>
      </c>
      <c r="F616" s="652" t="n"/>
      <c r="G616" s="652" t="n"/>
      <c r="H616" s="652" t="n"/>
    </row>
    <row r="617">
      <c r="B617" s="665" t="inlineStr">
        <is>
          <t>14. Lợi nhuận sau thuế/Tổng tài sản bình quân</t>
        </is>
      </c>
      <c r="C617" s="673" t="n"/>
      <c r="D617" s="677" t="n">
        <v>0.0617</v>
      </c>
      <c r="E617" s="652">
        <f>D617*C599</f>
        <v/>
      </c>
      <c r="F617" s="652" t="n"/>
      <c r="G617" s="652" t="n"/>
      <c r="H617" s="652" t="n"/>
    </row>
    <row r="618" ht="15.75" customHeight="1" s="782" thickBot="1">
      <c r="B618" s="667" t="inlineStr">
        <is>
          <t>15. EBIT/Chi phí lãi vay</t>
        </is>
      </c>
      <c r="C618" s="678" t="n"/>
      <c r="D618" s="679" t="n">
        <v>2.5</v>
      </c>
      <c r="E618" s="652">
        <f>D618*C599</f>
        <v/>
      </c>
      <c r="F618" s="652" t="n"/>
      <c r="G618" s="652" t="n"/>
      <c r="H618" s="652" t="n"/>
    </row>
    <row r="619" ht="15.75" customHeight="1" s="782" thickTop="1">
      <c r="B619" s="670" t="inlineStr">
        <is>
          <t>Kinh doanh vận tải biển</t>
        </is>
      </c>
      <c r="C619" s="671">
        <f>IF(B619=$G$218,100%,0%)</f>
        <v/>
      </c>
      <c r="D619" s="671" t="n"/>
      <c r="E619" s="644" t="n"/>
      <c r="F619" s="644" t="n"/>
      <c r="G619" s="644" t="n"/>
      <c r="H619" s="644" t="n"/>
    </row>
    <row r="620">
      <c r="B620" s="656" t="inlineStr">
        <is>
          <t>Chỉ tiêu thanh khoản</t>
        </is>
      </c>
      <c r="C620" s="685" t="n"/>
      <c r="D620" s="672" t="n"/>
      <c r="E620" s="648" t="n"/>
      <c r="F620" s="648" t="n"/>
      <c r="G620" s="648" t="n"/>
      <c r="H620" s="648" t="n"/>
    </row>
    <row r="621">
      <c r="B621" s="659" t="inlineStr">
        <is>
          <t>1.Khả năng thanh toán hiện hành</t>
        </is>
      </c>
      <c r="C621" s="673" t="n"/>
      <c r="D621" s="675" t="n">
        <v>1.07</v>
      </c>
      <c r="E621" s="652">
        <f>C619*D621</f>
        <v/>
      </c>
      <c r="F621" s="652" t="n"/>
      <c r="G621" s="652" t="n"/>
      <c r="H621" s="652" t="n"/>
    </row>
    <row r="622">
      <c r="B622" s="659" t="inlineStr">
        <is>
          <t>2. Khả năng thanh toán nhanh</t>
        </is>
      </c>
      <c r="C622" s="673" t="n"/>
      <c r="D622" s="675" t="n">
        <v>0.87</v>
      </c>
      <c r="E622" s="652">
        <f>D622*C619</f>
        <v/>
      </c>
      <c r="F622" s="652" t="n"/>
      <c r="G622" s="652" t="n"/>
      <c r="H622" s="652" t="n"/>
    </row>
    <row r="623">
      <c r="B623" s="659" t="inlineStr">
        <is>
          <t>3. Khả năng thanh toán tức thời</t>
        </is>
      </c>
      <c r="C623" s="673" t="n"/>
      <c r="D623" s="675" t="n">
        <v>0.37</v>
      </c>
      <c r="E623" s="652">
        <f>D623*C619</f>
        <v/>
      </c>
      <c r="F623" s="652" t="n"/>
      <c r="G623" s="652" t="n"/>
      <c r="H623" s="652" t="n"/>
    </row>
    <row r="624">
      <c r="B624" s="656" t="inlineStr">
        <is>
          <t>Chỉ tiêu hoạt động</t>
        </is>
      </c>
      <c r="C624" s="685" t="n"/>
      <c r="D624" s="672" t="n"/>
      <c r="E624" s="652" t="n"/>
      <c r="F624" s="648" t="n"/>
      <c r="G624" s="648" t="n"/>
      <c r="H624" s="648" t="n"/>
    </row>
    <row r="625">
      <c r="B625" s="659" t="inlineStr">
        <is>
          <t>4. Vòng quay vốn lưu động</t>
        </is>
      </c>
      <c r="C625" s="673" t="n"/>
      <c r="D625" s="675" t="n">
        <v>4.77</v>
      </c>
      <c r="E625" s="652">
        <f>D625*C619</f>
        <v/>
      </c>
      <c r="F625" s="652" t="n"/>
      <c r="G625" s="652" t="n"/>
      <c r="H625" s="652" t="n"/>
    </row>
    <row r="626">
      <c r="B626" s="659" t="inlineStr">
        <is>
          <t>5. Vòng quay hàng tồn kho</t>
        </is>
      </c>
      <c r="C626" s="673" t="n"/>
      <c r="D626" s="675" t="n">
        <v>15</v>
      </c>
      <c r="E626" s="652">
        <f>D626*C619</f>
        <v/>
      </c>
      <c r="F626" s="652" t="n"/>
      <c r="G626" s="652" t="n"/>
      <c r="H626" s="652" t="n"/>
    </row>
    <row r="627">
      <c r="B627" s="659" t="inlineStr">
        <is>
          <t>6. Vòng quay các khoản phải thu</t>
        </is>
      </c>
      <c r="C627" s="673" t="n"/>
      <c r="D627" s="675" t="n">
        <v>5.67</v>
      </c>
      <c r="E627" s="652">
        <f>D627*C619</f>
        <v/>
      </c>
      <c r="F627" s="652" t="n"/>
      <c r="G627" s="652" t="n"/>
      <c r="H627" s="652" t="n"/>
    </row>
    <row r="628">
      <c r="B628" s="659" t="inlineStr">
        <is>
          <t>7. Hiệu suất sử dụng TSCĐ</t>
        </is>
      </c>
      <c r="C628" s="673" t="n"/>
      <c r="D628" s="675" t="n">
        <v>1.97</v>
      </c>
      <c r="E628" s="652">
        <f>D628*C619</f>
        <v/>
      </c>
      <c r="F628" s="652" t="n"/>
      <c r="G628" s="652" t="n"/>
      <c r="H628" s="652" t="n"/>
    </row>
    <row r="629">
      <c r="B629" s="656" t="inlineStr">
        <is>
          <t>Chỉ tiêu cân nợ</t>
        </is>
      </c>
      <c r="C629" s="685" t="n"/>
      <c r="D629" s="672" t="n"/>
      <c r="E629" s="652" t="n"/>
      <c r="F629" s="648" t="n"/>
      <c r="G629" s="648" t="n"/>
      <c r="H629" s="648" t="n"/>
    </row>
    <row r="630">
      <c r="B630" s="659" t="inlineStr">
        <is>
          <t>8. Tổng nợ phải trả/ Tổng tài sản</t>
        </is>
      </c>
      <c r="C630" s="673" t="n"/>
      <c r="D630" s="676" t="n">
        <v>0.67</v>
      </c>
      <c r="E630" s="652">
        <f>D630*C619</f>
        <v/>
      </c>
      <c r="F630" s="652" t="n"/>
      <c r="G630" s="652" t="n"/>
      <c r="H630" s="652" t="n"/>
    </row>
    <row r="631">
      <c r="B631" s="659" t="inlineStr">
        <is>
          <t>9. Nợ dài dạn/Vốn CSH</t>
        </is>
      </c>
      <c r="C631" s="673" t="n"/>
      <c r="D631" s="676" t="n">
        <v>1.55</v>
      </c>
      <c r="E631" s="652">
        <f>D631*C619</f>
        <v/>
      </c>
      <c r="F631" s="652" t="n"/>
      <c r="G631" s="652" t="n"/>
      <c r="H631" s="652" t="n"/>
    </row>
    <row r="632">
      <c r="B632" s="659" t="inlineStr">
        <is>
          <t>10. Tổng nợ/Vốn CSH</t>
        </is>
      </c>
      <c r="C632" s="673" t="n"/>
      <c r="D632" s="676" t="n">
        <v>1.4</v>
      </c>
      <c r="E632" s="652">
        <f>D632*C619</f>
        <v/>
      </c>
      <c r="F632" s="652" t="n"/>
      <c r="G632" s="652" t="n"/>
      <c r="H632" s="652" t="n"/>
    </row>
    <row r="633">
      <c r="B633" s="656" t="inlineStr">
        <is>
          <t>Chỉ tiêu thu nhập</t>
        </is>
      </c>
      <c r="C633" s="685" t="n"/>
      <c r="D633" s="672" t="n"/>
      <c r="E633" s="652" t="n"/>
      <c r="F633" s="648" t="n"/>
      <c r="G633" s="648" t="n"/>
      <c r="H633" s="648" t="n"/>
    </row>
    <row r="634">
      <c r="B634" s="665" t="inlineStr">
        <is>
          <t>11. Lợi nhuận gộp/Doanh thu thuần</t>
        </is>
      </c>
      <c r="C634" s="673" t="n"/>
      <c r="D634" s="677" t="n">
        <v>0.1867</v>
      </c>
      <c r="E634" s="652">
        <f>D634*C619</f>
        <v/>
      </c>
      <c r="F634" s="652" t="n"/>
      <c r="G634" s="652" t="n"/>
      <c r="H634" s="652" t="n"/>
    </row>
    <row r="635">
      <c r="B635" s="665" t="inlineStr">
        <is>
          <t>12. Lợi nhuận từ hoạt động kinh doanh/Doanh thu thuần</t>
        </is>
      </c>
      <c r="C635" s="673" t="n"/>
      <c r="D635" s="677" t="n">
        <v>0.1043</v>
      </c>
      <c r="E635" s="652">
        <f>D635*C619</f>
        <v/>
      </c>
      <c r="F635" s="652" t="n"/>
      <c r="G635" s="652" t="n"/>
      <c r="H635" s="652" t="n"/>
    </row>
    <row r="636">
      <c r="B636" s="665" t="inlineStr">
        <is>
          <t>13. Lợi nhuận sau thuế/Vốn CSH bình quân</t>
        </is>
      </c>
      <c r="C636" s="673" t="n"/>
      <c r="D636" s="676" t="n">
        <v>0.14</v>
      </c>
      <c r="E636" s="652">
        <f>D636*C619</f>
        <v/>
      </c>
      <c r="F636" s="652" t="n"/>
      <c r="G636" s="652" t="n"/>
      <c r="H636" s="652" t="n"/>
    </row>
    <row r="637">
      <c r="B637" s="665" t="inlineStr">
        <is>
          <t>14. Lợi nhuận sau thuế/Tổng tài sản bình quân</t>
        </is>
      </c>
      <c r="C637" s="673" t="n"/>
      <c r="D637" s="677" t="n">
        <v>0.0617</v>
      </c>
      <c r="E637" s="652">
        <f>D637*C619</f>
        <v/>
      </c>
      <c r="F637" s="652" t="n"/>
      <c r="G637" s="652" t="n"/>
      <c r="H637" s="652" t="n"/>
    </row>
    <row r="638" ht="15.75" customHeight="1" s="782" thickBot="1">
      <c r="B638" s="667" t="inlineStr">
        <is>
          <t>15. EBIT/Chi phí lãi vay</t>
        </is>
      </c>
      <c r="C638" s="678" t="n"/>
      <c r="D638" s="679" t="n">
        <v>2.5</v>
      </c>
      <c r="E638" s="652">
        <f>D638*C619</f>
        <v/>
      </c>
      <c r="F638" s="652" t="n"/>
      <c r="G638" s="652" t="n"/>
      <c r="H638" s="652" t="n"/>
    </row>
    <row r="639" ht="29.25" customHeight="1" s="782" thickTop="1">
      <c r="B639" s="670" t="inlineStr">
        <is>
          <t>Kinh doanh dịch vụ khách sạn, du lịch, ăn uống, vui chơi giải trí</t>
        </is>
      </c>
      <c r="C639" s="671">
        <f>IF(B639=$G$218,100%,0%)</f>
        <v/>
      </c>
      <c r="D639" s="671" t="n"/>
      <c r="E639" s="644" t="n"/>
      <c r="F639" s="644" t="n"/>
      <c r="G639" s="644" t="n"/>
      <c r="H639" s="644" t="n"/>
    </row>
    <row r="640">
      <c r="B640" s="656" t="inlineStr">
        <is>
          <t>Chỉ tiêu thanh khoản</t>
        </is>
      </c>
      <c r="C640" s="657" t="n"/>
      <c r="D640" s="672" t="n"/>
      <c r="E640" s="648" t="n"/>
      <c r="F640" s="648" t="n"/>
      <c r="G640" s="648" t="n"/>
      <c r="H640" s="648" t="n"/>
    </row>
    <row r="641">
      <c r="B641" s="659" t="inlineStr">
        <is>
          <t>1.Khả năng thanh toán hiện hành</t>
        </is>
      </c>
      <c r="C641" s="673" t="n"/>
      <c r="D641" s="675" t="n">
        <v>1.2</v>
      </c>
      <c r="E641" s="652">
        <f>C639*D641</f>
        <v/>
      </c>
      <c r="F641" s="652" t="n"/>
      <c r="G641" s="652" t="n"/>
      <c r="H641" s="652" t="n"/>
    </row>
    <row r="642">
      <c r="B642" s="659" t="inlineStr">
        <is>
          <t>2. Khả năng thanh toán nhanh</t>
        </is>
      </c>
      <c r="C642" s="673" t="n"/>
      <c r="D642" s="675" t="n">
        <v>0.9</v>
      </c>
      <c r="E642" s="652">
        <f>D642*C639</f>
        <v/>
      </c>
      <c r="F642" s="652" t="n"/>
      <c r="G642" s="652" t="n"/>
      <c r="H642" s="652" t="n"/>
    </row>
    <row r="643">
      <c r="B643" s="659" t="inlineStr">
        <is>
          <t>3. Khả năng thanh toán tức thời</t>
        </is>
      </c>
      <c r="C643" s="673" t="n"/>
      <c r="D643" s="675" t="n">
        <v>0.4</v>
      </c>
      <c r="E643" s="652">
        <f>D643*C639</f>
        <v/>
      </c>
      <c r="F643" s="652" t="n"/>
      <c r="G643" s="652" t="n"/>
      <c r="H643" s="652" t="n"/>
    </row>
    <row r="644">
      <c r="B644" s="656" t="inlineStr">
        <is>
          <t>Chỉ tiêu hoạt động</t>
        </is>
      </c>
      <c r="C644" s="657" t="n"/>
      <c r="D644" s="672" t="n"/>
      <c r="E644" s="652" t="n"/>
      <c r="F644" s="648" t="n"/>
      <c r="G644" s="648" t="n"/>
      <c r="H644" s="648" t="n"/>
    </row>
    <row r="645">
      <c r="B645" s="659" t="inlineStr">
        <is>
          <t>4. Vòng quay vốn lưu động</t>
        </is>
      </c>
      <c r="C645" s="673" t="n"/>
      <c r="D645" s="675" t="n">
        <v>4.3</v>
      </c>
      <c r="E645" s="652">
        <f>D645*C639</f>
        <v/>
      </c>
      <c r="F645" s="652" t="n"/>
      <c r="G645" s="652" t="n"/>
      <c r="H645" s="652" t="n"/>
    </row>
    <row r="646">
      <c r="B646" s="659" t="inlineStr">
        <is>
          <t>5. Vòng quay hàng tồn kho</t>
        </is>
      </c>
      <c r="C646" s="673" t="n"/>
      <c r="D646" s="675" t="n">
        <v>21</v>
      </c>
      <c r="E646" s="652">
        <f>D646*C639</f>
        <v/>
      </c>
      <c r="F646" s="652" t="n"/>
      <c r="G646" s="652" t="n"/>
      <c r="H646" s="652" t="n"/>
    </row>
    <row r="647">
      <c r="B647" s="659" t="inlineStr">
        <is>
          <t>6. Vòng quay các khoản phải thu</t>
        </is>
      </c>
      <c r="C647" s="673" t="n"/>
      <c r="D647" s="675" t="n">
        <v>26</v>
      </c>
      <c r="E647" s="652">
        <f>D647*C639</f>
        <v/>
      </c>
      <c r="F647" s="652" t="n"/>
      <c r="G647" s="652" t="n"/>
      <c r="H647" s="652" t="n"/>
    </row>
    <row r="648">
      <c r="B648" s="659" t="inlineStr">
        <is>
          <t>7. Hiệu suất sử dụng TSCĐ</t>
        </is>
      </c>
      <c r="C648" s="673" t="n"/>
      <c r="D648" s="675" t="n">
        <v>0.8</v>
      </c>
      <c r="E648" s="652">
        <f>D648*C639</f>
        <v/>
      </c>
      <c r="F648" s="652" t="n"/>
      <c r="G648" s="652" t="n"/>
      <c r="H648" s="652" t="n"/>
    </row>
    <row r="649">
      <c r="B649" s="656" t="inlineStr">
        <is>
          <t>Chỉ tiêu cân nợ</t>
        </is>
      </c>
      <c r="C649" s="657" t="n"/>
      <c r="D649" s="672" t="n"/>
      <c r="E649" s="652" t="n"/>
      <c r="F649" s="648" t="n"/>
      <c r="G649" s="648" t="n"/>
      <c r="H649" s="648" t="n"/>
    </row>
    <row r="650">
      <c r="B650" s="659" t="inlineStr">
        <is>
          <t>8. Tổng nợ phải trả/ Tổng tài sản</t>
        </is>
      </c>
      <c r="C650" s="673" t="n"/>
      <c r="D650" s="676" t="n">
        <v>0.68</v>
      </c>
      <c r="E650" s="652">
        <f>D650*C639</f>
        <v/>
      </c>
      <c r="F650" s="652" t="n"/>
      <c r="G650" s="652" t="n"/>
      <c r="H650" s="652" t="n"/>
    </row>
    <row r="651">
      <c r="B651" s="659" t="inlineStr">
        <is>
          <t>9. Nợ dài dạn/Vốn CSH</t>
        </is>
      </c>
      <c r="C651" s="673" t="n"/>
      <c r="D651" s="676" t="n">
        <v>1.25</v>
      </c>
      <c r="E651" s="652">
        <f>D651*C639</f>
        <v/>
      </c>
      <c r="F651" s="652" t="n"/>
      <c r="G651" s="652" t="n"/>
      <c r="H651" s="652" t="n"/>
    </row>
    <row r="652">
      <c r="B652" s="659" t="inlineStr">
        <is>
          <t>10. Tổng nợ/Vốn CSH</t>
        </is>
      </c>
      <c r="C652" s="673" t="n"/>
      <c r="D652" s="676" t="n">
        <v>1.77</v>
      </c>
      <c r="E652" s="652">
        <f>D652*C639</f>
        <v/>
      </c>
      <c r="F652" s="652" t="n"/>
      <c r="G652" s="652" t="n"/>
      <c r="H652" s="652" t="n"/>
    </row>
    <row r="653">
      <c r="B653" s="656" t="inlineStr">
        <is>
          <t>Chỉ tiêu thu nhập</t>
        </is>
      </c>
      <c r="C653" s="657" t="n"/>
      <c r="D653" s="672" t="n"/>
      <c r="E653" s="652" t="n"/>
      <c r="F653" s="648" t="n"/>
      <c r="G653" s="648" t="n"/>
      <c r="H653" s="648" t="n"/>
    </row>
    <row r="654">
      <c r="B654" s="665" t="inlineStr">
        <is>
          <t>11. Lợi nhuận gộp/Doanh thu thuần</t>
        </is>
      </c>
      <c r="C654" s="673" t="n"/>
      <c r="D654" s="676" t="n">
        <v>0.38</v>
      </c>
      <c r="E654" s="652">
        <f>D654*C639</f>
        <v/>
      </c>
      <c r="F654" s="652" t="n"/>
      <c r="G654" s="652" t="n"/>
      <c r="H654" s="652" t="n"/>
    </row>
    <row r="655">
      <c r="B655" s="665" t="inlineStr">
        <is>
          <t>12. Lợi nhuận từ hoạt động kinh doanh/Doanh thu thuần</t>
        </is>
      </c>
      <c r="C655" s="673" t="n"/>
      <c r="D655" s="676" t="n">
        <v>0.14</v>
      </c>
      <c r="E655" s="652">
        <f>D655*C639</f>
        <v/>
      </c>
      <c r="F655" s="652" t="n"/>
      <c r="G655" s="652" t="n"/>
      <c r="H655" s="652" t="n"/>
    </row>
    <row r="656">
      <c r="B656" s="665" t="inlineStr">
        <is>
          <t>13. Lợi nhuận sau thuế/Vốn CSH bình quân</t>
        </is>
      </c>
      <c r="C656" s="673" t="n"/>
      <c r="D656" s="676" t="n">
        <v>0.2</v>
      </c>
      <c r="E656" s="652">
        <f>D656*C639</f>
        <v/>
      </c>
      <c r="F656" s="652" t="n"/>
      <c r="G656" s="652" t="n"/>
      <c r="H656" s="652" t="n"/>
    </row>
    <row r="657">
      <c r="B657" s="665" t="inlineStr">
        <is>
          <t>14. Lợi nhuận sau thuế/Tổng tài sản bình quân</t>
        </is>
      </c>
      <c r="C657" s="673" t="n"/>
      <c r="D657" s="676" t="n">
        <v>0.09</v>
      </c>
      <c r="E657" s="652">
        <f>D657*C639</f>
        <v/>
      </c>
      <c r="F657" s="652" t="n"/>
      <c r="G657" s="652" t="n"/>
      <c r="H657" s="652" t="n"/>
    </row>
    <row r="658" ht="15.75" customHeight="1" s="782" thickBot="1">
      <c r="B658" s="667" t="inlineStr">
        <is>
          <t>15. EBIT/Chi phí lãi vay</t>
        </is>
      </c>
      <c r="C658" s="678" t="n"/>
      <c r="D658" s="679" t="n">
        <v>3.5</v>
      </c>
      <c r="E658" s="652">
        <f>D658*C639</f>
        <v/>
      </c>
      <c r="F658" s="652" t="n"/>
      <c r="G658" s="652" t="n"/>
      <c r="H658" s="652" t="n"/>
    </row>
    <row r="659" ht="15.75" customHeight="1" s="782" thickTop="1">
      <c r="B659" s="670" t="inlineStr">
        <is>
          <t>Kinh doanh bất động sản và cơ sở hạ tầng</t>
        </is>
      </c>
      <c r="C659" s="671">
        <f>IF(B659=$G$218,100%,0%)</f>
        <v/>
      </c>
      <c r="D659" s="671" t="n"/>
      <c r="E659" s="644" t="n"/>
      <c r="F659" s="644" t="n"/>
      <c r="G659" s="644" t="n"/>
      <c r="H659" s="644" t="n"/>
    </row>
    <row r="660">
      <c r="B660" s="656" t="inlineStr">
        <is>
          <t>Chỉ tiêu thanh khoản</t>
        </is>
      </c>
      <c r="C660" s="685" t="n"/>
      <c r="D660" s="672" t="n"/>
      <c r="E660" s="648" t="n"/>
      <c r="F660" s="648" t="n"/>
      <c r="G660" s="648" t="n"/>
      <c r="H660" s="648" t="n"/>
    </row>
    <row r="661">
      <c r="B661" s="659" t="inlineStr">
        <is>
          <t>1.Khả năng thanh toán hiện hành</t>
        </is>
      </c>
      <c r="C661" s="673" t="n"/>
      <c r="D661" s="675" t="n">
        <v>1.17</v>
      </c>
      <c r="E661" s="652">
        <f>C659*D661</f>
        <v/>
      </c>
      <c r="F661" s="652" t="n"/>
      <c r="G661" s="652" t="n"/>
      <c r="H661" s="652" t="n"/>
    </row>
    <row r="662">
      <c r="B662" s="659" t="inlineStr">
        <is>
          <t>2. Khả năng thanh toán nhanh</t>
        </is>
      </c>
      <c r="C662" s="673" t="n"/>
      <c r="D662" s="675" t="n">
        <v>0.68</v>
      </c>
      <c r="E662" s="652">
        <f>D662*C659</f>
        <v/>
      </c>
      <c r="F662" s="652" t="n"/>
      <c r="G662" s="652" t="n"/>
      <c r="H662" s="652" t="n"/>
    </row>
    <row r="663">
      <c r="B663" s="659" t="inlineStr">
        <is>
          <t>3. Khả năng thanh toán tức thời</t>
        </is>
      </c>
      <c r="C663" s="673" t="n"/>
      <c r="D663" s="675" t="n">
        <v>0.16</v>
      </c>
      <c r="E663" s="652">
        <f>D663*C659</f>
        <v/>
      </c>
      <c r="F663" s="652" t="n"/>
      <c r="G663" s="652" t="n"/>
      <c r="H663" s="652" t="n"/>
    </row>
    <row r="664">
      <c r="B664" s="656" t="inlineStr">
        <is>
          <t>Chỉ tiêu hoạt động</t>
        </is>
      </c>
      <c r="C664" s="685" t="n"/>
      <c r="D664" s="672" t="n"/>
      <c r="E664" s="652" t="n"/>
      <c r="F664" s="648" t="n"/>
      <c r="G664" s="648" t="n"/>
      <c r="H664" s="648" t="n"/>
    </row>
    <row r="665">
      <c r="B665" s="659" t="inlineStr">
        <is>
          <t>4. Vòng quay vốn lưu động</t>
        </is>
      </c>
      <c r="C665" s="673" t="n"/>
      <c r="D665" s="675" t="n">
        <v>1.4</v>
      </c>
      <c r="E665" s="652">
        <f>D665*C659</f>
        <v/>
      </c>
      <c r="F665" s="652" t="n"/>
      <c r="G665" s="652" t="n"/>
      <c r="H665" s="652" t="n"/>
    </row>
    <row r="666">
      <c r="B666" s="659" t="inlineStr">
        <is>
          <t>5. Vòng quay hàng tồn kho</t>
        </is>
      </c>
      <c r="C666" s="673" t="n"/>
      <c r="D666" s="675" t="n">
        <v>1.97</v>
      </c>
      <c r="E666" s="652">
        <f>D666*C659</f>
        <v/>
      </c>
      <c r="F666" s="652" t="n"/>
      <c r="G666" s="652" t="n"/>
      <c r="H666" s="652" t="n"/>
    </row>
    <row r="667">
      <c r="B667" s="659" t="inlineStr">
        <is>
          <t>6. Vòng quay các khoản phải thu</t>
        </is>
      </c>
      <c r="C667" s="673" t="n"/>
      <c r="D667" s="675" t="n">
        <v>3.17</v>
      </c>
      <c r="E667" s="652">
        <f>D667*C659</f>
        <v/>
      </c>
      <c r="F667" s="652" t="n"/>
      <c r="G667" s="652" t="n"/>
      <c r="H667" s="652" t="n"/>
    </row>
    <row r="668">
      <c r="B668" s="659" t="inlineStr">
        <is>
          <t>7. Hiệu suất sử dụng TSCĐ</t>
        </is>
      </c>
      <c r="C668" s="673" t="n"/>
      <c r="D668" s="675" t="n">
        <v>4.73</v>
      </c>
      <c r="E668" s="652">
        <f>D668*C659</f>
        <v/>
      </c>
      <c r="F668" s="652" t="n"/>
      <c r="G668" s="652" t="n"/>
      <c r="H668" s="652" t="n"/>
    </row>
    <row r="669">
      <c r="B669" s="656" t="inlineStr">
        <is>
          <t>Chỉ tiêu cân nợ</t>
        </is>
      </c>
      <c r="C669" s="685" t="n"/>
      <c r="D669" s="675" t="n"/>
      <c r="E669" s="652" t="n"/>
      <c r="F669" s="652" t="n"/>
      <c r="G669" s="652" t="n"/>
      <c r="H669" s="652" t="n"/>
    </row>
    <row r="670">
      <c r="B670" s="659" t="inlineStr">
        <is>
          <t>8. Tổng nợ phải trả/ Tổng tài sản</t>
        </is>
      </c>
      <c r="C670" s="673" t="n"/>
      <c r="D670" s="676" t="n">
        <v>0.77</v>
      </c>
      <c r="E670" s="652">
        <f>D670*C659</f>
        <v/>
      </c>
      <c r="F670" s="652" t="n"/>
      <c r="G670" s="652" t="n"/>
      <c r="H670" s="652" t="n"/>
    </row>
    <row r="671">
      <c r="B671" s="659" t="inlineStr">
        <is>
          <t>9. Nợ dài dạn/Vốn CSH</t>
        </is>
      </c>
      <c r="C671" s="673" t="n"/>
      <c r="D671" s="676" t="n">
        <v>1.67</v>
      </c>
      <c r="E671" s="652">
        <f>D671*C659</f>
        <v/>
      </c>
      <c r="F671" s="652" t="n"/>
      <c r="G671" s="652" t="n"/>
      <c r="H671" s="652" t="n"/>
    </row>
    <row r="672">
      <c r="B672" s="659" t="inlineStr">
        <is>
          <t>10. Tổng nợ/Vốn CSH</t>
        </is>
      </c>
      <c r="C672" s="673" t="n"/>
      <c r="D672" s="676" t="n">
        <v>2.57</v>
      </c>
      <c r="E672" s="652">
        <f>D672*C659</f>
        <v/>
      </c>
      <c r="F672" s="652" t="n"/>
      <c r="G672" s="652" t="n"/>
      <c r="H672" s="652" t="n"/>
    </row>
    <row r="673">
      <c r="B673" s="656" t="inlineStr">
        <is>
          <t>Chỉ tiêu thu nhập</t>
        </is>
      </c>
      <c r="C673" s="685" t="n"/>
      <c r="D673" s="675" t="n"/>
      <c r="E673" s="652" t="n"/>
      <c r="F673" s="652" t="n"/>
      <c r="G673" s="652" t="n"/>
      <c r="H673" s="652" t="n"/>
    </row>
    <row r="674">
      <c r="B674" s="665" t="inlineStr">
        <is>
          <t>11. Lợi nhuận gộp/Doanh thu thuần</t>
        </is>
      </c>
      <c r="C674" s="673" t="n"/>
      <c r="D674" s="677" t="n">
        <v>0.1833</v>
      </c>
      <c r="E674" s="652">
        <f>D674*C659</f>
        <v/>
      </c>
      <c r="F674" s="652" t="n"/>
      <c r="G674" s="652" t="n"/>
      <c r="H674" s="652" t="n"/>
    </row>
    <row r="675">
      <c r="B675" s="665" t="inlineStr">
        <is>
          <t>12. Lợi nhuận từ hoạt động kinh doanh/Doanh thu thuần</t>
        </is>
      </c>
      <c r="C675" s="673" t="n"/>
      <c r="D675" s="677" t="n">
        <v>0.1533</v>
      </c>
      <c r="E675" s="652">
        <f>D675*C659</f>
        <v/>
      </c>
      <c r="F675" s="652" t="n"/>
      <c r="G675" s="652" t="n"/>
      <c r="H675" s="652" t="n"/>
    </row>
    <row r="676">
      <c r="B676" s="665" t="inlineStr">
        <is>
          <t>13. Lợi nhuận sau thuế/Vốn CSH bình quân</t>
        </is>
      </c>
      <c r="C676" s="673" t="n"/>
      <c r="D676" s="677" t="n">
        <v>0.1367</v>
      </c>
      <c r="E676" s="652">
        <f>D676*C659</f>
        <v/>
      </c>
      <c r="F676" s="652" t="n"/>
      <c r="G676" s="652" t="n"/>
      <c r="H676" s="652" t="n"/>
    </row>
    <row r="677">
      <c r="B677" s="665" t="inlineStr">
        <is>
          <t>14. Lợi nhuận sau thuế/Tổng tài sản bình quân</t>
        </is>
      </c>
      <c r="C677" s="673" t="n"/>
      <c r="D677" s="677" t="n">
        <v>0.0483</v>
      </c>
      <c r="E677" s="652">
        <f>D677*C659</f>
        <v/>
      </c>
      <c r="F677" s="652" t="n"/>
      <c r="G677" s="652" t="n"/>
      <c r="H677" s="652" t="n"/>
    </row>
    <row r="678" ht="15.75" customHeight="1" s="782" thickBot="1">
      <c r="B678" s="667" t="inlineStr">
        <is>
          <t>15. EBIT/Chi phí lãi vay</t>
        </is>
      </c>
      <c r="C678" s="678" t="n"/>
      <c r="D678" s="679" t="n">
        <v>3.67</v>
      </c>
      <c r="E678" s="652">
        <f>D678*C659</f>
        <v/>
      </c>
      <c r="F678" s="689" t="n"/>
      <c r="G678" s="689" t="n"/>
      <c r="H678" s="682" t="n"/>
    </row>
    <row r="679" ht="15.75" customHeight="1" s="782" thickTop="1">
      <c r="B679" s="670" t="inlineStr">
        <is>
          <t>Kinh doanh dịch vụ bưu chính viễn thông</t>
        </is>
      </c>
      <c r="C679" s="671">
        <f>IF(B679=$G$218,100%,0%)</f>
        <v/>
      </c>
      <c r="D679" s="671" t="n"/>
      <c r="E679" s="644" t="n"/>
      <c r="F679" s="644" t="n"/>
      <c r="G679" s="644" t="n"/>
      <c r="H679" s="644" t="n"/>
    </row>
    <row r="680">
      <c r="B680" s="656" t="inlineStr">
        <is>
          <t>Chỉ tiêu thanh khoản</t>
        </is>
      </c>
      <c r="C680" s="657" t="n"/>
      <c r="D680" s="672" t="n"/>
      <c r="E680" s="648" t="n"/>
      <c r="F680" s="648" t="n"/>
      <c r="G680" s="648" t="n"/>
      <c r="H680" s="648" t="n"/>
    </row>
    <row r="681">
      <c r="B681" s="659" t="inlineStr">
        <is>
          <t>1.Khả năng thanh toán hiện hành</t>
        </is>
      </c>
      <c r="C681" s="673" t="n"/>
      <c r="D681" s="675" t="n">
        <v>1.4</v>
      </c>
      <c r="E681" s="652">
        <f>C679*D681</f>
        <v/>
      </c>
      <c r="F681" s="652" t="n"/>
      <c r="G681" s="652" t="n"/>
      <c r="H681" s="652" t="n"/>
    </row>
    <row r="682">
      <c r="B682" s="659" t="inlineStr">
        <is>
          <t>2. Khả năng thanh toán nhanh</t>
        </is>
      </c>
      <c r="C682" s="673" t="n"/>
      <c r="D682" s="675" t="n">
        <v>1</v>
      </c>
      <c r="E682" s="652">
        <f>D682*C679</f>
        <v/>
      </c>
      <c r="F682" s="652" t="n"/>
      <c r="G682" s="652" t="n"/>
      <c r="H682" s="652" t="n"/>
    </row>
    <row r="683">
      <c r="B683" s="659" t="inlineStr">
        <is>
          <t>3. Khả năng thanh toán tức thời</t>
        </is>
      </c>
      <c r="C683" s="673" t="n"/>
      <c r="D683" s="675" t="n">
        <v>0.32</v>
      </c>
      <c r="E683" s="652">
        <f>D683*C679</f>
        <v/>
      </c>
      <c r="F683" s="652" t="n"/>
      <c r="G683" s="652" t="n"/>
      <c r="H683" s="652" t="n"/>
    </row>
    <row r="684">
      <c r="B684" s="656" t="inlineStr">
        <is>
          <t>Chỉ tiêu hoạt động</t>
        </is>
      </c>
      <c r="C684" s="657" t="n"/>
      <c r="D684" s="672" t="n"/>
      <c r="E684" s="652" t="n"/>
      <c r="F684" s="648" t="n"/>
      <c r="G684" s="648" t="n"/>
      <c r="H684" s="648" t="n"/>
    </row>
    <row r="685">
      <c r="B685" s="659" t="inlineStr">
        <is>
          <t>4. Vòng quay vốn lưu động</t>
        </is>
      </c>
      <c r="C685" s="673" t="n"/>
      <c r="D685" s="675" t="n">
        <v>2.83</v>
      </c>
      <c r="E685" s="652">
        <f>D685*C679</f>
        <v/>
      </c>
      <c r="F685" s="652" t="n"/>
      <c r="G685" s="652" t="n"/>
      <c r="H685" s="652" t="n"/>
    </row>
    <row r="686">
      <c r="B686" s="659" t="inlineStr">
        <is>
          <t>5. Vòng quay hàng tồn kho</t>
        </is>
      </c>
      <c r="C686" s="673" t="n"/>
      <c r="D686" s="675" t="n">
        <v>6.83</v>
      </c>
      <c r="E686" s="652">
        <f>D686*C679</f>
        <v/>
      </c>
      <c r="F686" s="652" t="n"/>
      <c r="G686" s="652" t="n"/>
      <c r="H686" s="652" t="n"/>
    </row>
    <row r="687">
      <c r="B687" s="659" t="inlineStr">
        <is>
          <t>6. Vòng quay các khoản phải thu</t>
        </is>
      </c>
      <c r="C687" s="673" t="n"/>
      <c r="D687" s="675" t="n">
        <v>5.17</v>
      </c>
      <c r="E687" s="652">
        <f>D687*C679</f>
        <v/>
      </c>
      <c r="F687" s="652" t="n"/>
      <c r="G687" s="652" t="n"/>
      <c r="H687" s="652" t="n"/>
    </row>
    <row r="688">
      <c r="B688" s="659" t="inlineStr">
        <is>
          <t>7. Hiệu suất sử dụng TSCĐ</t>
        </is>
      </c>
      <c r="C688" s="673" t="n"/>
      <c r="D688" s="675" t="n">
        <v>2.83</v>
      </c>
      <c r="E688" s="652">
        <f>D688*C679</f>
        <v/>
      </c>
      <c r="F688" s="652" t="n"/>
      <c r="G688" s="652" t="n"/>
      <c r="H688" s="652" t="n"/>
    </row>
    <row r="689">
      <c r="B689" s="656" t="inlineStr">
        <is>
          <t>Chỉ tiêu cân nợ</t>
        </is>
      </c>
      <c r="C689" s="657" t="n"/>
      <c r="D689" s="672" t="n"/>
      <c r="E689" s="652" t="n"/>
      <c r="F689" s="648" t="n"/>
      <c r="G689" s="648" t="n"/>
      <c r="H689" s="648" t="n"/>
    </row>
    <row r="690">
      <c r="B690" s="659" t="inlineStr">
        <is>
          <t>8. Tổng nợ phải trả/ Tổng tài sản</t>
        </is>
      </c>
      <c r="C690" s="673" t="n"/>
      <c r="D690" s="676" t="n">
        <v>0.78</v>
      </c>
      <c r="E690" s="652">
        <f>D690*C679</f>
        <v/>
      </c>
      <c r="F690" s="652" t="n"/>
      <c r="G690" s="652" t="n"/>
      <c r="H690" s="652" t="n"/>
    </row>
    <row r="691">
      <c r="B691" s="659" t="inlineStr">
        <is>
          <t>9. Nợ dài dạn/Vốn CSH</t>
        </is>
      </c>
      <c r="C691" s="673" t="n"/>
      <c r="D691" s="676" t="n">
        <v>1.2</v>
      </c>
      <c r="E691" s="652">
        <f>D691*C679</f>
        <v/>
      </c>
      <c r="F691" s="652" t="n"/>
      <c r="G691" s="652" t="n"/>
      <c r="H691" s="652" t="n"/>
    </row>
    <row r="692">
      <c r="B692" s="659" t="inlineStr">
        <is>
          <t>10. Tổng nợ/Vốn CSH</t>
        </is>
      </c>
      <c r="C692" s="673" t="n"/>
      <c r="D692" s="676" t="n">
        <v>2.84</v>
      </c>
      <c r="E692" s="652">
        <f>D692*C679</f>
        <v/>
      </c>
      <c r="F692" s="652" t="n"/>
      <c r="G692" s="652" t="n"/>
      <c r="H692" s="652" t="n"/>
    </row>
    <row r="693">
      <c r="B693" s="656" t="inlineStr">
        <is>
          <t>Chỉ tiêu thu nhập</t>
        </is>
      </c>
      <c r="C693" s="657" t="n"/>
      <c r="D693" s="672" t="n"/>
      <c r="E693" s="652" t="n"/>
      <c r="F693" s="648" t="n"/>
      <c r="G693" s="648" t="n"/>
      <c r="H693" s="648" t="n"/>
    </row>
    <row r="694">
      <c r="B694" s="665" t="inlineStr">
        <is>
          <t>11. Lợi nhuận gộp/Doanh thu thuần</t>
        </is>
      </c>
      <c r="C694" s="673" t="n"/>
      <c r="D694" s="676" t="n">
        <v>0.19</v>
      </c>
      <c r="E694" s="652">
        <f>D694*C679</f>
        <v/>
      </c>
      <c r="F694" s="652" t="n"/>
      <c r="G694" s="652" t="n"/>
      <c r="H694" s="652" t="n"/>
    </row>
    <row r="695">
      <c r="B695" s="665" t="inlineStr">
        <is>
          <t>12. Lợi nhuận từ hoạt động kinh doanh/Doanh thu thuần</t>
        </is>
      </c>
      <c r="C695" s="673" t="n"/>
      <c r="D695" s="677" t="n">
        <v>0.09669999999999999</v>
      </c>
      <c r="E695" s="652">
        <f>D695*C679</f>
        <v/>
      </c>
      <c r="F695" s="652" t="n"/>
      <c r="G695" s="652" t="n"/>
      <c r="H695" s="652" t="n"/>
    </row>
    <row r="696">
      <c r="B696" s="665" t="inlineStr">
        <is>
          <t>13. Lợi nhuận sau thuế/Vốn CSH bình quân</t>
        </is>
      </c>
      <c r="C696" s="673" t="n"/>
      <c r="D696" s="677" t="n">
        <v>0.1833</v>
      </c>
      <c r="E696" s="652">
        <f>D696*C679</f>
        <v/>
      </c>
      <c r="F696" s="652" t="n"/>
      <c r="G696" s="652" t="n"/>
      <c r="H696" s="652" t="n"/>
    </row>
    <row r="697">
      <c r="B697" s="665" t="inlineStr">
        <is>
          <t>14. Lợi nhuận sau thuế/Tổng tài sản bình quân</t>
        </is>
      </c>
      <c r="C697" s="673" t="n"/>
      <c r="D697" s="677" t="n">
        <v>0.0833</v>
      </c>
      <c r="E697" s="652">
        <f>D697*C679</f>
        <v/>
      </c>
      <c r="F697" s="652" t="n"/>
      <c r="G697" s="652" t="n"/>
      <c r="H697" s="652" t="n"/>
    </row>
    <row r="698" ht="15.75" customHeight="1" s="782" thickBot="1">
      <c r="B698" s="667" t="inlineStr">
        <is>
          <t>15. EBIT/Chi phí lãi vay</t>
        </is>
      </c>
      <c r="C698" s="678" t="n"/>
      <c r="D698" s="679" t="n">
        <v>3.17</v>
      </c>
      <c r="E698" s="652">
        <f>D698*C679</f>
        <v/>
      </c>
      <c r="F698" s="652" t="n"/>
      <c r="G698" s="652" t="n"/>
      <c r="H698" s="652" t="n"/>
    </row>
    <row r="699" ht="43.5" customHeight="1" s="782" thickTop="1">
      <c r="B699" s="670" t="inlineStr">
        <is>
          <t>Dịch vụ công nghệ, khoa học công nghệ, dịch vụ hành chính, hỗ trợ; giáo dục y tế; Thông tin và truyền thông khác.</t>
        </is>
      </c>
      <c r="C699" s="671">
        <f>IF(B699=$G$218,100%,0%)</f>
        <v/>
      </c>
      <c r="D699" s="671" t="n"/>
      <c r="E699" s="644" t="n"/>
      <c r="F699" s="644" t="n"/>
      <c r="G699" s="644" t="n"/>
      <c r="H699" s="644" t="n"/>
    </row>
    <row r="700">
      <c r="B700" s="656" t="inlineStr">
        <is>
          <t>Chỉ tiêu thanh khoản</t>
        </is>
      </c>
      <c r="C700" s="657" t="n"/>
      <c r="D700" s="672" t="n"/>
      <c r="E700" s="648" t="n"/>
      <c r="F700" s="648" t="n"/>
      <c r="G700" s="648" t="n"/>
      <c r="H700" s="648" t="n"/>
    </row>
    <row r="701">
      <c r="B701" s="659" t="inlineStr">
        <is>
          <t>1.Khả năng thanh toán hiện hành</t>
        </is>
      </c>
      <c r="C701" s="673" t="n"/>
      <c r="D701" s="675" t="n">
        <v>1.17</v>
      </c>
      <c r="E701" s="652">
        <f>C699*D701</f>
        <v/>
      </c>
      <c r="F701" s="652" t="n"/>
      <c r="G701" s="652" t="n"/>
      <c r="H701" s="652" t="n"/>
    </row>
    <row r="702">
      <c r="B702" s="659" t="inlineStr">
        <is>
          <t>2. Khả năng thanh toán nhanh</t>
        </is>
      </c>
      <c r="C702" s="673" t="n"/>
      <c r="D702" s="675" t="n">
        <v>0.95</v>
      </c>
      <c r="E702" s="652">
        <f>D702*C699</f>
        <v/>
      </c>
      <c r="F702" s="652" t="n"/>
      <c r="G702" s="652" t="n"/>
      <c r="H702" s="652" t="n"/>
    </row>
    <row r="703">
      <c r="B703" s="659" t="inlineStr">
        <is>
          <t>3. Khả năng thanh toán tức thời</t>
        </is>
      </c>
      <c r="C703" s="673" t="n"/>
      <c r="D703" s="675" t="n">
        <v>0.38</v>
      </c>
      <c r="E703" s="652">
        <f>D703*C699</f>
        <v/>
      </c>
      <c r="F703" s="652" t="n"/>
      <c r="G703" s="652" t="n"/>
      <c r="H703" s="652" t="n"/>
    </row>
    <row r="704">
      <c r="B704" s="656" t="inlineStr">
        <is>
          <t>Chỉ tiêu hoạt động</t>
        </is>
      </c>
      <c r="C704" s="657" t="n"/>
      <c r="D704" s="672" t="n"/>
      <c r="E704" s="652" t="n"/>
      <c r="F704" s="648" t="n"/>
      <c r="G704" s="648" t="n"/>
      <c r="H704" s="648" t="n"/>
    </row>
    <row r="705">
      <c r="B705" s="659" t="inlineStr">
        <is>
          <t>4. Vòng quay vốn lưu động</t>
        </is>
      </c>
      <c r="C705" s="673" t="n"/>
      <c r="D705" s="675" t="n">
        <v>3.6</v>
      </c>
      <c r="E705" s="652">
        <f>D705*C699</f>
        <v/>
      </c>
      <c r="F705" s="652" t="n"/>
      <c r="G705" s="652" t="n"/>
      <c r="H705" s="652" t="n"/>
    </row>
    <row r="706">
      <c r="B706" s="659" t="inlineStr">
        <is>
          <t>5. Vòng quay hàng tồn kho</t>
        </is>
      </c>
      <c r="C706" s="673" t="n"/>
      <c r="D706" s="675" t="n">
        <v>10.7</v>
      </c>
      <c r="E706" s="652">
        <f>D706*C699</f>
        <v/>
      </c>
      <c r="F706" s="652" t="n"/>
      <c r="G706" s="652" t="n"/>
      <c r="H706" s="652" t="n"/>
    </row>
    <row r="707">
      <c r="B707" s="659" t="inlineStr">
        <is>
          <t>6. Vòng quay các khoản phải thu</t>
        </is>
      </c>
      <c r="C707" s="673" t="n"/>
      <c r="D707" s="675" t="n">
        <v>9</v>
      </c>
      <c r="E707" s="652">
        <f>D707*C699</f>
        <v/>
      </c>
      <c r="F707" s="652" t="n"/>
      <c r="G707" s="652" t="n"/>
      <c r="H707" s="652" t="n"/>
    </row>
    <row r="708">
      <c r="B708" s="659" t="inlineStr">
        <is>
          <t>7. Hiệu suất sử dụng TSCĐ</t>
        </is>
      </c>
      <c r="C708" s="673" t="n"/>
      <c r="D708" s="675" t="n">
        <v>5</v>
      </c>
      <c r="E708" s="652">
        <f>D708*C699</f>
        <v/>
      </c>
      <c r="F708" s="652" t="n"/>
      <c r="G708" s="652" t="n"/>
      <c r="H708" s="652" t="n"/>
    </row>
    <row r="709">
      <c r="B709" s="656" t="inlineStr">
        <is>
          <t>Chỉ tiêu cân nợ</t>
        </is>
      </c>
      <c r="C709" s="657" t="n"/>
      <c r="D709" s="672" t="n"/>
      <c r="E709" s="652" t="n"/>
      <c r="F709" s="648" t="n"/>
      <c r="G709" s="648" t="n"/>
      <c r="H709" s="648" t="n"/>
    </row>
    <row r="710">
      <c r="B710" s="659" t="inlineStr">
        <is>
          <t>8. Tổng nợ phải trả/ Tổng tài sản</t>
        </is>
      </c>
      <c r="C710" s="673" t="n"/>
      <c r="D710" s="676" t="n">
        <v>0.65</v>
      </c>
      <c r="E710" s="652">
        <f>D710*C699</f>
        <v/>
      </c>
      <c r="F710" s="652" t="n"/>
      <c r="G710" s="652" t="n"/>
      <c r="H710" s="652" t="n"/>
    </row>
    <row r="711">
      <c r="B711" s="659" t="inlineStr">
        <is>
          <t>9. Nợ dài dạn/Vốn CSH</t>
        </is>
      </c>
      <c r="C711" s="673" t="n"/>
      <c r="D711" s="676" t="n">
        <v>1.07</v>
      </c>
      <c r="E711" s="652">
        <f>D711*C699</f>
        <v/>
      </c>
      <c r="F711" s="652" t="n"/>
      <c r="G711" s="652" t="n"/>
      <c r="H711" s="652" t="n"/>
    </row>
    <row r="712">
      <c r="B712" s="659" t="inlineStr">
        <is>
          <t>10. Tổng nợ/Vốn CSH</t>
        </is>
      </c>
      <c r="C712" s="673" t="n"/>
      <c r="D712" s="676" t="n">
        <v>1.37</v>
      </c>
      <c r="E712" s="652">
        <f>D712*C699</f>
        <v/>
      </c>
      <c r="F712" s="652" t="n"/>
      <c r="G712" s="652" t="n"/>
      <c r="H712" s="652" t="n"/>
    </row>
    <row r="713">
      <c r="B713" s="656" t="inlineStr">
        <is>
          <t>Chỉ tiêu thu nhập</t>
        </is>
      </c>
      <c r="C713" s="657" t="n"/>
      <c r="D713" s="672" t="n"/>
      <c r="E713" s="652" t="n"/>
      <c r="F713" s="648" t="n"/>
      <c r="G713" s="648" t="n"/>
      <c r="H713" s="648" t="n"/>
    </row>
    <row r="714">
      <c r="B714" s="665" t="inlineStr">
        <is>
          <t>11. Lợi nhuận gộp/Doanh thu thuần</t>
        </is>
      </c>
      <c r="C714" s="673" t="n"/>
      <c r="D714" s="676" t="n">
        <v>0.3</v>
      </c>
      <c r="E714" s="652">
        <f>D714*C699</f>
        <v/>
      </c>
      <c r="F714" s="652" t="n"/>
      <c r="G714" s="652" t="n"/>
      <c r="H714" s="652" t="n"/>
    </row>
    <row r="715">
      <c r="B715" s="665" t="inlineStr">
        <is>
          <t>12. Lợi nhuận từ hoạt động kinh doanh/Doanh thu thuần</t>
        </is>
      </c>
      <c r="C715" s="673" t="n"/>
      <c r="D715" s="676" t="n">
        <v>0.18</v>
      </c>
      <c r="E715" s="652">
        <f>D715*C699</f>
        <v/>
      </c>
      <c r="F715" s="652" t="n"/>
      <c r="G715" s="652" t="n"/>
      <c r="H715" s="652" t="n"/>
    </row>
    <row r="716">
      <c r="B716" s="665" t="inlineStr">
        <is>
          <t>13. Lợi nhuận sau thuế/Vốn CSH bình quân</t>
        </is>
      </c>
      <c r="C716" s="673" t="n"/>
      <c r="D716" s="676" t="n">
        <v>0.23</v>
      </c>
      <c r="E716" s="652">
        <f>D716*C699</f>
        <v/>
      </c>
      <c r="F716" s="652" t="n"/>
      <c r="G716" s="652" t="n"/>
      <c r="H716" s="652" t="n"/>
    </row>
    <row r="717">
      <c r="B717" s="665" t="inlineStr">
        <is>
          <t>14. Lợi nhuận sau thuế/Tổng tài sản bình quân</t>
        </is>
      </c>
      <c r="C717" s="673" t="n"/>
      <c r="D717" s="677" t="n">
        <v>0.1133</v>
      </c>
      <c r="E717" s="652">
        <f>D717*C699</f>
        <v/>
      </c>
      <c r="F717" s="652" t="n"/>
      <c r="G717" s="652" t="n"/>
      <c r="H717" s="652" t="n"/>
    </row>
    <row r="718" ht="15.75" customHeight="1" s="782" thickBot="1">
      <c r="B718" s="667" t="inlineStr">
        <is>
          <t>15. EBIT/Chi phí lãi vay</t>
        </is>
      </c>
      <c r="C718" s="678" t="n"/>
      <c r="D718" s="679" t="n">
        <v>3.5</v>
      </c>
      <c r="E718" s="652">
        <f>D718*C699</f>
        <v/>
      </c>
      <c r="F718" s="689" t="n"/>
      <c r="G718" s="689" t="n"/>
      <c r="H718" s="689" t="n"/>
    </row>
    <row r="719" ht="15.75" customHeight="1" s="782" thickTop="1">
      <c r="B719" s="670" t="inlineStr">
        <is>
          <t>Kinh doanh kho bãi và các dịch vụ hỗ trợ</t>
        </is>
      </c>
      <c r="C719" s="671">
        <f>IF(B719=$G$218,100%,0%)</f>
        <v/>
      </c>
      <c r="D719" s="671" t="n"/>
      <c r="E719" s="644" t="n"/>
      <c r="F719" s="644" t="n"/>
      <c r="G719" s="644" t="n"/>
      <c r="H719" s="644" t="n"/>
    </row>
    <row r="720">
      <c r="B720" s="656" t="inlineStr">
        <is>
          <t>Chỉ tiêu thanh khoản</t>
        </is>
      </c>
      <c r="C720" s="657" t="n"/>
      <c r="D720" s="672" t="n"/>
      <c r="E720" s="648" t="n"/>
      <c r="F720" s="648" t="n"/>
      <c r="G720" s="648" t="n"/>
      <c r="H720" s="648" t="n"/>
    </row>
    <row r="721">
      <c r="B721" s="659" t="inlineStr">
        <is>
          <t>1.Khả năng thanh toán hiện hành</t>
        </is>
      </c>
      <c r="C721" s="673" t="n"/>
      <c r="D721" s="675" t="n">
        <v>1.07</v>
      </c>
      <c r="E721" s="652">
        <f>C719*D721</f>
        <v/>
      </c>
      <c r="F721" s="652" t="n"/>
      <c r="G721" s="652" t="n"/>
      <c r="H721" s="652" t="n"/>
    </row>
    <row r="722">
      <c r="B722" s="659" t="inlineStr">
        <is>
          <t>2. Khả năng thanh toán nhanh</t>
        </is>
      </c>
      <c r="C722" s="673" t="n"/>
      <c r="D722" s="675" t="n">
        <v>0.73</v>
      </c>
      <c r="E722" s="652">
        <f>D722*C719</f>
        <v/>
      </c>
      <c r="F722" s="652" t="n"/>
      <c r="G722" s="652" t="n"/>
      <c r="H722" s="652" t="n"/>
    </row>
    <row r="723">
      <c r="B723" s="659" t="inlineStr">
        <is>
          <t>3. Khả năng thanh toán tức thời</t>
        </is>
      </c>
      <c r="C723" s="673" t="n"/>
      <c r="D723" s="675" t="n">
        <v>0.37</v>
      </c>
      <c r="E723" s="652">
        <f>D723*C719</f>
        <v/>
      </c>
      <c r="F723" s="652" t="n"/>
      <c r="G723" s="652" t="n"/>
      <c r="H723" s="652" t="n"/>
    </row>
    <row r="724">
      <c r="B724" s="656" t="inlineStr">
        <is>
          <t>Chỉ tiêu hoạt động</t>
        </is>
      </c>
      <c r="C724" s="657" t="n"/>
      <c r="D724" s="672" t="n"/>
      <c r="E724" s="652" t="n"/>
      <c r="F724" s="648" t="n"/>
      <c r="G724" s="648" t="n"/>
      <c r="H724" s="648" t="n"/>
    </row>
    <row r="725">
      <c r="B725" s="659" t="inlineStr">
        <is>
          <t>4. Vòng quay vốn lưu động</t>
        </is>
      </c>
      <c r="C725" s="673" t="n"/>
      <c r="D725" s="675" t="n">
        <v>5.5</v>
      </c>
      <c r="E725" s="652">
        <f>D725*C719</f>
        <v/>
      </c>
      <c r="F725" s="652" t="n"/>
      <c r="G725" s="652" t="n"/>
      <c r="H725" s="652" t="n"/>
    </row>
    <row r="726">
      <c r="B726" s="659" t="inlineStr">
        <is>
          <t>5. Vòng quay hàng tồn kho</t>
        </is>
      </c>
      <c r="C726" s="673" t="n"/>
      <c r="D726" s="675" t="n">
        <v>15</v>
      </c>
      <c r="E726" s="652">
        <f>D726*C719</f>
        <v/>
      </c>
      <c r="F726" s="652" t="n"/>
      <c r="G726" s="652" t="n"/>
      <c r="H726" s="652" t="n"/>
    </row>
    <row r="727">
      <c r="B727" s="659" t="inlineStr">
        <is>
          <t>6. Vòng quay các khoản phải thu</t>
        </is>
      </c>
      <c r="C727" s="673" t="n"/>
      <c r="D727" s="675" t="n">
        <v>14.33</v>
      </c>
      <c r="E727" s="652">
        <f>D727*C719</f>
        <v/>
      </c>
      <c r="F727" s="652" t="n"/>
      <c r="G727" s="652" t="n"/>
      <c r="H727" s="652" t="n"/>
    </row>
    <row r="728">
      <c r="B728" s="659" t="inlineStr">
        <is>
          <t>7. Hiệu suất sử dụng TSCĐ</t>
        </is>
      </c>
      <c r="C728" s="673" t="n"/>
      <c r="D728" s="675" t="n">
        <v>1.97</v>
      </c>
      <c r="E728" s="652">
        <f>D728*C719</f>
        <v/>
      </c>
      <c r="F728" s="652" t="n"/>
      <c r="G728" s="652" t="n"/>
      <c r="H728" s="652" t="n"/>
    </row>
    <row r="729">
      <c r="B729" s="656" t="inlineStr">
        <is>
          <t>Chỉ tiêu cân nợ</t>
        </is>
      </c>
      <c r="C729" s="657" t="n"/>
      <c r="D729" s="672" t="n"/>
      <c r="E729" s="652" t="n"/>
      <c r="F729" s="648" t="n"/>
      <c r="G729" s="648" t="n"/>
      <c r="H729" s="648" t="n"/>
    </row>
    <row r="730">
      <c r="B730" s="659" t="inlineStr">
        <is>
          <t>8. Tổng nợ phải trả/ Tổng tài sản</t>
        </is>
      </c>
      <c r="C730" s="673" t="n"/>
      <c r="D730" s="676" t="n">
        <v>0.67</v>
      </c>
      <c r="E730" s="652">
        <f>D730*C719</f>
        <v/>
      </c>
      <c r="F730" s="652" t="n"/>
      <c r="G730" s="652" t="n"/>
      <c r="H730" s="652" t="n"/>
    </row>
    <row r="731">
      <c r="B731" s="659" t="inlineStr">
        <is>
          <t>9. Nợ dài dạn/Vốn CSH</t>
        </is>
      </c>
      <c r="C731" s="673" t="n"/>
      <c r="D731" s="676" t="n">
        <v>0.65</v>
      </c>
      <c r="E731" s="652">
        <f>D731*C719</f>
        <v/>
      </c>
      <c r="F731" s="652" t="n"/>
      <c r="G731" s="652" t="n"/>
      <c r="H731" s="652" t="n"/>
    </row>
    <row r="732">
      <c r="B732" s="659" t="inlineStr">
        <is>
          <t>10. Tổng nợ/Vốn CSH</t>
        </is>
      </c>
      <c r="C732" s="673" t="n"/>
      <c r="D732" s="676" t="n">
        <v>1.4</v>
      </c>
      <c r="E732" s="652">
        <f>D732*C719</f>
        <v/>
      </c>
      <c r="F732" s="652" t="n"/>
      <c r="G732" s="652" t="n"/>
      <c r="H732" s="652" t="n"/>
    </row>
    <row r="733">
      <c r="B733" s="656" t="inlineStr">
        <is>
          <t>Chỉ tiêu thu nhập</t>
        </is>
      </c>
      <c r="C733" s="657" t="n"/>
      <c r="D733" s="672" t="n"/>
      <c r="E733" s="652" t="n"/>
      <c r="F733" s="648" t="n"/>
      <c r="G733" s="648" t="n"/>
      <c r="H733" s="648" t="n"/>
    </row>
    <row r="734">
      <c r="B734" s="665" t="inlineStr">
        <is>
          <t>11. Lợi nhuận gộp/Doanh thu thuần</t>
        </is>
      </c>
      <c r="C734" s="673" t="n"/>
      <c r="D734" s="677" t="n">
        <v>0.1867</v>
      </c>
      <c r="E734" s="652">
        <f>D734*C719</f>
        <v/>
      </c>
      <c r="F734" s="652" t="n"/>
      <c r="G734" s="652" t="n"/>
      <c r="H734" s="652" t="n"/>
    </row>
    <row r="735">
      <c r="B735" s="665" t="inlineStr">
        <is>
          <t>12. Lợi nhuận từ hoạt động kinh doanh/Doanh thu thuần</t>
        </is>
      </c>
      <c r="C735" s="673" t="n"/>
      <c r="D735" s="677" t="n">
        <v>0.1033</v>
      </c>
      <c r="E735" s="652">
        <f>D735*C719</f>
        <v/>
      </c>
      <c r="F735" s="652" t="n"/>
      <c r="G735" s="652" t="n"/>
      <c r="H735" s="652" t="n"/>
    </row>
    <row r="736">
      <c r="B736" s="665" t="inlineStr">
        <is>
          <t>13. Lợi nhuận sau thuế/Vốn CSH bình quân</t>
        </is>
      </c>
      <c r="C736" s="673" t="n"/>
      <c r="D736" s="676" t="n">
        <v>0.14</v>
      </c>
      <c r="E736" s="652">
        <f>D736*C719</f>
        <v/>
      </c>
      <c r="F736" s="652" t="n"/>
      <c r="G736" s="652" t="n"/>
      <c r="H736" s="652" t="n"/>
    </row>
    <row r="737">
      <c r="B737" s="665" t="inlineStr">
        <is>
          <t>14. Lợi nhuận sau thuế/Tổng tài sản bình quân</t>
        </is>
      </c>
      <c r="C737" s="673" t="n"/>
      <c r="D737" s="676" t="n">
        <v>0.06</v>
      </c>
      <c r="E737" s="652">
        <f>D737*C719</f>
        <v/>
      </c>
      <c r="F737" s="652" t="n"/>
      <c r="G737" s="652" t="n"/>
      <c r="H737" s="652" t="n"/>
    </row>
    <row r="738" ht="15.75" customHeight="1" s="782" thickBot="1">
      <c r="B738" s="667" t="inlineStr">
        <is>
          <t>15. EBIT/Chi phí lãi vay</t>
        </is>
      </c>
      <c r="C738" s="678" t="n"/>
      <c r="D738" s="679" t="n">
        <v>2.5</v>
      </c>
      <c r="E738" s="652">
        <f>D738*C719</f>
        <v/>
      </c>
      <c r="F738" s="652" t="n"/>
      <c r="G738" s="652" t="n"/>
      <c r="H738" s="652" t="n"/>
    </row>
    <row r="739" ht="15.75" customHeight="1" s="782" thickTop="1"/>
  </sheetData>
  <sheetProtection selectLockedCells="0" selectUnlockedCells="0" algorithmName="SHA-512" sheet="1" objects="1" insertRows="1" insertHyperlinks="1" autoFilter="1" scenarios="1" formatColumns="1" deleteColumns="1" insertColumns="1" pivotTables="1" deleteRows="1" formatCells="1" saltValue="dGOxbB1Vih7kbpMkX0Gq/Q==" formatRows="1" sort="1" spinCount="100000" hashValue="U8pXB3esMqjERdST74j/n7imPoWsMvihj6IUg99aa6NCOsGNOWM/LbDz4nR/uqIIFh1/iiOiH3V/UYgqlEPvqA=="/>
  <mergeCells count="4">
    <mergeCell ref="B1:H1"/>
    <mergeCell ref="G95:H95"/>
    <mergeCell ref="G96:H96"/>
    <mergeCell ref="J97:L99"/>
  </mergeCell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codeName="Sheet9">
    <outlinePr summaryBelow="1" summaryRight="1"/>
    <pageSetUpPr/>
  </sheetPr>
  <dimension ref="A1:K260"/>
  <sheetViews>
    <sheetView topLeftCell="A146" zoomScale="88" zoomScaleNormal="88" workbookViewId="0">
      <selection activeCell="C156" sqref="C156"/>
    </sheetView>
  </sheetViews>
  <sheetFormatPr baseColWidth="8" defaultRowHeight="15"/>
  <cols>
    <col width="44.85546875" customWidth="1" style="782" min="1" max="1"/>
    <col width="16.7109375" customWidth="1" style="782" min="2" max="2"/>
    <col width="16.5703125" customWidth="1" style="782" min="3" max="6"/>
    <col width="10.85546875" customWidth="1" style="782" min="7" max="7"/>
    <col width="12.85546875" customWidth="1" style="782" min="8" max="8"/>
    <col width="21.85546875" customWidth="1" style="782" min="9" max="9"/>
    <col width="16.42578125" customWidth="1" style="782" min="10" max="10"/>
    <col width="12.42578125" customWidth="1" style="782" min="11" max="11"/>
  </cols>
  <sheetData>
    <row r="1" ht="15.75" customHeight="1" s="782">
      <c r="E1" s="393" t="n"/>
      <c r="F1" s="393" t="n"/>
      <c r="I1" s="84" t="n"/>
      <c r="J1" s="85" t="inlineStr">
        <is>
          <t>MSB</t>
        </is>
      </c>
    </row>
    <row r="2" ht="15.75" customHeight="1" s="782">
      <c r="D2">
        <f>IF('01. Thong tin chung'!B9="Đầy đủ",IF(ISBLANK('06. Phan tich tai chinh_DD'!B9),0,'06. Phan tich tai chinh_DD'!B9),IF(ISBLANK('06. Phan tich tai chinh_RG'!B9),0,'06. Phan tich tai chinh_RG'!B9))</f>
        <v/>
      </c>
      <c r="E2" s="86" t="n"/>
      <c r="F2" s="393" t="n"/>
      <c r="I2" s="84" t="n"/>
      <c r="J2" s="85" t="inlineStr">
        <is>
          <t>TNR Tower, 54A Nguyễn Chí Thanh, Đống Đa, Hà Nội</t>
        </is>
      </c>
    </row>
    <row r="3" ht="15.75" customHeight="1" s="782">
      <c r="E3" s="393" t="n"/>
      <c r="F3" s="393" t="n"/>
      <c r="I3" s="84" t="n"/>
    </row>
    <row r="4" ht="15.75" customHeight="1" s="782">
      <c r="A4" s="858" t="inlineStr">
        <is>
          <t>PHỤ LỤC: PHÂN TÍCH TÀI CHÍNH</t>
        </is>
      </c>
    </row>
    <row r="5" ht="15.75" customHeight="1" s="782">
      <c r="A5" s="859" t="inlineStr">
        <is>
          <t>(Kèm theo Tờ trình số      ngày      /      /             )</t>
        </is>
      </c>
    </row>
    <row r="6" ht="15.75" customHeight="1" s="782" thickBot="1">
      <c r="E6" s="393" t="n"/>
      <c r="F6" s="393" t="n"/>
    </row>
    <row r="7" ht="26.25" customHeight="1" s="782" thickTop="1">
      <c r="A7" s="781">
        <f>'01. Thong tin chung'!B3</f>
        <v/>
      </c>
      <c r="B7" s="860">
        <f>'03. Dulieutaichinhlamsach_RG'!D5</f>
        <v/>
      </c>
      <c r="C7" s="860">
        <f>'03. Dulieutaichinhlamsach_RG'!E5</f>
        <v/>
      </c>
      <c r="D7" s="860">
        <f>'03. Dulieutaichinhlamsach_RG'!F5</f>
        <v/>
      </c>
      <c r="E7" s="891" t="n"/>
      <c r="F7" s="892" t="n"/>
      <c r="G7" s="861">
        <f>'03. Dulieutaichinhlamsach_RG'!G5</f>
        <v/>
      </c>
      <c r="H7" s="892" t="n"/>
      <c r="I7" s="135">
        <f>"Dự kiến năm "&amp;'03. Dulieutaichinhlamsach_RG'!F5+1</f>
        <v/>
      </c>
      <c r="J7" s="89" t="inlineStr">
        <is>
          <t>Nội dung phân tích (nếu có)</t>
        </is>
      </c>
    </row>
    <row r="8">
      <c r="A8" s="90">
        <f>"Đơn vị tính: "&amp;'01. Thong tin chung'!B6</f>
        <v/>
      </c>
      <c r="B8" s="317">
        <f>IF(OR(B9-B36&gt;1,B9-B36&lt;-1),"Chưa cân số","")</f>
        <v/>
      </c>
      <c r="C8" s="317">
        <f>IF(OR(C9-C36&gt;1,C9-C36&lt;-1),"Chưa cân số","")</f>
        <v/>
      </c>
      <c r="D8" s="317">
        <f>IF(OR(D9-D36&gt;1,D9-D36&lt;-1),"Chưa cân số","")</f>
        <v/>
      </c>
      <c r="E8" s="318" t="inlineStr">
        <is>
          <t>Tỷ trọng</t>
        </is>
      </c>
      <c r="F8" s="318" t="inlineStr">
        <is>
          <t>Tăng trưởng</t>
        </is>
      </c>
      <c r="G8" s="317">
        <f>IF(OR(G9-G36&gt;1,G9-G36&lt;-1),"Chưa cân số","")</f>
        <v/>
      </c>
      <c r="H8" s="319" t="inlineStr">
        <is>
          <t>Tỷ trọng</t>
        </is>
      </c>
      <c r="I8" s="320">
        <f>IF(OR(I9-I36&gt;1,I9-I36&lt;-1),"Chưa cân số","")</f>
        <v/>
      </c>
      <c r="J8" s="893" t="n"/>
    </row>
    <row r="9">
      <c r="A9" s="91" t="inlineStr">
        <is>
          <t>TỔNG TÀI SẢN</t>
        </is>
      </c>
      <c r="B9" s="321">
        <f>B10+B11+B16+B23+B26+B32+B33</f>
        <v/>
      </c>
      <c r="C9" s="321">
        <f>C10+C11+C16+C23+C26+C32+C33</f>
        <v/>
      </c>
      <c r="D9" s="321">
        <f>D10+D11+D16+D23+D26+D32+D33</f>
        <v/>
      </c>
      <c r="E9" s="322">
        <f>IF($D$9&lt;&gt;0,D9/$D$9,"")</f>
        <v/>
      </c>
      <c r="F9" s="323">
        <f>IF(C9&lt;&gt;0,(D9-C9)/C9,"")</f>
        <v/>
      </c>
      <c r="G9" s="321">
        <f>G10+G11+G16+G23+G26+G32+G33</f>
        <v/>
      </c>
      <c r="H9" s="324">
        <f>IF($G$9&lt;&gt;0,G9/$G$9,"")</f>
        <v/>
      </c>
      <c r="I9" s="325">
        <f>I10+I11+I16+I23+I26+I32+I33</f>
        <v/>
      </c>
      <c r="J9" s="894" t="n"/>
    </row>
    <row r="10">
      <c r="A10" s="420" t="inlineStr">
        <is>
          <t xml:space="preserve">    I. Tiền và các khoản tương đương tiền</t>
        </is>
      </c>
      <c r="B10" s="326">
        <f>IF(TRIM('03. Dulieutaichinhlamsach_RG'!$G$2)="VND",'03. Dulieutaichinhlamsach_RG'!D12/10^6,'03. Dulieutaichinhlamsach_RG'!D12)</f>
        <v/>
      </c>
      <c r="C10" s="326">
        <f>IF(TRIM('03. Dulieutaichinhlamsach_RG'!$G$2)="VND",'03. Dulieutaichinhlamsach_RG'!E12/10^6,'03. Dulieutaichinhlamsach_RG'!E12)</f>
        <v/>
      </c>
      <c r="D10" s="326">
        <f>IF(TRIM('03. Dulieutaichinhlamsach_RG'!$G$2)="VND",'03. Dulieutaichinhlamsach_RG'!F12/10^6,'03. Dulieutaichinhlamsach_RG'!F12)</f>
        <v/>
      </c>
      <c r="E10" s="327">
        <f>IF($D$9&lt;&gt;0,D10/$D$9,"")</f>
        <v/>
      </c>
      <c r="F10" s="328">
        <f>IF(C10&lt;&gt;0,(D10-C10)/C10,"")</f>
        <v/>
      </c>
      <c r="G10" s="326">
        <f>IF(TRIM('03. Dulieutaichinhlamsach_RG'!$G$2)="VND",'03. Dulieutaichinhlamsach_RG'!I12/10^6,'03. Dulieutaichinhlamsach_RG'!I12)</f>
        <v/>
      </c>
      <c r="H10" s="329">
        <f>IF($G$9&lt;&gt;0,G10/$G$9,"")</f>
        <v/>
      </c>
      <c r="I10" s="330">
        <f>IF(TRIM('03. Dulieutaichinhlamsach_RG'!$G$2)="VND",'03. Dulieutaichinhlamsach_RG'!K12/10^6,'03. Dulieutaichinhlamsach_RG'!K12)</f>
        <v/>
      </c>
      <c r="J10" s="365" t="n"/>
    </row>
    <row r="11">
      <c r="A11" s="423" t="inlineStr">
        <is>
          <t>II. Đầu tư tài chính</t>
        </is>
      </c>
      <c r="B11" s="332">
        <f>SUM(B12:B15)</f>
        <v/>
      </c>
      <c r="C11" s="332">
        <f>SUM(C12:C15)</f>
        <v/>
      </c>
      <c r="D11" s="332">
        <f>SUM(D12:D15)</f>
        <v/>
      </c>
      <c r="E11" s="519">
        <f>IF($D$9&lt;&gt;0,D11/$D$9,"")</f>
        <v/>
      </c>
      <c r="F11" s="328">
        <f>IF(C11&lt;&gt;0,(D11-C11)/C11,"")</f>
        <v/>
      </c>
      <c r="G11" s="332">
        <f>SUM(G12:G15)</f>
        <v/>
      </c>
      <c r="H11" s="363">
        <f>IF($G$10&lt;&gt;0,G11/$G$10," ")</f>
        <v/>
      </c>
      <c r="I11" s="336">
        <f>SUM(I12:I15)</f>
        <v/>
      </c>
      <c r="J11" s="365" t="n"/>
    </row>
    <row r="12">
      <c r="A12" s="424" t="inlineStr">
        <is>
          <t>1. Chứng khoán kinh doanh</t>
        </is>
      </c>
      <c r="B12" s="360">
        <f>IF(TRIM('03. Dulieutaichinhlamsach_RG'!$G$2)="VND",'03. Dulieutaichinhlamsach_RG'!D14/10^6,'03. Dulieutaichinhlamsach_RG'!D14)</f>
        <v/>
      </c>
      <c r="C12" s="360">
        <f>IF(TRIM('03. Dulieutaichinhlamsach_RG'!$G$2)="VND",'03. Dulieutaichinhlamsach_RG'!E14/10^6,'03. Dulieutaichinhlamsach_RG'!E14)</f>
        <v/>
      </c>
      <c r="D12" s="360">
        <f>IF(TRIM('03. Dulieutaichinhlamsach_RG'!$G$2)="VND",'03. Dulieutaichinhlamsach_RG'!F14/10^6,'03. Dulieutaichinhlamsach_RG'!F14)</f>
        <v/>
      </c>
      <c r="E12" s="519">
        <f>IF($D$9&lt;&gt;0,D12/$D$9,"")</f>
        <v/>
      </c>
      <c r="F12" s="328">
        <f>IF(C12&lt;&gt;0,(D12-C12)/C12,"")</f>
        <v/>
      </c>
      <c r="G12" s="360">
        <f>IF(TRIM('03. Dulieutaichinhlamsach_RG'!$G$2)="VND",'03. Dulieutaichinhlamsach_RG'!I14/10^6,'03. Dulieutaichinhlamsach_RG'!I14)</f>
        <v/>
      </c>
      <c r="H12" s="363">
        <f>IF($G$10&lt;&gt;0,G12/$G$10," ")</f>
        <v/>
      </c>
      <c r="I12" s="364">
        <f>IF(TRIM('03. Dulieutaichinhlamsach_RG'!$G$2)="VND",'03. Dulieutaichinhlamsach_RG'!H14/10^6,'03. Dulieutaichinhlamsach_RG'!H14)</f>
        <v/>
      </c>
      <c r="J12" s="365" t="n"/>
    </row>
    <row r="13">
      <c r="A13" s="424" t="inlineStr">
        <is>
          <t>2. Đầu tư nắm giữ đến ngày đáo hạn</t>
        </is>
      </c>
      <c r="B13" s="360">
        <f>IF(TRIM('03. Dulieutaichinhlamsach_RG'!$G$2)="VND",'03. Dulieutaichinhlamsach_RG'!D15/10^6,'03. Dulieutaichinhlamsach_RG'!D15)</f>
        <v/>
      </c>
      <c r="C13" s="360">
        <f>IF(TRIM('03. Dulieutaichinhlamsach_RG'!$G$2)="VND",'03. Dulieutaichinhlamsach_RG'!E15/10^6,'03. Dulieutaichinhlamsach_RG'!E15)</f>
        <v/>
      </c>
      <c r="D13" s="360">
        <f>IF(TRIM('03. Dulieutaichinhlamsach_RG'!$G$2)="VND",'03. Dulieutaichinhlamsach_RG'!F15/10^6,'03. Dulieutaichinhlamsach_RG'!F15)</f>
        <v/>
      </c>
      <c r="E13" s="519">
        <f>IF($D$9&lt;&gt;0,D13/$D$9,"")</f>
        <v/>
      </c>
      <c r="F13" s="328">
        <f>IF(C13&lt;&gt;0,(D13-C13)/C13,"")</f>
        <v/>
      </c>
      <c r="G13" s="360">
        <f>IF(TRIM('03. Dulieutaichinhlamsach_RG'!$G$2)="VND",'03. Dulieutaichinhlamsach_RG'!I15/10^6,'03. Dulieutaichinhlamsach_RG'!I15)</f>
        <v/>
      </c>
      <c r="H13" s="363">
        <f>IF($G$10&lt;&gt;0,G13/$G$10," ")</f>
        <v/>
      </c>
      <c r="I13" s="364">
        <f>IF(TRIM('03. Dulieutaichinhlamsach_RG'!$G$2)="VND",'03. Dulieutaichinhlamsach_RG'!H15/10^6,'03. Dulieutaichinhlamsach_RG'!H15)</f>
        <v/>
      </c>
      <c r="J13" s="365" t="n"/>
    </row>
    <row r="14">
      <c r="A14" s="424" t="inlineStr">
        <is>
          <t>3. Đầu tư góp vốn vào đơn vị khác</t>
        </is>
      </c>
      <c r="B14" s="360">
        <f>IF(TRIM('03. Dulieutaichinhlamsach_RG'!$G$2)="VND",'03. Dulieutaichinhlamsach_RG'!D16/10^6,'03. Dulieutaichinhlamsach_RG'!D16)</f>
        <v/>
      </c>
      <c r="C14" s="360">
        <f>IF(TRIM('03. Dulieutaichinhlamsach_RG'!$G$2)="VND",'03. Dulieutaichinhlamsach_RG'!E16/10^6,'03. Dulieutaichinhlamsach_RG'!E16)</f>
        <v/>
      </c>
      <c r="D14" s="360">
        <f>IF(TRIM('03. Dulieutaichinhlamsach_RG'!$G$2)="VND",'03. Dulieutaichinhlamsach_RG'!F16/10^6,'03. Dulieutaichinhlamsach_RG'!F16)</f>
        <v/>
      </c>
      <c r="E14" s="519">
        <f>IF($D$9&lt;&gt;0,D14/$D$9,"")</f>
        <v/>
      </c>
      <c r="F14" s="328">
        <f>IF(C14&lt;&gt;0,(D14-C14)/C14,"")</f>
        <v/>
      </c>
      <c r="G14" s="360">
        <f>IF(TRIM('03. Dulieutaichinhlamsach_RG'!$G$2)="VND",'03. Dulieutaichinhlamsach_RG'!I16/10^6,'03. Dulieutaichinhlamsach_RG'!I16)</f>
        <v/>
      </c>
      <c r="H14" s="363">
        <f>IF($G$10&lt;&gt;0,G14/$G$10," ")</f>
        <v/>
      </c>
      <c r="I14" s="364">
        <f>IF(TRIM('03. Dulieutaichinhlamsach_RG'!$G$2)="VND",'03. Dulieutaichinhlamsach_RG'!H16/10^6,'03. Dulieutaichinhlamsach_RG'!H16)</f>
        <v/>
      </c>
      <c r="J14" s="365" t="n"/>
    </row>
    <row r="15">
      <c r="A15" s="425" t="inlineStr">
        <is>
          <t>4. Dự phòng tổn thất đầu tư tài chính (*)</t>
        </is>
      </c>
      <c r="B15" s="360">
        <f>IF(TRIM('03. Dulieutaichinhlamsach_RG'!$G$2)="VND",'03. Dulieutaichinhlamsach_RG'!D17/10^6,'03. Dulieutaichinhlamsach_RG'!D17)</f>
        <v/>
      </c>
      <c r="C15" s="360">
        <f>IF(TRIM('03. Dulieutaichinhlamsach_RG'!$G$2)="VND",'03. Dulieutaichinhlamsach_RG'!E17/10^6,'03. Dulieutaichinhlamsach_RG'!E17)</f>
        <v/>
      </c>
      <c r="D15" s="360">
        <f>IF(TRIM('03. Dulieutaichinhlamsach_RG'!$G$2)="VND",'03. Dulieutaichinhlamsach_RG'!F17/10^6,'03. Dulieutaichinhlamsach_RG'!F17)</f>
        <v/>
      </c>
      <c r="E15" s="519">
        <f>IF($D$9&lt;&gt;0,D15/$D$9,"")</f>
        <v/>
      </c>
      <c r="F15" s="328">
        <f>IF(C15&lt;&gt;0,(D15-C15)/C15,"")</f>
        <v/>
      </c>
      <c r="G15" s="360">
        <f>IF(TRIM('03. Dulieutaichinhlamsach_RG'!$G$2)="VND",'03. Dulieutaichinhlamsach_RG'!I17/10^6,'03. Dulieutaichinhlamsach_RG'!I17)</f>
        <v/>
      </c>
      <c r="H15" s="363">
        <f>IF($G$10&lt;&gt;0,G15/$G$10," ")</f>
        <v/>
      </c>
      <c r="I15" s="364">
        <f>IF(TRIM('03. Dulieutaichinhlamsach_RG'!$G$2)="VND",'03. Dulieutaichinhlamsach_RG'!H17/10^6,'03. Dulieutaichinhlamsach_RG'!H17)</f>
        <v/>
      </c>
      <c r="J15" s="365" t="n"/>
    </row>
    <row r="16">
      <c r="A16" s="423" t="inlineStr">
        <is>
          <t>III. Các khoản phải thu</t>
        </is>
      </c>
      <c r="B16" s="360">
        <f>SUM(B17:B22)</f>
        <v/>
      </c>
      <c r="C16" s="332">
        <f>SUM(C17:C22)</f>
        <v/>
      </c>
      <c r="D16" s="332">
        <f>SUM(D17:D22)</f>
        <v/>
      </c>
      <c r="E16" s="361">
        <f>IF($D$10&lt;&gt;0,D16/$D$10," ")</f>
        <v/>
      </c>
      <c r="F16" s="328">
        <f>IF(C16&lt;&gt;0,(D16-C16)/C16,"")</f>
        <v/>
      </c>
      <c r="G16" s="360">
        <f>SUM(G17:G22)</f>
        <v/>
      </c>
      <c r="H16" s="363">
        <f>IF($G$10&lt;&gt;0,G16/$G$10," ")</f>
        <v/>
      </c>
      <c r="I16" s="364">
        <f>IF(TRIM('03. Dulieutaichinhlamsach_RG'!$G$2)="VND",'03. Dulieutaichinhlamsach_RG'!H18/10^6,'03. Dulieutaichinhlamsach_RG'!H18)</f>
        <v/>
      </c>
      <c r="J16" s="365" t="n"/>
    </row>
    <row r="17">
      <c r="A17" s="424" t="inlineStr">
        <is>
          <t>1. Phải thu của khách hàng</t>
        </is>
      </c>
      <c r="B17" s="360">
        <f>IF(TRIM('03. Dulieutaichinhlamsach_RG'!$G$2)="VND",'03. Dulieutaichinhlamsach_RG'!D19/10^6,'03. Dulieutaichinhlamsach_RG'!D19)</f>
        <v/>
      </c>
      <c r="C17" s="360">
        <f>IF(TRIM('03. Dulieutaichinhlamsach_RG'!$G$2)="VND",'03. Dulieutaichinhlamsach_RG'!E19/10^6,'03. Dulieutaichinhlamsach_RG'!E19)</f>
        <v/>
      </c>
      <c r="D17" s="360">
        <f>IF(TRIM('03. Dulieutaichinhlamsach_RG'!$G$2)="VND",'03. Dulieutaichinhlamsach_RG'!F19/10^6,'03. Dulieutaichinhlamsach_RG'!F19)</f>
        <v/>
      </c>
      <c r="E17" s="520">
        <f>IF($D$10&lt;&gt;0,D17/$D$10," ")</f>
        <v/>
      </c>
      <c r="F17" s="518">
        <f>IF(C17&lt;&gt;0,(D17-C17)/C17,"")</f>
        <v/>
      </c>
      <c r="G17" s="360">
        <f>IF(TRIM('03. Dulieutaichinhlamsach_RG'!$G$2)="VND",'03. Dulieutaichinhlamsach_RG'!I19/10^6,'03. Dulieutaichinhlamsach_RG'!I19)</f>
        <v/>
      </c>
      <c r="H17" s="363">
        <f>IF($G$10&lt;&gt;0,G17/$G$10," ")</f>
        <v/>
      </c>
      <c r="I17" s="364">
        <f>IF(TRIM('03. Dulieutaichinhlamsach_RG'!$G$2)="VND",'03. Dulieutaichinhlamsach_RG'!K19/10^6,'03. Dulieutaichinhlamsach_RG'!K19)</f>
        <v/>
      </c>
      <c r="J17" s="365" t="n"/>
    </row>
    <row r="18">
      <c r="A18" s="424" t="inlineStr">
        <is>
          <t>2. Trả trước cho người bán</t>
        </is>
      </c>
      <c r="B18" s="360">
        <f>IF(TRIM('03. Dulieutaichinhlamsach_RG'!$G$2)="VND",'03. Dulieutaichinhlamsach_RG'!D20/10^6,'03. Dulieutaichinhlamsach_RG'!D20)</f>
        <v/>
      </c>
      <c r="C18" s="360">
        <f>IF(TRIM('03. Dulieutaichinhlamsach_RG'!$G$2)="VND",'03. Dulieutaichinhlamsach_RG'!E20/10^6,'03. Dulieutaichinhlamsach_RG'!E20)</f>
        <v/>
      </c>
      <c r="D18" s="360">
        <f>IF(TRIM('03. Dulieutaichinhlamsach_RG'!$G$2)="VND",'03. Dulieutaichinhlamsach_RG'!F20/10^6,'03. Dulieutaichinhlamsach_RG'!F20)</f>
        <v/>
      </c>
      <c r="E18" s="520">
        <f>IF($D$10&lt;&gt;0,D18/$D$10," ")</f>
        <v/>
      </c>
      <c r="F18" s="518">
        <f>IF(C18&lt;&gt;0,(D18-C18)/C18,"")</f>
        <v/>
      </c>
      <c r="G18" s="360">
        <f>IF(TRIM('03. Dulieutaichinhlamsach_RG'!$G$2)="VND",'03. Dulieutaichinhlamsach_RG'!I20/10^6,'03. Dulieutaichinhlamsach_RG'!I20)</f>
        <v/>
      </c>
      <c r="H18" s="363">
        <f>IF($G$10&lt;&gt;0,G18/$G$10," ")</f>
        <v/>
      </c>
      <c r="I18" s="364">
        <f>IF(TRIM('03. Dulieutaichinhlamsach_RG'!$G$2)="VND",'03. Dulieutaichinhlamsach_RG'!K20/10^6,'03. Dulieutaichinhlamsach_RG'!K20)</f>
        <v/>
      </c>
      <c r="J18" s="365" t="n"/>
    </row>
    <row r="19">
      <c r="A19" s="424" t="inlineStr">
        <is>
          <t>3. Vốn kinh doanh ở đơn vị trực thuộc</t>
        </is>
      </c>
      <c r="B19" s="360">
        <f>IF(TRIM('03. Dulieutaichinhlamsach_RG'!$G$2)="VND",'03. Dulieutaichinhlamsach_RG'!D21/10^6,'03. Dulieutaichinhlamsach_RG'!D21)</f>
        <v/>
      </c>
      <c r="C19" s="360">
        <f>IF(TRIM('03. Dulieutaichinhlamsach_RG'!$G$2)="VND",'03. Dulieutaichinhlamsach_RG'!E21/10^6,'03. Dulieutaichinhlamsach_RG'!E21)</f>
        <v/>
      </c>
      <c r="D19" s="360">
        <f>IF(TRIM('03. Dulieutaichinhlamsach_RG'!$G$2)="VND",'03. Dulieutaichinhlamsach_RG'!F21/10^6,'03. Dulieutaichinhlamsach_RG'!F21)</f>
        <v/>
      </c>
      <c r="E19" s="520">
        <f>IF($D$10&lt;&gt;0,D19/$D$10," ")</f>
        <v/>
      </c>
      <c r="F19" s="518">
        <f>IF(C19&lt;&gt;0,(D19-C19)/C19,"")</f>
        <v/>
      </c>
      <c r="G19" s="360">
        <f>IF(TRIM('03. Dulieutaichinhlamsach_RG'!$G$2)="VND",'03. Dulieutaichinhlamsach_RG'!I21/10^6,'03. Dulieutaichinhlamsach_RG'!I21)</f>
        <v/>
      </c>
      <c r="H19" s="363">
        <f>IF($G$10&lt;&gt;0,G19/$G$10," ")</f>
        <v/>
      </c>
      <c r="I19" s="364">
        <f>IF(TRIM('03. Dulieutaichinhlamsach_RG'!$G$2)="VND",'03. Dulieutaichinhlamsach_RG'!K21/10^6,'03. Dulieutaichinhlamsach_RG'!K21)</f>
        <v/>
      </c>
      <c r="J19" s="365" t="n"/>
    </row>
    <row r="20">
      <c r="A20" s="424" t="inlineStr">
        <is>
          <t>4. Phải thu khác</t>
        </is>
      </c>
      <c r="B20" s="360">
        <f>IF(TRIM('03. Dulieutaichinhlamsach_RG'!$G$2)="VND",'03. Dulieutaichinhlamsach_RG'!D22/10^6,'03. Dulieutaichinhlamsach_RG'!D22)</f>
        <v/>
      </c>
      <c r="C20" s="360">
        <f>IF(TRIM('03. Dulieutaichinhlamsach_RG'!$G$2)="VND",'03. Dulieutaichinhlamsach_RG'!E22/10^6,'03. Dulieutaichinhlamsach_RG'!E22)</f>
        <v/>
      </c>
      <c r="D20" s="360">
        <f>IF(TRIM('03. Dulieutaichinhlamsach_RG'!$G$2)="VND",'03. Dulieutaichinhlamsach_RG'!F22/10^6,'03. Dulieutaichinhlamsach_RG'!F22)</f>
        <v/>
      </c>
      <c r="E20" s="520">
        <f>IF($D$10&lt;&gt;0,D20/$D$10," ")</f>
        <v/>
      </c>
      <c r="F20" s="518">
        <f>IF(C20&lt;&gt;0,(D20-C20)/C20,"")</f>
        <v/>
      </c>
      <c r="G20" s="360">
        <f>IF(TRIM('03. Dulieutaichinhlamsach_RG'!$G$2)="VND",'03. Dulieutaichinhlamsach_RG'!I22/10^6,'03. Dulieutaichinhlamsach_RG'!I22)</f>
        <v/>
      </c>
      <c r="H20" s="363">
        <f>IF($G$10&lt;&gt;0,G20/$G$10," ")</f>
        <v/>
      </c>
      <c r="I20" s="364">
        <f>IF(TRIM('03. Dulieutaichinhlamsach_RG'!$G$2)="VND",'03. Dulieutaichinhlamsach_RG'!K22/10^6,'03. Dulieutaichinhlamsach_RG'!K22)</f>
        <v/>
      </c>
      <c r="J20" s="365" t="n"/>
    </row>
    <row r="21">
      <c r="A21" s="424" t="inlineStr">
        <is>
          <t>5. Tài sản thiếu chờ xử lý</t>
        </is>
      </c>
      <c r="B21" s="360">
        <f>IF(TRIM('03. Dulieutaichinhlamsach_RG'!$G$2)="VND",'03. Dulieutaichinhlamsach_RG'!D23/10^6,'03. Dulieutaichinhlamsach_RG'!D23)</f>
        <v/>
      </c>
      <c r="C21" s="360">
        <f>IF(TRIM('03. Dulieutaichinhlamsach_RG'!$G$2)="VND",'03. Dulieutaichinhlamsach_RG'!E23/10^6,'03. Dulieutaichinhlamsach_RG'!E23)</f>
        <v/>
      </c>
      <c r="D21" s="360">
        <f>IF(TRIM('03. Dulieutaichinhlamsach_RG'!$G$2)="VND",'03. Dulieutaichinhlamsach_RG'!F23/10^6,'03. Dulieutaichinhlamsach_RG'!F23)</f>
        <v/>
      </c>
      <c r="E21" s="520">
        <f>IF($D$10&lt;&gt;0,D21/$D$10," ")</f>
        <v/>
      </c>
      <c r="F21" s="328">
        <f>IF(C21&lt;&gt;0,(D21-C21)/C21,"")</f>
        <v/>
      </c>
      <c r="G21" s="360">
        <f>IF(TRIM('03. Dulieutaichinhlamsach_RG'!$G$2)="VND",'03. Dulieutaichinhlamsach_RG'!I23/10^6,'03. Dulieutaichinhlamsach_RG'!I23)</f>
        <v/>
      </c>
      <c r="H21" s="363">
        <f>IF($G$10&lt;&gt;0,G21/$G$10," ")</f>
        <v/>
      </c>
      <c r="I21" s="364">
        <f>IF(TRIM('03. Dulieutaichinhlamsach_RG'!$G$2)="VND",'03. Dulieutaichinhlamsach_RG'!K23/10^6,'03. Dulieutaichinhlamsach_RG'!K23)</f>
        <v/>
      </c>
      <c r="J21" s="365" t="n"/>
    </row>
    <row r="22">
      <c r="A22" s="425" t="inlineStr">
        <is>
          <t>6. Dự phòng phải thu khó đòi (*)</t>
        </is>
      </c>
      <c r="B22" s="360">
        <f>IF(TRIM('03. Dulieutaichinhlamsach_RG'!$G$2)="VND",'03. Dulieutaichinhlamsach_RG'!D24/10^6,'03. Dulieutaichinhlamsach_RG'!D24)</f>
        <v/>
      </c>
      <c r="C22" s="360">
        <f>IF(TRIM('03. Dulieutaichinhlamsach_RG'!$G$2)="VND",'03. Dulieutaichinhlamsach_RG'!E24/10^6,'03. Dulieutaichinhlamsach_RG'!E24)</f>
        <v/>
      </c>
      <c r="D22" s="360">
        <f>IF(TRIM('03. Dulieutaichinhlamsach_RG'!$G$2)="VND",'03. Dulieutaichinhlamsach_RG'!F24/10^6,'03. Dulieutaichinhlamsach_RG'!F24)</f>
        <v/>
      </c>
      <c r="E22" s="520">
        <f>IF($D$10&lt;&gt;0,D22/$D$10," ")</f>
        <v/>
      </c>
      <c r="F22" s="328">
        <f>IF(C22&lt;&gt;0,(D22-C22)/C22,"")</f>
        <v/>
      </c>
      <c r="G22" s="360">
        <f>IF(TRIM('03. Dulieutaichinhlamsach_RG'!$G$2)="VND",'03. Dulieutaichinhlamsach_RG'!I24/10^6,'03. Dulieutaichinhlamsach_RG'!I24)</f>
        <v/>
      </c>
      <c r="H22" s="363">
        <f>IF($G$10&lt;&gt;0,G22/$G$10," ")</f>
        <v/>
      </c>
      <c r="I22" s="364">
        <f>IF(TRIM('03. Dulieutaichinhlamsach_RG'!$G$2)="VND",'03. Dulieutaichinhlamsach_RG'!K24/10^6,'03. Dulieutaichinhlamsach_RG'!K24)</f>
        <v/>
      </c>
      <c r="J22" s="365" t="n"/>
    </row>
    <row r="23">
      <c r="A23" s="420" t="inlineStr">
        <is>
          <t xml:space="preserve">    IV. Hàng tồn kho</t>
        </is>
      </c>
      <c r="B23" s="332">
        <f>SUM(B24:B25)</f>
        <v/>
      </c>
      <c r="C23" s="332">
        <f>SUM(C24:C25)</f>
        <v/>
      </c>
      <c r="D23" s="332">
        <f>SUM(D24:D25)</f>
        <v/>
      </c>
      <c r="E23" s="361">
        <f>IF($D$10&lt;&gt;0,D23/$D$10," ")</f>
        <v/>
      </c>
      <c r="F23" s="328">
        <f>IF(C23&lt;&gt;0,(D23-C23)/C23,"")</f>
        <v/>
      </c>
      <c r="G23" s="360">
        <f>IF(TRIM('03. Dulieutaichinhlamsach_RG'!$G$2)="VND",'03. Dulieutaichinhlamsach_RG'!I25/10^6,'03. Dulieutaichinhlamsach_RG'!I25)</f>
        <v/>
      </c>
      <c r="H23" s="363">
        <f>IF($G$10&lt;&gt;0,G23/$G$10," ")</f>
        <v/>
      </c>
      <c r="I23" s="364">
        <f>IF(TRIM('03. Dulieutaichinhlamsach_RG'!$G$2)="VND",'03. Dulieutaichinhlamsach_RG'!K25/10^6,'03. Dulieutaichinhlamsach_RG'!K25)</f>
        <v/>
      </c>
      <c r="J23" s="365" t="n"/>
    </row>
    <row r="24">
      <c r="A24" s="424" t="inlineStr">
        <is>
          <t>1. Hàng tồn kho</t>
        </is>
      </c>
      <c r="B24" s="360">
        <f>IF(TRIM('03. Dulieutaichinhlamsach_RG'!$G$2)="VND",'03. Dulieutaichinhlamsach_RG'!D26/10^6,'03. Dulieutaichinhlamsach_RG'!D26)</f>
        <v/>
      </c>
      <c r="C24" s="360">
        <f>IF(TRIM('03. Dulieutaichinhlamsach_RG'!$G$2)="VND",'03. Dulieutaichinhlamsach_RG'!E26/10^6,'03. Dulieutaichinhlamsach_RG'!E26)</f>
        <v/>
      </c>
      <c r="D24" s="360">
        <f>IF(TRIM('03. Dulieutaichinhlamsach_RG'!$G$2)="VND",'03. Dulieutaichinhlamsach_RG'!F26/10^6,'03. Dulieutaichinhlamsach_RG'!F26)</f>
        <v/>
      </c>
      <c r="E24" s="520">
        <f>IF($D$10&lt;&gt;0,D24/$D$10," ")</f>
        <v/>
      </c>
      <c r="F24" s="328">
        <f>IF(C24&lt;&gt;0,(D24-C24)/C24,"")</f>
        <v/>
      </c>
      <c r="G24" s="360">
        <f>IF(TRIM('03. Dulieutaichinhlamsach_RG'!$G$2)="VND",'03. Dulieutaichinhlamsach_RG'!I26/10^6,'03. Dulieutaichinhlamsach_RG'!I26)</f>
        <v/>
      </c>
      <c r="H24" s="363">
        <f>IF($G$10&lt;&gt;0,G24/$G$10," ")</f>
        <v/>
      </c>
      <c r="I24" s="364">
        <f>IF(TRIM('03. Dulieutaichinhlamsach_RG'!$G$2)="VND",'03. Dulieutaichinhlamsach_RG'!K26/10^6,'03. Dulieutaichinhlamsach_RG'!K26)</f>
        <v/>
      </c>
      <c r="J24" s="365" t="n"/>
    </row>
    <row r="25">
      <c r="A25" s="425" t="inlineStr">
        <is>
          <t>2. Dự phòng giảm giả hàng tồn kho (*)</t>
        </is>
      </c>
      <c r="B25" s="360">
        <f>IF(TRIM('03. Dulieutaichinhlamsach_RG'!$G$2)="VND",'03. Dulieutaichinhlamsach_RG'!D27/10^6,'03. Dulieutaichinhlamsach_RG'!D27)</f>
        <v/>
      </c>
      <c r="C25" s="360">
        <f>IF(TRIM('03. Dulieutaichinhlamsach_RG'!$G$2)="VND",'03. Dulieutaichinhlamsach_RG'!E27/10^6,'03. Dulieutaichinhlamsach_RG'!E27)</f>
        <v/>
      </c>
      <c r="D25" s="360">
        <f>IF(TRIM('03. Dulieutaichinhlamsach_RG'!$G$2)="VND",'03. Dulieutaichinhlamsach_RG'!F27/10^6,'03. Dulieutaichinhlamsach_RG'!F27)</f>
        <v/>
      </c>
      <c r="E25" s="520">
        <f>IF($D$10&lt;&gt;0,D25/$D$10," ")</f>
        <v/>
      </c>
      <c r="F25" s="328">
        <f>IF(C25&lt;&gt;0,(D25-C25)/C25,"")</f>
        <v/>
      </c>
      <c r="G25" s="360">
        <f>IF(TRIM('03. Dulieutaichinhlamsach_RG'!$G$2)="VND",'03. Dulieutaichinhlamsach_RG'!I27/10^6,'03. Dulieutaichinhlamsach_RG'!I27)</f>
        <v/>
      </c>
      <c r="H25" s="363">
        <f>IF($G$10&lt;&gt;0,G25/$G$10," ")</f>
        <v/>
      </c>
      <c r="I25" s="364">
        <f>IF(TRIM('03. Dulieutaichinhlamsach_RG'!$G$2)="VND",'03. Dulieutaichinhlamsach_RG'!K27/10^6,'03. Dulieutaichinhlamsach_RG'!K27)</f>
        <v/>
      </c>
      <c r="J25" s="365" t="n"/>
    </row>
    <row r="26">
      <c r="A26" s="423" t="inlineStr">
        <is>
          <t xml:space="preserve">V. Tài sản cố định </t>
        </is>
      </c>
      <c r="B26" s="360">
        <f>SUM(B27:B28)</f>
        <v/>
      </c>
      <c r="C26" s="332">
        <f>SUM(C27:C28)</f>
        <v/>
      </c>
      <c r="D26" s="332">
        <f>SUM(D27:D28)</f>
        <v/>
      </c>
      <c r="E26" s="361">
        <f>IF($D$10&lt;&gt;0,D26/$D$10," ")</f>
        <v/>
      </c>
      <c r="F26" s="328">
        <f>IF(C26&lt;&gt;0,(D26-C26)/C26,"")</f>
        <v/>
      </c>
      <c r="G26" s="360">
        <f>IF(TRIM('03. Dulieutaichinhlamsach_RG'!$G$2)="VND",'03. Dulieutaichinhlamsach_RG'!I28/10^6,'03. Dulieutaichinhlamsach_RG'!I28)</f>
        <v/>
      </c>
      <c r="H26" s="363">
        <f>IF($G$10&lt;&gt;0,G26/$G$10," ")</f>
        <v/>
      </c>
      <c r="I26" s="364">
        <f>IF(TRIM('03. Dulieutaichinhlamsach_RG'!$G$2)="VND",'03. Dulieutaichinhlamsach_RG'!K28/10^6,'03. Dulieutaichinhlamsach_RG'!K28)</f>
        <v/>
      </c>
      <c r="J26" s="365" t="n"/>
    </row>
    <row r="27">
      <c r="A27" s="424" t="inlineStr">
        <is>
          <t>- Nguyên giá</t>
        </is>
      </c>
      <c r="B27" s="360">
        <f>IF(TRIM('03. Dulieutaichinhlamsach_RG'!$G$2)="VND",'03. Dulieutaichinhlamsach_RG'!D29/10^6,'03. Dulieutaichinhlamsach_RG'!D29)</f>
        <v/>
      </c>
      <c r="C27" s="360">
        <f>IF(TRIM('03. Dulieutaichinhlamsach_RG'!$G$2)="VND",'03. Dulieutaichinhlamsach_RG'!E29/10^6,'03. Dulieutaichinhlamsach_RG'!E29)</f>
        <v/>
      </c>
      <c r="D27" s="360">
        <f>IF(TRIM('03. Dulieutaichinhlamsach_RG'!$G$2)="VND",'03. Dulieutaichinhlamsach_RG'!F29/10^6,'03. Dulieutaichinhlamsach_RG'!F29)</f>
        <v/>
      </c>
      <c r="E27" s="520">
        <f>IF($D$10&lt;&gt;0,D27/$D$10," ")</f>
        <v/>
      </c>
      <c r="F27" s="518">
        <f>IF(C27&lt;&gt;0,(D27-C27)/C27,"")</f>
        <v/>
      </c>
      <c r="G27" s="360">
        <f>IF(TRIM('03. Dulieutaichinhlamsach_RG'!$G$2)="VND",'03. Dulieutaichinhlamsach_RG'!I29/10^6,'03. Dulieutaichinhlamsach_RG'!I29)</f>
        <v/>
      </c>
      <c r="H27" s="363">
        <f>IF($G$10&lt;&gt;0,G27/$G$10," ")</f>
        <v/>
      </c>
      <c r="I27" s="364">
        <f>IF(TRIM('03. Dulieutaichinhlamsach_RG'!$G$2)="VND",'03. Dulieutaichinhlamsach_RG'!K29/10^6,'03. Dulieutaichinhlamsach_RG'!K29)</f>
        <v/>
      </c>
      <c r="J27" s="365" t="n"/>
    </row>
    <row r="28">
      <c r="A28" s="425" t="inlineStr">
        <is>
          <t>- Giá trị hao mòn lũy kế</t>
        </is>
      </c>
      <c r="B28" s="360">
        <f>IF(TRIM('03. Dulieutaichinhlamsach_RG'!$G$2)="VND",'03. Dulieutaichinhlamsach_RG'!D30/10^6,'03. Dulieutaichinhlamsach_RG'!D30)</f>
        <v/>
      </c>
      <c r="C28" s="360">
        <f>IF(TRIM('03. Dulieutaichinhlamsach_RG'!$G$2)="VND",'03. Dulieutaichinhlamsach_RG'!E30/10^6,'03. Dulieutaichinhlamsach_RG'!E30)</f>
        <v/>
      </c>
      <c r="D28" s="360">
        <f>IF(TRIM('03. Dulieutaichinhlamsach_RG'!$G$2)="VND",'03. Dulieutaichinhlamsach_RG'!F30/10^6,'03. Dulieutaichinhlamsach_RG'!F30)</f>
        <v/>
      </c>
      <c r="E28" s="520">
        <f>IF($D$10&lt;&gt;0,D28/$D$10," ")</f>
        <v/>
      </c>
      <c r="F28" s="518">
        <f>IF(C28&lt;&gt;0,(D28-C28)/C28,"")</f>
        <v/>
      </c>
      <c r="G28" s="360">
        <f>IF(TRIM('03. Dulieutaichinhlamsach_RG'!$G$2)="VND",'03. Dulieutaichinhlamsach_RG'!I30/10^6,'03. Dulieutaichinhlamsach_RG'!I30)</f>
        <v/>
      </c>
      <c r="H28" s="363">
        <f>IF($G$10&lt;&gt;0,G28/$G$10," ")</f>
        <v/>
      </c>
      <c r="I28" s="364">
        <f>IF(TRIM('03. Dulieutaichinhlamsach_RG'!$G$2)="VND",'03. Dulieutaichinhlamsach_RG'!K30/10^6,'03. Dulieutaichinhlamsach_RG'!K30)</f>
        <v/>
      </c>
      <c r="J28" s="365" t="n"/>
    </row>
    <row r="29">
      <c r="A29" s="423" t="inlineStr">
        <is>
          <t>VI. Bất động sản đầu tư</t>
        </is>
      </c>
      <c r="B29" s="332">
        <f>SUM(B30:B31)</f>
        <v/>
      </c>
      <c r="C29" s="332">
        <f>SUM(C30:C31)</f>
        <v/>
      </c>
      <c r="D29" s="332">
        <f>SUM(D30:D31)</f>
        <v/>
      </c>
      <c r="E29" s="361">
        <f>IF($D$10&lt;&gt;0,D29/$D$10," ")</f>
        <v/>
      </c>
      <c r="F29" s="328">
        <f>IF(C29&lt;&gt;0,(D29-C29)/C29,"")</f>
        <v/>
      </c>
      <c r="G29" s="360">
        <f>IF(TRIM('03. Dulieutaichinhlamsach_RG'!$G$2)="VND",'03. Dulieutaichinhlamsach_RG'!I31/10^6,'03. Dulieutaichinhlamsach_RG'!I31)</f>
        <v/>
      </c>
      <c r="H29" s="363">
        <f>IF($G$10&lt;&gt;0,G29/$G$10," ")</f>
        <v/>
      </c>
      <c r="I29" s="364">
        <f>IF(TRIM('03. Dulieutaichinhlamsach_RG'!$G$2)="VND",'03. Dulieutaichinhlamsach_RG'!K31/10^6,'03. Dulieutaichinhlamsach_RG'!K31)</f>
        <v/>
      </c>
      <c r="J29" s="893" t="n"/>
    </row>
    <row r="30">
      <c r="A30" s="424" t="inlineStr">
        <is>
          <t>- Nguyên giá</t>
        </is>
      </c>
      <c r="B30" s="360">
        <f>IF(TRIM('03. Dulieutaichinhlamsach_RG'!$G$2)="VND",'03. Dulieutaichinhlamsach_RG'!D32/10^6,'03. Dulieutaichinhlamsach_RG'!D32)</f>
        <v/>
      </c>
      <c r="C30" s="360">
        <f>IF(TRIM('03. Dulieutaichinhlamsach_RG'!$G$2)="VND",'03. Dulieutaichinhlamsach_RG'!E32/10^6,'03. Dulieutaichinhlamsach_RG'!E32)</f>
        <v/>
      </c>
      <c r="D30" s="360">
        <f>IF(TRIM('03. Dulieutaichinhlamsach_RG'!$G$2)="VND",'03. Dulieutaichinhlamsach_RG'!F32/10^6,'03. Dulieutaichinhlamsach_RG'!F32)</f>
        <v/>
      </c>
      <c r="E30" s="520">
        <f>IF($D$10&lt;&gt;0,D30/$D$10," ")</f>
        <v/>
      </c>
      <c r="F30" s="328">
        <f>IF(C30&lt;&gt;0,(D30-C30)/C30,"")</f>
        <v/>
      </c>
      <c r="G30" s="360">
        <f>IF(TRIM('03. Dulieutaichinhlamsach_RG'!$G$2)="VND",'03. Dulieutaichinhlamsach_RG'!I32/10^6,'03. Dulieutaichinhlamsach_RG'!I32)</f>
        <v/>
      </c>
      <c r="H30" s="363">
        <f>IF($G$10&lt;&gt;0,G30/$G$10," ")</f>
        <v/>
      </c>
      <c r="I30" s="364">
        <f>IF(TRIM('03. Dulieutaichinhlamsach_RG'!$G$2)="VND",'03. Dulieutaichinhlamsach_RG'!K32/10^6,'03. Dulieutaichinhlamsach_RG'!K32)</f>
        <v/>
      </c>
      <c r="J30" s="894" t="n"/>
    </row>
    <row r="31">
      <c r="A31" s="425" t="inlineStr">
        <is>
          <t>- Giá trị hao mòn lũy kế (*)</t>
        </is>
      </c>
      <c r="B31" s="360">
        <f>IF(TRIM('03. Dulieutaichinhlamsach_RG'!$G$2)="VND",'03. Dulieutaichinhlamsach_RG'!D33/10^6,'03. Dulieutaichinhlamsach_RG'!D33)</f>
        <v/>
      </c>
      <c r="C31" s="360">
        <f>IF(TRIM('03. Dulieutaichinhlamsach_RG'!$G$2)="VND",'03. Dulieutaichinhlamsach_RG'!E33/10^6,'03. Dulieutaichinhlamsach_RG'!E33)</f>
        <v/>
      </c>
      <c r="D31" s="360">
        <f>IF(TRIM('03. Dulieutaichinhlamsach_RG'!$G$2)="VND",'03. Dulieutaichinhlamsach_RG'!F33/10^6,'03. Dulieutaichinhlamsach_RG'!F33)</f>
        <v/>
      </c>
      <c r="E31" s="520">
        <f>IF($D$10&lt;&gt;0,D31/$D$10," ")</f>
        <v/>
      </c>
      <c r="F31" s="328">
        <f>IF(C31&lt;&gt;0,(D31-C31)/C31,"")</f>
        <v/>
      </c>
      <c r="G31" s="360">
        <f>IF(TRIM('03. Dulieutaichinhlamsach_RG'!$G$2)="VND",'03. Dulieutaichinhlamsach_RG'!I33/10^6,'03. Dulieutaichinhlamsach_RG'!I33)</f>
        <v/>
      </c>
      <c r="H31" s="363">
        <f>IF($G$10&lt;&gt;0,G31/$G$10," ")</f>
        <v/>
      </c>
      <c r="I31" s="364">
        <f>IF(TRIM('03. Dulieutaichinhlamsach_RG'!$G$2)="VND",'03. Dulieutaichinhlamsach_RG'!K33/10^6,'03. Dulieutaichinhlamsach_RG'!K33)</f>
        <v/>
      </c>
      <c r="J31" s="365" t="n"/>
    </row>
    <row r="32">
      <c r="A32" s="423" t="inlineStr">
        <is>
          <t>VII. XDCB dở dang</t>
        </is>
      </c>
      <c r="B32" s="332">
        <f>IF(TRIM('03. Dulieutaichinhlamsach_RG'!$G$2)="VND",'03. Dulieutaichinhlamsach_RG'!D34/10^6,'03. Dulieutaichinhlamsach_RG'!D34)</f>
        <v/>
      </c>
      <c r="C32" s="332">
        <f>IF(TRIM('03. Dulieutaichinhlamsach_RG'!$G$2)="VND",'03. Dulieutaichinhlamsach_RG'!E34/10^6,'03. Dulieutaichinhlamsach_RG'!E34)</f>
        <v/>
      </c>
      <c r="D32" s="332">
        <f>IF(TRIM('03. Dulieutaichinhlamsach_RG'!$G$2)="VND",'03. Dulieutaichinhlamsach_RG'!F34/10^6,'03. Dulieutaichinhlamsach_RG'!F34)</f>
        <v/>
      </c>
      <c r="E32" s="361">
        <f>IF($D$10&lt;&gt;0,D32/$D$10," ")</f>
        <v/>
      </c>
      <c r="F32" s="328">
        <f>IF(C32&lt;&gt;0,(D32-C32)/C32,"")</f>
        <v/>
      </c>
      <c r="G32" s="360">
        <f>IF(TRIM('03. Dulieutaichinhlamsach_RG'!$G$2)="VND",'03. Dulieutaichinhlamsach_RG'!I34/10^6,'03. Dulieutaichinhlamsach_RG'!I34)</f>
        <v/>
      </c>
      <c r="H32" s="363">
        <f>IF($G$10&lt;&gt;0,G32/$G$10," ")</f>
        <v/>
      </c>
      <c r="I32" s="364">
        <f>IF(TRIM('03. Dulieutaichinhlamsach_RG'!$G$2)="VND",'03. Dulieutaichinhlamsach_RG'!K34/10^6,'03. Dulieutaichinhlamsach_RG'!K34)</f>
        <v/>
      </c>
      <c r="J32" s="340" t="n"/>
    </row>
    <row r="33">
      <c r="A33" s="423" t="inlineStr">
        <is>
          <t>VIII. Tài sản khác</t>
        </is>
      </c>
      <c r="B33" s="332">
        <f>SUM(B34:B35)</f>
        <v/>
      </c>
      <c r="C33" s="332">
        <f>SUM(C34:C35)</f>
        <v/>
      </c>
      <c r="D33" s="332">
        <f>SUM(D34:D35)</f>
        <v/>
      </c>
      <c r="E33" s="361">
        <f>IF($D$10&lt;&gt;0,D33/$D$10," ")</f>
        <v/>
      </c>
      <c r="F33" s="328">
        <f>IF(C33&lt;&gt;0,(D33-C33)/C33,"")</f>
        <v/>
      </c>
      <c r="G33" s="360">
        <f>IF(TRIM('03. Dulieutaichinhlamsach_RG'!$G$2)="VND",'03. Dulieutaichinhlamsach_RG'!I35/10^6,'03. Dulieutaichinhlamsach_RG'!I35)</f>
        <v/>
      </c>
      <c r="H33" s="363">
        <f>IF($G$10&lt;&gt;0,G33/$G$10," ")</f>
        <v/>
      </c>
      <c r="I33" s="364">
        <f>IF(TRIM('03. Dulieutaichinhlamsach_RG'!$G$2)="VND",'03. Dulieutaichinhlamsach_RG'!K35/10^6,'03. Dulieutaichinhlamsach_RG'!K35)</f>
        <v/>
      </c>
      <c r="J33" s="365" t="n"/>
    </row>
    <row r="34">
      <c r="A34" s="424" t="inlineStr">
        <is>
          <t>1. Thuế GTGT được khấu trừ</t>
        </is>
      </c>
      <c r="B34" s="360">
        <f>IF(TRIM('03. Dulieutaichinhlamsach_RG'!$G$2)="VND",'03. Dulieutaichinhlamsach_RG'!D36/10^6,'03. Dulieutaichinhlamsach_RG'!D36)</f>
        <v/>
      </c>
      <c r="C34" s="360">
        <f>IF(TRIM('03. Dulieutaichinhlamsach_RG'!$G$2)="VND",'03. Dulieutaichinhlamsach_RG'!E36/10^6,'03. Dulieutaichinhlamsach_RG'!E36)</f>
        <v/>
      </c>
      <c r="D34" s="360">
        <f>IF(TRIM('03. Dulieutaichinhlamsach_RG'!$G$2)="VND",'03. Dulieutaichinhlamsach_RG'!F36/10^6,'03. Dulieutaichinhlamsach_RG'!F36)</f>
        <v/>
      </c>
      <c r="E34" s="520">
        <f>IF($D$10&lt;&gt;0,D34/$D$10," ")</f>
        <v/>
      </c>
      <c r="F34" s="518">
        <f>IF(C34&lt;&gt;0,(D34-C34)/C34,"")</f>
        <v/>
      </c>
      <c r="G34" s="360">
        <f>IF(TRIM('03. Dulieutaichinhlamsach_RG'!$G$2)="VND",'03. Dulieutaichinhlamsach_RG'!I36/10^6,'03. Dulieutaichinhlamsach_RG'!I36)</f>
        <v/>
      </c>
      <c r="H34" s="363">
        <f>IF($G$10&lt;&gt;0,G34/$G$10," ")</f>
        <v/>
      </c>
      <c r="I34" s="364">
        <f>IF(TRIM('03. Dulieutaichinhlamsach_RG'!$G$2)="VND",'03. Dulieutaichinhlamsach_RG'!K36/10^6,'03. Dulieutaichinhlamsach_RG'!K36)</f>
        <v/>
      </c>
      <c r="J34" s="365" t="n"/>
    </row>
    <row r="35">
      <c r="A35" s="424" t="inlineStr">
        <is>
          <t>2. Tài sản khác</t>
        </is>
      </c>
      <c r="B35" s="360">
        <f>IF(TRIM('03. Dulieutaichinhlamsach_RG'!$G$2)="VND",'03. Dulieutaichinhlamsach_RG'!D37/10^6,'03. Dulieutaichinhlamsach_RG'!D37)</f>
        <v/>
      </c>
      <c r="C35" s="360">
        <f>IF(TRIM('03. Dulieutaichinhlamsach_RG'!$G$2)="VND",'03. Dulieutaichinhlamsach_RG'!E37/10^6,'03. Dulieutaichinhlamsach_RG'!E37)</f>
        <v/>
      </c>
      <c r="D35" s="360">
        <f>IF(TRIM('03. Dulieutaichinhlamsach_RG'!$G$2)="VND",'03. Dulieutaichinhlamsach_RG'!F37/10^6,'03. Dulieutaichinhlamsach_RG'!F37)</f>
        <v/>
      </c>
      <c r="E35" s="520">
        <f>IF($D$10&lt;&gt;0,D35/$D$10," ")</f>
        <v/>
      </c>
      <c r="F35" s="518">
        <f>IF(C35&lt;&gt;0,(D35-C35)/C35,"")</f>
        <v/>
      </c>
      <c r="G35" s="360">
        <f>IF(TRIM('03. Dulieutaichinhlamsach_RG'!$G$2)="VND",'03. Dulieutaichinhlamsach_RG'!I37/10^6,'03. Dulieutaichinhlamsach_RG'!I37)</f>
        <v/>
      </c>
      <c r="H35" s="363">
        <f>IF($G$10&lt;&gt;0,G35/$G$10," ")</f>
        <v/>
      </c>
      <c r="I35" s="364">
        <f>IF(TRIM('03. Dulieutaichinhlamsach_RG'!$G$2)="VND",'03. Dulieutaichinhlamsach_RG'!K37/10^6,'03. Dulieutaichinhlamsach_RG'!K37)</f>
        <v/>
      </c>
      <c r="J35" s="365" t="n"/>
    </row>
    <row r="36">
      <c r="A36" s="261" t="inlineStr">
        <is>
          <t>TỔNG NGUỒN VỐN</t>
        </is>
      </c>
      <c r="B36" s="360">
        <f>IF(TRIM('03. Dulieutaichinhlamsach_RG'!$G$2)="VND",'03. Dulieutaichinhlamsach_RG'!D38/10^6,'03. Dulieutaichinhlamsach_RG'!D38)</f>
        <v/>
      </c>
      <c r="C36" s="332">
        <f>IF(TRIM('03. Dulieutaichinhlamsach_RG'!$G$2)="VND",'03. Dulieutaichinhlamsach_RG'!E38/10^6,'03. Dulieutaichinhlamsach_RG'!E38)</f>
        <v/>
      </c>
      <c r="D36" s="332">
        <f>IF(TRIM('03. Dulieutaichinhlamsach_RG'!$G$2)="VND",'03. Dulieutaichinhlamsach_RG'!F38/10^6,'03. Dulieutaichinhlamsach_RG'!F38)</f>
        <v/>
      </c>
      <c r="E36" s="361">
        <f>IF($D$10&lt;&gt;0,D36/$D$10," ")</f>
        <v/>
      </c>
      <c r="F36" s="328">
        <f>IF(C36&lt;&gt;0,(D36-C36)/C36,"")</f>
        <v/>
      </c>
      <c r="G36" s="360">
        <f>IF(TRIM('03. Dulieutaichinhlamsach_RG'!$G$2)="VND",'03. Dulieutaichinhlamsach_RG'!I38/10^6,'03. Dulieutaichinhlamsach_RG'!I38)</f>
        <v/>
      </c>
      <c r="H36" s="363">
        <f>IF($G$10&lt;&gt;0,G36/$G$10," ")</f>
        <v/>
      </c>
      <c r="I36" s="364">
        <f>IF(TRIM('03. Dulieutaichinhlamsach_RG'!$G$2)="VND",'03. Dulieutaichinhlamsach_RG'!K38/10^6,'03. Dulieutaichinhlamsach_RG'!K38)</f>
        <v/>
      </c>
      <c r="J36" s="365" t="n"/>
    </row>
    <row r="37">
      <c r="A37" s="427" t="inlineStr">
        <is>
          <t>I. Nợ phải trả</t>
        </is>
      </c>
      <c r="B37" s="360">
        <f>IF(TRIM('03. Dulieutaichinhlamsach_RG'!$G$2)="VND",'03. Dulieutaichinhlamsach_RG'!D39/10^6,'03. Dulieutaichinhlamsach_RG'!D39)</f>
        <v/>
      </c>
      <c r="C37" s="360">
        <f>IF(TRIM('03. Dulieutaichinhlamsach_RG'!$G$2)="VND",'03. Dulieutaichinhlamsach_RG'!E39/10^6,'03. Dulieutaichinhlamsach_RG'!E39)</f>
        <v/>
      </c>
      <c r="D37" s="360">
        <f>IF(TRIM('03. Dulieutaichinhlamsach_RG'!$G$2)="VND",'03. Dulieutaichinhlamsach_RG'!F39/10^6,'03. Dulieutaichinhlamsach_RG'!F39)</f>
        <v/>
      </c>
      <c r="E37" s="361">
        <f>IF($D$10&lt;&gt;0,D37/$D$10," ")</f>
        <v/>
      </c>
      <c r="F37" s="328">
        <f>IF(C37&lt;&gt;0,(D37-C37)/C37,"")</f>
        <v/>
      </c>
      <c r="G37" s="360">
        <f>IF(TRIM('03. Dulieutaichinhlamsach_RG'!$G$2)="VND",'03. Dulieutaichinhlamsach_RG'!I39/10^6,'03. Dulieutaichinhlamsach_RG'!I39)</f>
        <v/>
      </c>
      <c r="H37" s="363">
        <f>IF($G$10&lt;&gt;0,G37/$G$10," ")</f>
        <v/>
      </c>
      <c r="I37" s="364">
        <f>IF(TRIM('03. Dulieutaichinhlamsach_RG'!$G$2)="VND",'03. Dulieutaichinhlamsach_RG'!K39/10^6,'03. Dulieutaichinhlamsach_RG'!K39)</f>
        <v/>
      </c>
      <c r="J37" s="365" t="n"/>
    </row>
    <row r="38">
      <c r="A38" s="424" t="inlineStr">
        <is>
          <t>1. Phải trả người bán</t>
        </is>
      </c>
      <c r="B38" s="360">
        <f>IF(TRIM('03. Dulieutaichinhlamsach_RG'!$G$2)="VND",'03. Dulieutaichinhlamsach_RG'!D40/10^6,'03. Dulieutaichinhlamsach_RG'!D40)</f>
        <v/>
      </c>
      <c r="C38" s="360">
        <f>IF(TRIM('03. Dulieutaichinhlamsach_RG'!$G$2)="VND",'03. Dulieutaichinhlamsach_RG'!E40/10^6,'03. Dulieutaichinhlamsach_RG'!E40)</f>
        <v/>
      </c>
      <c r="D38" s="360">
        <f>IF(TRIM('03. Dulieutaichinhlamsach_RG'!$G$2)="VND",'03. Dulieutaichinhlamsach_RG'!F40/10^6,'03. Dulieutaichinhlamsach_RG'!F40)</f>
        <v/>
      </c>
      <c r="E38" s="520">
        <f>IF($D$10&lt;&gt;0,D38/$D$10," ")</f>
        <v/>
      </c>
      <c r="F38" s="518">
        <f>IF(C38&lt;&gt;0,(D38-C38)/C38,"")</f>
        <v/>
      </c>
      <c r="G38" s="360">
        <f>IF(TRIM('03. Dulieutaichinhlamsach_RG'!$G$2)="VND",'03. Dulieutaichinhlamsach_RG'!I40/10^6,'03. Dulieutaichinhlamsach_RG'!I40)</f>
        <v/>
      </c>
      <c r="H38" s="363">
        <f>IF($G$10&lt;&gt;0,G38/$G$10," ")</f>
        <v/>
      </c>
      <c r="I38" s="364">
        <f>IF(TRIM('03. Dulieutaichinhlamsach_RG'!$G$2)="VND",'03. Dulieutaichinhlamsach_RG'!K40/10^6,'03. Dulieutaichinhlamsach_RG'!K40)</f>
        <v/>
      </c>
      <c r="J38" s="365" t="n"/>
    </row>
    <row r="39">
      <c r="A39" s="424" t="inlineStr">
        <is>
          <t>2. Người mua trả tiền trước</t>
        </is>
      </c>
      <c r="B39" s="360">
        <f>IF(TRIM('03. Dulieutaichinhlamsach_RG'!$G$2)="VND",'03. Dulieutaichinhlamsach_RG'!D41/10^6,'03. Dulieutaichinhlamsach_RG'!D41)</f>
        <v/>
      </c>
      <c r="C39" s="360">
        <f>IF(TRIM('03. Dulieutaichinhlamsach_RG'!$G$2)="VND",'03. Dulieutaichinhlamsach_RG'!E41/10^6,'03. Dulieutaichinhlamsach_RG'!E41)</f>
        <v/>
      </c>
      <c r="D39" s="360">
        <f>IF(TRIM('03. Dulieutaichinhlamsach_RG'!$G$2)="VND",'03. Dulieutaichinhlamsach_RG'!F41/10^6,'03. Dulieutaichinhlamsach_RG'!F41)</f>
        <v/>
      </c>
      <c r="E39" s="520">
        <f>IF($D$10&lt;&gt;0,D39/$D$10," ")</f>
        <v/>
      </c>
      <c r="F39" s="518">
        <f>IF(C39&lt;&gt;0,(D39-C39)/C39,"")</f>
        <v/>
      </c>
      <c r="G39" s="360">
        <f>IF(TRIM('03. Dulieutaichinhlamsach_RG'!$G$2)="VND",'03. Dulieutaichinhlamsach_RG'!I41/10^6,'03. Dulieutaichinhlamsach_RG'!I41)</f>
        <v/>
      </c>
      <c r="H39" s="363">
        <f>IF($G$10&lt;&gt;0,G39/$G$10," ")</f>
        <v/>
      </c>
      <c r="I39" s="364">
        <f>IF(TRIM('03. Dulieutaichinhlamsach_RG'!$G$2)="VND",'03. Dulieutaichinhlamsach_RG'!K41/10^6,'03. Dulieutaichinhlamsach_RG'!K41)</f>
        <v/>
      </c>
      <c r="J39" s="365" t="n"/>
    </row>
    <row r="40" s="782">
      <c r="A40" s="424" t="inlineStr">
        <is>
          <t>3. Thuế và các khoản phải nộp Nhà nước</t>
        </is>
      </c>
      <c r="B40" s="360">
        <f>IF(TRIM('03. Dulieutaichinhlamsach_RG'!$G$2)="VND",'03. Dulieutaichinhlamsach_RG'!D42/10^6,'03. Dulieutaichinhlamsach_RG'!D42)</f>
        <v/>
      </c>
      <c r="C40" s="360">
        <f>IF(TRIM('03. Dulieutaichinhlamsach_RG'!$G$2)="VND",'03. Dulieutaichinhlamsach_RG'!E42/10^6,'03. Dulieutaichinhlamsach_RG'!E42)</f>
        <v/>
      </c>
      <c r="D40" s="360">
        <f>IF(TRIM('03. Dulieutaichinhlamsach_RG'!$G$2)="VND",'03. Dulieutaichinhlamsach_RG'!F42/10^6,'03. Dulieutaichinhlamsach_RG'!F42)</f>
        <v/>
      </c>
      <c r="E40" s="520">
        <f>IF($D$10&lt;&gt;0,D40/$D$10," ")</f>
        <v/>
      </c>
      <c r="F40" s="518">
        <f>IF(C40&lt;&gt;0,(D40-C40)/C40,"")</f>
        <v/>
      </c>
      <c r="G40" s="360">
        <f>IF(TRIM('03. Dulieutaichinhlamsach_RG'!$G$2)="VND",'03. Dulieutaichinhlamsach_RG'!I42/10^6,'03. Dulieutaichinhlamsach_RG'!I42)</f>
        <v/>
      </c>
      <c r="H40" s="363">
        <f>IF($G$10&lt;&gt;0,G40/$G$10," ")</f>
        <v/>
      </c>
      <c r="I40" s="364">
        <f>IF(TRIM('03. Dulieutaichinhlamsach_RG'!$G$2)="VND",'03. Dulieutaichinhlamsach_RG'!K42/10^6,'03. Dulieutaichinhlamsach_RG'!K42)</f>
        <v/>
      </c>
      <c r="J40" s="365" t="n"/>
    </row>
    <row r="41">
      <c r="A41" s="424" t="inlineStr">
        <is>
          <t>4. Phải trả người lao động</t>
        </is>
      </c>
      <c r="B41" s="360">
        <f>IF(TRIM('03. Dulieutaichinhlamsach_RG'!$G$2)="VND",'03. Dulieutaichinhlamsach_RG'!D43/10^6,'03. Dulieutaichinhlamsach_RG'!D43)</f>
        <v/>
      </c>
      <c r="C41" s="360">
        <f>IF(TRIM('03. Dulieutaichinhlamsach_RG'!$G$2)="VND",'03. Dulieutaichinhlamsach_RG'!E43/10^6,'03. Dulieutaichinhlamsach_RG'!E43)</f>
        <v/>
      </c>
      <c r="D41" s="360">
        <f>IF(TRIM('03. Dulieutaichinhlamsach_RG'!$G$2)="VND",'03. Dulieutaichinhlamsach_RG'!F43/10^6,'03. Dulieutaichinhlamsach_RG'!F43)</f>
        <v/>
      </c>
      <c r="E41" s="520">
        <f>IF($D$10&lt;&gt;0,D41/$D$10," ")</f>
        <v/>
      </c>
      <c r="F41" s="328">
        <f>IF(C41&lt;&gt;0,(D41-C41)/C41,"")</f>
        <v/>
      </c>
      <c r="G41" s="360">
        <f>IF(TRIM('03. Dulieutaichinhlamsach_RG'!$G$2)="VND",'03. Dulieutaichinhlamsach_RG'!I43/10^6,'03. Dulieutaichinhlamsach_RG'!I43)</f>
        <v/>
      </c>
      <c r="H41" s="363">
        <f>IF($G$10&lt;&gt;0,G41/$G$10," ")</f>
        <v/>
      </c>
      <c r="I41" s="364">
        <f>IF(TRIM('03. Dulieutaichinhlamsach_RG'!$G$2)="VND",'03. Dulieutaichinhlamsach_RG'!K43/10^6,'03. Dulieutaichinhlamsach_RG'!K43)</f>
        <v/>
      </c>
      <c r="J41" s="365" t="n"/>
    </row>
    <row r="42">
      <c r="A42" s="424" t="inlineStr">
        <is>
          <t>5. Phải trả khác</t>
        </is>
      </c>
      <c r="B42" s="360">
        <f>IF(TRIM('03. Dulieutaichinhlamsach_RG'!$G$2)="VND",'03. Dulieutaichinhlamsach_RG'!D44/10^6,'03. Dulieutaichinhlamsach_RG'!D44)</f>
        <v/>
      </c>
      <c r="C42" s="360">
        <f>IF(TRIM('03. Dulieutaichinhlamsach_RG'!$G$2)="VND",'03. Dulieutaichinhlamsach_RG'!E44/10^6,'03. Dulieutaichinhlamsach_RG'!E44)</f>
        <v/>
      </c>
      <c r="D42" s="360">
        <f>IF(TRIM('03. Dulieutaichinhlamsach_RG'!$G$2)="VND",'03. Dulieutaichinhlamsach_RG'!F44/10^6,'03. Dulieutaichinhlamsach_RG'!F44)</f>
        <v/>
      </c>
      <c r="E42" s="520">
        <f>IF($D$10&lt;&gt;0,D42/$D$10," ")</f>
        <v/>
      </c>
      <c r="F42" s="328">
        <f>IF(C42&lt;&gt;0,(D42-C42)/C42,"")</f>
        <v/>
      </c>
      <c r="G42" s="360">
        <f>IF(TRIM('03. Dulieutaichinhlamsach_RG'!$G$2)="VND",'03. Dulieutaichinhlamsach_RG'!I44/10^6,'03. Dulieutaichinhlamsach_RG'!I44)</f>
        <v/>
      </c>
      <c r="H42" s="363">
        <f>IF($G$10&lt;&gt;0,G42/$G$10," ")</f>
        <v/>
      </c>
      <c r="I42" s="364">
        <f>IF(TRIM('03. Dulieutaichinhlamsach_RG'!$G$2)="VND",'03. Dulieutaichinhlamsach_RG'!K44/10^6,'03. Dulieutaichinhlamsach_RG'!K44)</f>
        <v/>
      </c>
      <c r="J42" s="365" t="n"/>
    </row>
    <row r="43">
      <c r="A43" s="424" t="inlineStr">
        <is>
          <t>6. Vay và nợ thuê tài chính</t>
        </is>
      </c>
      <c r="B43" s="360">
        <f>IF(TRIM('03. Dulieutaichinhlamsach_RG'!$G$2)="VND",'03. Dulieutaichinhlamsach_RG'!D45/10^6,'03. Dulieutaichinhlamsach_RG'!D45)</f>
        <v/>
      </c>
      <c r="C43" s="360">
        <f>IF(TRIM('03. Dulieutaichinhlamsach_RG'!$G$2)="VND",'03. Dulieutaichinhlamsach_RG'!E45/10^6,'03. Dulieutaichinhlamsach_RG'!E45)</f>
        <v/>
      </c>
      <c r="D43" s="360">
        <f>IF(TRIM('03. Dulieutaichinhlamsach_RG'!$G$2)="VND",'03. Dulieutaichinhlamsach_RG'!F45/10^6,'03. Dulieutaichinhlamsach_RG'!F45)</f>
        <v/>
      </c>
      <c r="E43" s="520">
        <f>IF($D$10&lt;&gt;0,D43/$D$10," ")</f>
        <v/>
      </c>
      <c r="F43" s="518">
        <f>IF(C43&lt;&gt;0,(D43-C43)/C43,"")</f>
        <v/>
      </c>
      <c r="G43" s="360">
        <f>IF(TRIM('03. Dulieutaichinhlamsach_RG'!$G$2)="VND",'03. Dulieutaichinhlamsach_RG'!I45/10^6,'03. Dulieutaichinhlamsach_RG'!I45)</f>
        <v/>
      </c>
      <c r="H43" s="363">
        <f>IF($G$10&lt;&gt;0,G43/$G$10," ")</f>
        <v/>
      </c>
      <c r="I43" s="364">
        <f>IF(TRIM('03. Dulieutaichinhlamsach_RG'!$G$2)="VND",'03. Dulieutaichinhlamsach_RG'!K45/10^6,'03. Dulieutaichinhlamsach_RG'!K45)</f>
        <v/>
      </c>
      <c r="J43" s="365" t="n"/>
    </row>
    <row r="44">
      <c r="A44" s="424" t="inlineStr">
        <is>
          <t>7. Phải trả nội bộ về vốn kinh doanh</t>
        </is>
      </c>
      <c r="B44" s="360">
        <f>IF(TRIM('03. Dulieutaichinhlamsach_RG'!$G$2)="VND",'03. Dulieutaichinhlamsach_RG'!D46/10^6,'03. Dulieutaichinhlamsach_RG'!D46)</f>
        <v/>
      </c>
      <c r="C44" s="360">
        <f>IF(TRIM('03. Dulieutaichinhlamsach_RG'!$G$2)="VND",'03. Dulieutaichinhlamsach_RG'!E46/10^6,'03. Dulieutaichinhlamsach_RG'!E46)</f>
        <v/>
      </c>
      <c r="D44" s="360">
        <f>IF(TRIM('03. Dulieutaichinhlamsach_RG'!$G$2)="VND",'03. Dulieutaichinhlamsach_RG'!F46/10^6,'03. Dulieutaichinhlamsach_RG'!F46)</f>
        <v/>
      </c>
      <c r="E44" s="520">
        <f>IF($D$10&lt;&gt;0,D44/$D$10," ")</f>
        <v/>
      </c>
      <c r="F44" s="328">
        <f>IF(C44&lt;&gt;0,(D44-C44)/C44,"")</f>
        <v/>
      </c>
      <c r="G44" s="360">
        <f>IF(TRIM('03. Dulieutaichinhlamsach_RG'!$G$2)="VND",'03. Dulieutaichinhlamsach_RG'!I46/10^6,'03. Dulieutaichinhlamsach_RG'!I46)</f>
        <v/>
      </c>
      <c r="H44" s="363">
        <f>IF($G$10&lt;&gt;0,G44/$G$10," ")</f>
        <v/>
      </c>
      <c r="I44" s="364">
        <f>IF(TRIM('03. Dulieutaichinhlamsach_RG'!$G$2)="VND",'03. Dulieutaichinhlamsach_RG'!K46/10^6,'03. Dulieutaichinhlamsach_RG'!K46)</f>
        <v/>
      </c>
      <c r="J44" s="365" t="n"/>
    </row>
    <row r="45">
      <c r="A45" s="424" t="inlineStr">
        <is>
          <t>8. Dự phòng phải trả</t>
        </is>
      </c>
      <c r="B45" s="360">
        <f>IF(TRIM('03. Dulieutaichinhlamsach_RG'!$G$2)="VND",'03. Dulieutaichinhlamsach_RG'!D47/10^6,'03. Dulieutaichinhlamsach_RG'!D47)</f>
        <v/>
      </c>
      <c r="C45" s="360">
        <f>IF(TRIM('03. Dulieutaichinhlamsach_RG'!$G$2)="VND",'03. Dulieutaichinhlamsach_RG'!E47/10^6,'03. Dulieutaichinhlamsach_RG'!E47)</f>
        <v/>
      </c>
      <c r="D45" s="360">
        <f>IF(TRIM('03. Dulieutaichinhlamsach_RG'!$G$2)="VND",'03. Dulieutaichinhlamsach_RG'!F47/10^6,'03. Dulieutaichinhlamsach_RG'!F47)</f>
        <v/>
      </c>
      <c r="E45" s="520">
        <f>IF($D$10&lt;&gt;0,D45/$D$10," ")</f>
        <v/>
      </c>
      <c r="F45" s="328">
        <f>IF(C45&lt;&gt;0,(D45-C45)/C45,"")</f>
        <v/>
      </c>
      <c r="G45" s="360">
        <f>IF(TRIM('03. Dulieutaichinhlamsach_RG'!$G$2)="VND",'03. Dulieutaichinhlamsach_RG'!I47/10^6,'03. Dulieutaichinhlamsach_RG'!I47)</f>
        <v/>
      </c>
      <c r="H45" s="363">
        <f>IF($G$10&lt;&gt;0,G45/$G$10," ")</f>
        <v/>
      </c>
      <c r="I45" s="364">
        <f>IF(TRIM('03. Dulieutaichinhlamsach_RG'!$G$2)="VND",'03. Dulieutaichinhlamsach_RG'!K47/10^6,'03. Dulieutaichinhlamsach_RG'!K47)</f>
        <v/>
      </c>
      <c r="J45" s="365" t="n"/>
    </row>
    <row r="46" s="782">
      <c r="A46" s="424" t="inlineStr">
        <is>
          <t>9. Quỹ khen thưởng, phúc lợi</t>
        </is>
      </c>
      <c r="B46" s="360">
        <f>IF(TRIM('03. Dulieutaichinhlamsach_RG'!$G$2)="VND",'03. Dulieutaichinhlamsach_RG'!D48/10^6,'03. Dulieutaichinhlamsach_RG'!D48)</f>
        <v/>
      </c>
      <c r="C46" s="360">
        <f>IF(TRIM('03. Dulieutaichinhlamsach_RG'!$G$2)="VND",'03. Dulieutaichinhlamsach_RG'!E48/10^6,'03. Dulieutaichinhlamsach_RG'!E48)</f>
        <v/>
      </c>
      <c r="D46" s="360">
        <f>IF(TRIM('03. Dulieutaichinhlamsach_RG'!$G$2)="VND",'03. Dulieutaichinhlamsach_RG'!F48/10^6,'03. Dulieutaichinhlamsach_RG'!F48)</f>
        <v/>
      </c>
      <c r="E46" s="520">
        <f>IF($D$10&lt;&gt;0,D46/$D$10," ")</f>
        <v/>
      </c>
      <c r="F46" s="328">
        <f>IF(C46&lt;&gt;0,(D46-C46)/C46,"")</f>
        <v/>
      </c>
      <c r="G46" s="360">
        <f>IF(TRIM('03. Dulieutaichinhlamsach_RG'!$G$2)="VND",'03. Dulieutaichinhlamsach_RG'!I48/10^6,'03. Dulieutaichinhlamsach_RG'!I48)</f>
        <v/>
      </c>
      <c r="H46" s="363">
        <f>IF($G$10&lt;&gt;0,G46/$G$10," ")</f>
        <v/>
      </c>
      <c r="I46" s="364">
        <f>IF(TRIM('03. Dulieutaichinhlamsach_RG'!$G$2)="VND",'03. Dulieutaichinhlamsach_RG'!K48/10^6,'03. Dulieutaichinhlamsach_RG'!K48)</f>
        <v/>
      </c>
      <c r="J46" s="365" t="n"/>
    </row>
    <row r="47">
      <c r="A47" s="428" t="inlineStr">
        <is>
          <t>10. Quỹ phát triển khoa học và công nghệ</t>
        </is>
      </c>
      <c r="B47" s="360">
        <f>IF(TRIM('03. Dulieutaichinhlamsach_RG'!$G$2)="VND",'03. Dulieutaichinhlamsach_RG'!D49/10^6,'03. Dulieutaichinhlamsach_RG'!D49)</f>
        <v/>
      </c>
      <c r="C47" s="360">
        <f>IF(TRIM('03. Dulieutaichinhlamsach_RG'!$G$2)="VND",'03. Dulieutaichinhlamsach_RG'!E49/10^6,'03. Dulieutaichinhlamsach_RG'!E49)</f>
        <v/>
      </c>
      <c r="D47" s="360">
        <f>IF(TRIM('03. Dulieutaichinhlamsach_RG'!$G$2)="VND",'03. Dulieutaichinhlamsach_RG'!F49/10^6,'03. Dulieutaichinhlamsach_RG'!F49)</f>
        <v/>
      </c>
      <c r="E47" s="521">
        <f>IF($D$9&lt;&gt;0,D47/$D$9,"")</f>
        <v/>
      </c>
      <c r="F47" s="328">
        <f>IF(C47&lt;&gt;0,(D47-C47)/C47,"")</f>
        <v/>
      </c>
      <c r="G47" s="360">
        <f>IF(TRIM('03. Dulieutaichinhlamsach_RG'!$G$2)="VND",'03. Dulieutaichinhlamsach_RG'!I49/10^6,'03. Dulieutaichinhlamsach_RG'!I49)</f>
        <v/>
      </c>
      <c r="H47" s="329">
        <f>IF($G$9&lt;&gt;0,G47/$G$9,"")</f>
        <v/>
      </c>
      <c r="I47" s="364">
        <f>IF(TRIM('03. Dulieutaichinhlamsach_RG'!$G$2)="VND",'03. Dulieutaichinhlamsach_RG'!K49/10^6,'03. Dulieutaichinhlamsach_RG'!K49)</f>
        <v/>
      </c>
      <c r="J47" s="893" t="n"/>
    </row>
    <row r="48">
      <c r="A48" s="427" t="inlineStr">
        <is>
          <t>II. Vốn chủ sở hữu</t>
        </is>
      </c>
      <c r="B48" s="332">
        <f>SUM(B49:B55)</f>
        <v/>
      </c>
      <c r="C48" s="332">
        <f>SUM(C49:C55)</f>
        <v/>
      </c>
      <c r="D48" s="332">
        <f>SUM(D49:D55)</f>
        <v/>
      </c>
      <c r="E48" s="342">
        <f>IF($D$9&lt;&gt;0,D48/$D$9,"")</f>
        <v/>
      </c>
      <c r="F48" s="328">
        <f>IF(C48&lt;&gt;0,(D48-C48)/C48,"")</f>
        <v/>
      </c>
      <c r="G48" s="360">
        <f>IF(TRIM('03. Dulieutaichinhlamsach_RG'!$G$2)="VND",'03. Dulieutaichinhlamsach_RG'!I50/10^6,'03. Dulieutaichinhlamsach_RG'!I50)</f>
        <v/>
      </c>
      <c r="H48" s="363">
        <f>IF($G$47&lt;&gt;0,G48/$G$47," ")</f>
        <v/>
      </c>
      <c r="I48" s="364">
        <f>IF(TRIM('03. Dulieutaichinhlamsach_RG'!$G$2)="VND",'03. Dulieutaichinhlamsach_RG'!K50/10^6,'03. Dulieutaichinhlamsach_RG'!K50)</f>
        <v/>
      </c>
      <c r="J48" s="894" t="n"/>
    </row>
    <row r="49">
      <c r="A49" s="424" t="inlineStr">
        <is>
          <t>1. Vốn góp của chủ sở hữu</t>
        </is>
      </c>
      <c r="B49" s="360">
        <f>IF(TRIM('03. Dulieutaichinhlamsach_RG'!$G$2)="VND",'03. Dulieutaichinhlamsach_RG'!D51/10^6,'03. Dulieutaichinhlamsach_RG'!D51)</f>
        <v/>
      </c>
      <c r="C49" s="360">
        <f>IF(TRIM('03. Dulieutaichinhlamsach_RG'!$G$2)="VND",'03. Dulieutaichinhlamsach_RG'!E51/10^6,'03. Dulieutaichinhlamsach_RG'!E51)</f>
        <v/>
      </c>
      <c r="D49" s="360">
        <f>IF(TRIM('03. Dulieutaichinhlamsach_RG'!$G$2)="VND",'03. Dulieutaichinhlamsach_RG'!F51/10^6,'03. Dulieutaichinhlamsach_RG'!F51)</f>
        <v/>
      </c>
      <c r="E49" s="520">
        <f>IF($D$10&lt;&gt;0,D49/$D$10," ")</f>
        <v/>
      </c>
      <c r="F49" s="518">
        <f>IF(C49&lt;&gt;0,(D49-C49)/C49,"")</f>
        <v/>
      </c>
      <c r="G49" s="360">
        <f>IF(TRIM('03. Dulieutaichinhlamsach_RG'!$G$2)="VND",'03. Dulieutaichinhlamsach_RG'!I51/10^6,'03. Dulieutaichinhlamsach_RG'!I51)</f>
        <v/>
      </c>
      <c r="H49" s="363">
        <f>IF($G$10&lt;&gt;0,G49/$G$10," ")</f>
        <v/>
      </c>
      <c r="I49" s="364">
        <f>IF(TRIM('03. Dulieutaichinhlamsach_RG'!$G$2)="VND",'03. Dulieutaichinhlamsach_RG'!K51/10^6,'03. Dulieutaichinhlamsach_RG'!K51)</f>
        <v/>
      </c>
      <c r="J49" s="365" t="n"/>
    </row>
    <row r="50">
      <c r="A50" s="424" t="inlineStr">
        <is>
          <t>2. Thặng dư vốn cổ phần</t>
        </is>
      </c>
      <c r="B50" s="360">
        <f>IF(TRIM('03. Dulieutaichinhlamsach_RG'!$G$2)="VND",'03. Dulieutaichinhlamsach_RG'!D52/10^6,'03. Dulieutaichinhlamsach_RG'!D52)</f>
        <v/>
      </c>
      <c r="C50" s="360">
        <f>IF(TRIM('03. Dulieutaichinhlamsach_RG'!$G$2)="VND",'03. Dulieutaichinhlamsach_RG'!E52/10^6,'03. Dulieutaichinhlamsach_RG'!E52)</f>
        <v/>
      </c>
      <c r="D50" s="360">
        <f>IF(TRIM('03. Dulieutaichinhlamsach_RG'!$G$2)="VND",'03. Dulieutaichinhlamsach_RG'!F52/10^6,'03. Dulieutaichinhlamsach_RG'!F52)</f>
        <v/>
      </c>
      <c r="E50" s="520">
        <f>IF($D$10&lt;&gt;0,D50/$D$10," ")</f>
        <v/>
      </c>
      <c r="F50" s="328">
        <f>IF(C50&lt;&gt;0,(D50-C50)/C50,"")</f>
        <v/>
      </c>
      <c r="G50" s="360">
        <f>IF(TRIM('03. Dulieutaichinhlamsach_RG'!$G$2)="VND",'03. Dulieutaichinhlamsach_RG'!I52/10^6,'03. Dulieutaichinhlamsach_RG'!I52)</f>
        <v/>
      </c>
      <c r="H50" s="363">
        <f>IF($G$10&lt;&gt;0,G50/$G$10," ")</f>
        <v/>
      </c>
      <c r="I50" s="364">
        <f>IF(TRIM('03. Dulieutaichinhlamsach_RG'!$G$2)="VND",'03. Dulieutaichinhlamsach_RG'!K52/10^6,'03. Dulieutaichinhlamsach_RG'!K52)</f>
        <v/>
      </c>
      <c r="J50" s="365" t="n"/>
    </row>
    <row r="51">
      <c r="A51" s="424" t="inlineStr">
        <is>
          <t>3. Vốn khác của chủ sở hữu</t>
        </is>
      </c>
      <c r="B51" s="360">
        <f>IF(TRIM('03. Dulieutaichinhlamsach_RG'!$G$2)="VND",'03. Dulieutaichinhlamsach_RG'!D53/10^6,'03. Dulieutaichinhlamsach_RG'!D53)</f>
        <v/>
      </c>
      <c r="C51" s="360">
        <f>IF(TRIM('03. Dulieutaichinhlamsach_RG'!$G$2)="VND",'03. Dulieutaichinhlamsach_RG'!E53/10^6,'03. Dulieutaichinhlamsach_RG'!E53)</f>
        <v/>
      </c>
      <c r="D51" s="360">
        <f>IF(TRIM('03. Dulieutaichinhlamsach_RG'!$G$2)="VND",'03. Dulieutaichinhlamsach_RG'!F53/10^6,'03. Dulieutaichinhlamsach_RG'!F53)</f>
        <v/>
      </c>
      <c r="E51" s="520">
        <f>IF($D$10&lt;&gt;0,D51/$D$10," ")</f>
        <v/>
      </c>
      <c r="F51" s="328">
        <f>IF(C51&lt;&gt;0,(D51-C51)/C51,"")</f>
        <v/>
      </c>
      <c r="G51" s="360">
        <f>IF(TRIM('03. Dulieutaichinhlamsach_RG'!$G$2)="VND",'03. Dulieutaichinhlamsach_RG'!I53/10^6,'03. Dulieutaichinhlamsach_RG'!I53)</f>
        <v/>
      </c>
      <c r="H51" s="363">
        <f>IF($G$10&lt;&gt;0,G51/$G$10," ")</f>
        <v/>
      </c>
      <c r="I51" s="364">
        <f>IF(TRIM('03. Dulieutaichinhlamsach_RG'!$G$2)="VND",'03. Dulieutaichinhlamsach_RG'!K53/10^6,'03. Dulieutaichinhlamsach_RG'!K53)</f>
        <v/>
      </c>
      <c r="J51" s="365" t="n"/>
    </row>
    <row r="52">
      <c r="A52" s="424" t="inlineStr">
        <is>
          <t>4. Cổ phiếu quỹ (*)</t>
        </is>
      </c>
      <c r="B52" s="360">
        <f>IF(TRIM('03. Dulieutaichinhlamsach_RG'!$G$2)="VND",'03. Dulieutaichinhlamsach_RG'!D54/10^6,'03. Dulieutaichinhlamsach_RG'!D54)</f>
        <v/>
      </c>
      <c r="C52" s="360">
        <f>IF(TRIM('03. Dulieutaichinhlamsach_RG'!$G$2)="VND",'03. Dulieutaichinhlamsach_RG'!E54/10^6,'03. Dulieutaichinhlamsach_RG'!E54)</f>
        <v/>
      </c>
      <c r="D52" s="360">
        <f>IF(TRIM('03. Dulieutaichinhlamsach_RG'!$G$2)="VND",'03. Dulieutaichinhlamsach_RG'!F54/10^6,'03. Dulieutaichinhlamsach_RG'!F54)</f>
        <v/>
      </c>
      <c r="E52" s="520">
        <f>IF($D$10&lt;&gt;0,D52/$D$10," ")</f>
        <v/>
      </c>
      <c r="F52" s="328">
        <f>IF(C52&lt;&gt;0,(D52-C52)/C52,"")</f>
        <v/>
      </c>
      <c r="G52" s="360">
        <f>IF(TRIM('03. Dulieutaichinhlamsach_RG'!$G$2)="VND",'03. Dulieutaichinhlamsach_RG'!I54/10^6,'03. Dulieutaichinhlamsach_RG'!I54)</f>
        <v/>
      </c>
      <c r="H52" s="363">
        <f>IF($G$10&lt;&gt;0,G52/$G$10," ")</f>
        <v/>
      </c>
      <c r="I52" s="364">
        <f>IF(TRIM('03. Dulieutaichinhlamsach_RG'!$G$2)="VND",'03. Dulieutaichinhlamsach_RG'!K54/10^6,'03. Dulieutaichinhlamsach_RG'!K54)</f>
        <v/>
      </c>
      <c r="J52" s="365" t="n"/>
    </row>
    <row r="53">
      <c r="A53" s="424" t="inlineStr">
        <is>
          <t>5. Chênh lệch tỷ giá hối đoái</t>
        </is>
      </c>
      <c r="B53" s="360">
        <f>IF(TRIM('03. Dulieutaichinhlamsach_RG'!$G$2)="VND",'03. Dulieutaichinhlamsach_RG'!D55/10^6,'03. Dulieutaichinhlamsach_RG'!D55)</f>
        <v/>
      </c>
      <c r="C53" s="360">
        <f>IF(TRIM('03. Dulieutaichinhlamsach_RG'!$G$2)="VND",'03. Dulieutaichinhlamsach_RG'!E55/10^6,'03. Dulieutaichinhlamsach_RG'!E55)</f>
        <v/>
      </c>
      <c r="D53" s="360">
        <f>IF(TRIM('03. Dulieutaichinhlamsach_RG'!$G$2)="VND",'03. Dulieutaichinhlamsach_RG'!F55/10^6,'03. Dulieutaichinhlamsach_RG'!F55)</f>
        <v/>
      </c>
      <c r="E53" s="520">
        <f>IF($D$10&lt;&gt;0,D53/$D$10," ")</f>
        <v/>
      </c>
      <c r="F53" s="328">
        <f>IF(C53&lt;&gt;0,(D53-C53)/C53,"")</f>
        <v/>
      </c>
      <c r="G53" s="360">
        <f>IF(TRIM('03. Dulieutaichinhlamsach_RG'!$G$2)="VND",'03. Dulieutaichinhlamsach_RG'!I55/10^6,'03. Dulieutaichinhlamsach_RG'!I55)</f>
        <v/>
      </c>
      <c r="H53" s="363">
        <f>IF($G$10&lt;&gt;0,G53/$G$10," ")</f>
        <v/>
      </c>
      <c r="I53" s="364">
        <f>IF(TRIM('03. Dulieutaichinhlamsach_RG'!$G$2)="VND",'03. Dulieutaichinhlamsach_RG'!K55/10^6,'03. Dulieutaichinhlamsach_RG'!K55)</f>
        <v/>
      </c>
      <c r="J53" s="365" t="n"/>
    </row>
    <row r="54">
      <c r="A54" s="424" t="inlineStr">
        <is>
          <t>6. Các quỹ thuộc vốn chủ sở hữu</t>
        </is>
      </c>
      <c r="B54" s="360">
        <f>IF(TRIM('03. Dulieutaichinhlamsach_RG'!$G$2)="VND",'03. Dulieutaichinhlamsach_RG'!D56/10^6,'03. Dulieutaichinhlamsach_RG'!D56)</f>
        <v/>
      </c>
      <c r="C54" s="360">
        <f>IF(TRIM('03. Dulieutaichinhlamsach_RG'!$G$2)="VND",'03. Dulieutaichinhlamsach_RG'!E56/10^6,'03. Dulieutaichinhlamsach_RG'!E56)</f>
        <v/>
      </c>
      <c r="D54" s="360">
        <f>IF(TRIM('03. Dulieutaichinhlamsach_RG'!$G$2)="VND",'03. Dulieutaichinhlamsach_RG'!F56/10^6,'03. Dulieutaichinhlamsach_RG'!F56)</f>
        <v/>
      </c>
      <c r="E54" s="361">
        <f>IF($D$47&lt;&gt;0,D54/$D$47," ")</f>
        <v/>
      </c>
      <c r="F54" s="328">
        <f>IF(C54&lt;&gt;0,(D54-C54)/C54,"")</f>
        <v/>
      </c>
      <c r="G54" s="360">
        <f>IF(TRIM('03. Dulieutaichinhlamsach_RG'!$G$2)="VND",'03. Dulieutaichinhlamsach_RG'!I56/10^6,'03. Dulieutaichinhlamsach_RG'!I56)</f>
        <v/>
      </c>
      <c r="H54" s="363">
        <f>IF($G$47&lt;&gt;0,G54/$G$47," ")</f>
        <v/>
      </c>
      <c r="I54" s="364">
        <f>IF(TRIM('03. Dulieutaichinhlamsach_RG'!$G$2)="VND",'03. Dulieutaichinhlamsach_RG'!K56/10^6,'03. Dulieutaichinhlamsach_RG'!K56)</f>
        <v/>
      </c>
      <c r="J54" s="340" t="n"/>
    </row>
    <row r="55" ht="15.75" customHeight="1" s="782" thickBot="1">
      <c r="A55" s="424" t="inlineStr">
        <is>
          <t>7. Lợi nhuận sau thuế chưa phân phối</t>
        </is>
      </c>
      <c r="B55" s="360">
        <f>IF(TRIM('03. Dulieutaichinhlamsach_RG'!$G$2)="VND",'03. Dulieutaichinhlamsach_RG'!D57/10^6,'03. Dulieutaichinhlamsach_RG'!D57)</f>
        <v/>
      </c>
      <c r="C55" s="360">
        <f>IF(TRIM('03. Dulieutaichinhlamsach_RG'!$G$2)="VND",'03. Dulieutaichinhlamsach_RG'!E57/10^6,'03. Dulieutaichinhlamsach_RG'!E57)</f>
        <v/>
      </c>
      <c r="D55" s="360">
        <f>IF(TRIM('03. Dulieutaichinhlamsach_RG'!$G$2)="VND",'03. Dulieutaichinhlamsach_RG'!F57/10^6,'03. Dulieutaichinhlamsach_RG'!F57)</f>
        <v/>
      </c>
      <c r="E55" s="520">
        <f>IF($D$10&lt;&gt;0,D55/$D$10," ")</f>
        <v/>
      </c>
      <c r="F55" s="518">
        <f>IF(C55&lt;&gt;0,(D55-C55)/C55,"")</f>
        <v/>
      </c>
      <c r="G55" s="360">
        <f>IF(TRIM('03. Dulieutaichinhlamsach_RG'!$G$2)="VND",'03. Dulieutaichinhlamsach_RG'!I57/10^6,'03. Dulieutaichinhlamsach_RG'!I57)</f>
        <v/>
      </c>
      <c r="H55" s="363">
        <f>IF($G$10&lt;&gt;0,G55/$G$10," ")</f>
        <v/>
      </c>
      <c r="I55" s="364">
        <f>IF(TRIM('03. Dulieutaichinhlamsach_RG'!$G$2)="VND",'03. Dulieutaichinhlamsach_RG'!K57/10^6,'03. Dulieutaichinhlamsach_RG'!K57)</f>
        <v/>
      </c>
      <c r="J55" s="365" t="n"/>
    </row>
    <row r="56" ht="15.75" customHeight="1" s="782" thickTop="1">
      <c r="A56" s="93" t="inlineStr">
        <is>
          <t>Phần III: KẾT QUẢ KINH DOANH</t>
        </is>
      </c>
      <c r="B56" s="349">
        <f>$B$7</f>
        <v/>
      </c>
      <c r="C56" s="349">
        <f>$C$7</f>
        <v/>
      </c>
      <c r="D56" s="895">
        <f>$D$7</f>
        <v/>
      </c>
      <c r="E56" s="892" t="n"/>
      <c r="F56" s="855">
        <f>"T/G "&amp;D56</f>
        <v/>
      </c>
      <c r="G56" s="856">
        <f>G7</f>
        <v/>
      </c>
      <c r="H56" s="891" t="n"/>
      <c r="I56" s="351">
        <f>I7</f>
        <v/>
      </c>
      <c r="J56" s="365" t="n"/>
    </row>
    <row r="57">
      <c r="A57" s="92" t="inlineStr">
        <is>
          <t>Doanh thu bán hàng và cung cấp dịch vụ</t>
        </is>
      </c>
      <c r="B57" s="332">
        <f>IF(TRIM('03. Dulieutaichinhlamsach_RG'!$G$2)="VND",'03. Dulieutaichinhlamsach_RG'!D72/10^6,'03. Dulieutaichinhlamsach_RG'!D72)</f>
        <v/>
      </c>
      <c r="C57" s="332">
        <f>IF(TRIM('03. Dulieutaichinhlamsach_RG'!$G$2)="VND",'03. Dulieutaichinhlamsach_RG'!E72/10^6,'03. Dulieutaichinhlamsach_RG'!E72)</f>
        <v/>
      </c>
      <c r="D57" s="332">
        <f>IF(TRIM('03. Dulieutaichinhlamsach_RG'!$G$2)="VND",'03. Dulieutaichinhlamsach_RG'!F72/10^6,'03. Dulieutaichinhlamsach_RG'!F72)</f>
        <v/>
      </c>
      <c r="E57" s="352" t="n"/>
      <c r="F57" s="362">
        <f>IF(C57="","",IF(C57&lt;&gt;0,(D57-C57)/C57,""))</f>
        <v/>
      </c>
      <c r="G57" s="360">
        <f>IF(TRIM('03. Dulieutaichinhlamsach_RG'!$G$2)="VND",'03. Dulieutaichinhlamsach_RG'!I72/10^6,'03. Dulieutaichinhlamsach_RG'!I72)</f>
        <v/>
      </c>
      <c r="H57" s="353" t="n"/>
      <c r="I57" s="354">
        <f>IF(TRIM('03. Dulieutaichinhlamsach_RG'!$G$2)="VND",'03. Dulieutaichinhlamsach_RG'!K72/10^6,'03. Dulieutaichinhlamsach_RG'!K72)</f>
        <v/>
      </c>
      <c r="J57" s="896" t="n"/>
    </row>
    <row r="58">
      <c r="A58" s="94" t="inlineStr">
        <is>
          <t>Các khoản giảm trừ doanh thu</t>
        </is>
      </c>
      <c r="B58" s="360">
        <f>IF(TRIM('03. Dulieutaichinhlamsach_RG'!$G$2)="VND",'03. Dulieutaichinhlamsach_RG'!D73/10^6,'03. Dulieutaichinhlamsach_RG'!D73)</f>
        <v/>
      </c>
      <c r="C58" s="360">
        <f>IF(TRIM('03. Dulieutaichinhlamsach_RG'!$G$2)="VND",'03. Dulieutaichinhlamsach_RG'!E73/10^6,'03. Dulieutaichinhlamsach_RG'!E73)</f>
        <v/>
      </c>
      <c r="D58" s="360">
        <f>IF(TRIM('03. Dulieutaichinhlamsach_RG'!$G$2)="VND",'03. Dulieutaichinhlamsach_RG'!F73/10^6,'03. Dulieutaichinhlamsach_RG'!F73)</f>
        <v/>
      </c>
      <c r="E58" s="520" t="n"/>
      <c r="F58" s="362">
        <f>IF(C58&lt;&gt;0,(D58-C58)/C58,"")</f>
        <v/>
      </c>
      <c r="G58" s="360">
        <f>IF(TRIM('03. Dulieutaichinhlamsach_RG'!$G$2)="VND",'03. Dulieutaichinhlamsach_RG'!I73/10^6,'03. Dulieutaichinhlamsach_RG'!I73)</f>
        <v/>
      </c>
      <c r="H58" s="348" t="n"/>
      <c r="I58" s="360">
        <f>IF(TRIM('03. Dulieutaichinhlamsach_RG'!$G$2)="VND",'03. Dulieutaichinhlamsach_RG'!K73/10^6,'03. Dulieutaichinhlamsach_RG'!K73)</f>
        <v/>
      </c>
      <c r="J58" s="897" t="n"/>
    </row>
    <row r="59">
      <c r="A59" s="94" t="inlineStr">
        <is>
          <t xml:space="preserve">      - Chiết khấu</t>
        </is>
      </c>
      <c r="B59" s="360">
        <f>IF(TRIM('03. Dulieutaichinhlamsach_RG'!$G$2)="VND",'03. Dulieutaichinhlamsach_RG'!D74/10^6,'03. Dulieutaichinhlamsach_RG'!D74)</f>
        <v/>
      </c>
      <c r="C59" s="360">
        <f>IF(TRIM('03. Dulieutaichinhlamsach_RG'!$G$2)="VND",'03. Dulieutaichinhlamsach_RG'!E74/10^6,'03. Dulieutaichinhlamsach_RG'!E74)</f>
        <v/>
      </c>
      <c r="D59" s="360">
        <f>IF(TRIM('03. Dulieutaichinhlamsach_RG'!$G$2)="VND",'03. Dulieutaichinhlamsach_RG'!F74/10^6,'03. Dulieutaichinhlamsach_RG'!F74)</f>
        <v/>
      </c>
      <c r="E59" s="520" t="n"/>
      <c r="F59" s="362">
        <f>IF(C59&lt;&gt;0,(D59-C59)/C59,"")</f>
        <v/>
      </c>
      <c r="G59" s="360">
        <f>IF(TRIM('03. Dulieutaichinhlamsach_RG'!$G$2)="VND",'03. Dulieutaichinhlamsach_RG'!I74/10^6,'03. Dulieutaichinhlamsach_RG'!I74)</f>
        <v/>
      </c>
      <c r="H59" s="348" t="n"/>
      <c r="I59" s="360">
        <f>IF(TRIM('03. Dulieutaichinhlamsach_RG'!$G$2)="VND",'03. Dulieutaichinhlamsach_RG'!K74/10^6,'03. Dulieutaichinhlamsach_RG'!K74)</f>
        <v/>
      </c>
      <c r="J59" s="898" t="n"/>
    </row>
    <row r="60">
      <c r="A60" s="94" t="inlineStr">
        <is>
          <t xml:space="preserve">      - Giảm giá</t>
        </is>
      </c>
      <c r="B60" s="360">
        <f>IF(TRIM('03. Dulieutaichinhlamsach_RG'!$G$2)="VND",'03. Dulieutaichinhlamsach_RG'!D75/10^6,'03. Dulieutaichinhlamsach_RG'!D75)</f>
        <v/>
      </c>
      <c r="C60" s="360">
        <f>IF(TRIM('03. Dulieutaichinhlamsach_RG'!$G$2)="VND",'03. Dulieutaichinhlamsach_RG'!E75/10^6,'03. Dulieutaichinhlamsach_RG'!E75)</f>
        <v/>
      </c>
      <c r="D60" s="360">
        <f>IF(TRIM('03. Dulieutaichinhlamsach_RG'!$G$2)="VND",'03. Dulieutaichinhlamsach_RG'!F75/10^6,'03. Dulieutaichinhlamsach_RG'!F75)</f>
        <v/>
      </c>
      <c r="E60" s="520" t="n"/>
      <c r="F60" s="362">
        <f>IF(C60&lt;&gt;0,(D60-C60)/C60,"")</f>
        <v/>
      </c>
      <c r="G60" s="360">
        <f>IF(TRIM('03. Dulieutaichinhlamsach_RG'!$G$2)="VND",'03. Dulieutaichinhlamsach_RG'!I75/10^6,'03. Dulieutaichinhlamsach_RG'!I75)</f>
        <v/>
      </c>
      <c r="H60" s="348" t="n"/>
      <c r="I60" s="360">
        <f>IF(TRIM('03. Dulieutaichinhlamsach_RG'!$G$2)="VND",'03. Dulieutaichinhlamsach_RG'!K75/10^6,'03. Dulieutaichinhlamsach_RG'!K75)</f>
        <v/>
      </c>
      <c r="J60" s="365" t="n"/>
    </row>
    <row r="61">
      <c r="A61" s="94" t="inlineStr">
        <is>
          <t xml:space="preserve">      - Hàng bán bị trả lại</t>
        </is>
      </c>
      <c r="B61" s="360">
        <f>IF(TRIM('03. Dulieutaichinhlamsach_RG'!$G$2)="VND",'03. Dulieutaichinhlamsach_RG'!D76/10^6,'03. Dulieutaichinhlamsach_RG'!D76)</f>
        <v/>
      </c>
      <c r="C61" s="360">
        <f>IF(TRIM('03. Dulieutaichinhlamsach_RG'!$G$2)="VND",'03. Dulieutaichinhlamsach_RG'!E76/10^6,'03. Dulieutaichinhlamsach_RG'!E76)</f>
        <v/>
      </c>
      <c r="D61" s="360">
        <f>IF(TRIM('03. Dulieutaichinhlamsach_RG'!$G$2)="VND",'03. Dulieutaichinhlamsach_RG'!F76/10^6,'03. Dulieutaichinhlamsach_RG'!F76)</f>
        <v/>
      </c>
      <c r="E61" s="520" t="n"/>
      <c r="F61" s="362">
        <f>IF(C61&lt;&gt;0,(D61-C61)/C61,"")</f>
        <v/>
      </c>
      <c r="G61" s="360">
        <f>IF(TRIM('03. Dulieutaichinhlamsach_RG'!$G$2)="VND",'03. Dulieutaichinhlamsach_RG'!I76/10^6,'03. Dulieutaichinhlamsach_RG'!I76)</f>
        <v/>
      </c>
      <c r="H61" s="348" t="n"/>
      <c r="I61" s="360">
        <f>IF(TRIM('03. Dulieutaichinhlamsach_RG'!$G$2)="VND",'03. Dulieutaichinhlamsach_RG'!K76/10^6,'03. Dulieutaichinhlamsach_RG'!K76)</f>
        <v/>
      </c>
      <c r="J61" s="365" t="n"/>
    </row>
    <row r="62">
      <c r="A62" s="94" t="inlineStr">
        <is>
          <t xml:space="preserve">      - Thuế VAT, thuế xuất khẩu</t>
        </is>
      </c>
      <c r="B62" s="360">
        <f>IF(TRIM('03. Dulieutaichinhlamsach_RG'!$G$2)="VND",'03. Dulieutaichinhlamsach_RG'!D77/10^6,'03. Dulieutaichinhlamsach_RG'!D77)</f>
        <v/>
      </c>
      <c r="C62" s="360">
        <f>IF(TRIM('03. Dulieutaichinhlamsach_RG'!$G$2)="VND",'03. Dulieutaichinhlamsach_RG'!E77/10^6,'03. Dulieutaichinhlamsach_RG'!E77)</f>
        <v/>
      </c>
      <c r="D62" s="360">
        <f>IF(TRIM('03. Dulieutaichinhlamsach_RG'!$G$2)="VND",'03. Dulieutaichinhlamsach_RG'!F77/10^6,'03. Dulieutaichinhlamsach_RG'!F77)</f>
        <v/>
      </c>
      <c r="E62" s="520" t="n"/>
      <c r="F62" s="362">
        <f>IF(C62&lt;&gt;0,(D62-C62)/C62,"")</f>
        <v/>
      </c>
      <c r="G62" s="360">
        <f>IF(TRIM('03. Dulieutaichinhlamsach_RG'!$G$2)="VND",'03. Dulieutaichinhlamsach_RG'!I77/10^6,'03. Dulieutaichinhlamsach_RG'!I77)</f>
        <v/>
      </c>
      <c r="H62" s="348" t="n"/>
      <c r="I62" s="360">
        <f>IF(TRIM('03. Dulieutaichinhlamsach_RG'!$G$2)="VND",'03. Dulieutaichinhlamsach_RG'!K77/10^6,'03. Dulieutaichinhlamsach_RG'!K77)</f>
        <v/>
      </c>
      <c r="J62" s="365" t="n"/>
    </row>
    <row r="63">
      <c r="A63" s="92" t="inlineStr">
        <is>
          <t>Doanh thu thuần về bán hàng và cung cấp dịch vụ</t>
        </is>
      </c>
      <c r="B63" s="332">
        <f>IF(TRIM('03. Dulieutaichinhlamsach_RG'!$G$2)="VND",'03. Dulieutaichinhlamsach_RG'!D78/10^6,'03. Dulieutaichinhlamsach_RG'!D78)</f>
        <v/>
      </c>
      <c r="C63" s="332">
        <f>IF(TRIM('03. Dulieutaichinhlamsach_RG'!$G$2)="VND",'03. Dulieutaichinhlamsach_RG'!E78/10^6,'03. Dulieutaichinhlamsach_RG'!E78)</f>
        <v/>
      </c>
      <c r="D63" s="332">
        <f>IF(TRIM('03. Dulieutaichinhlamsach_RG'!$G$2)="VND",'03. Dulieutaichinhlamsach_RG'!F78/10^6,'03. Dulieutaichinhlamsach_RG'!F78)</f>
        <v/>
      </c>
      <c r="E63" s="520" t="n"/>
      <c r="F63" s="362">
        <f>IF(C63="","",IF(C63&lt;&gt;0,(D63-C63)/C63,""))</f>
        <v/>
      </c>
      <c r="G63" s="360">
        <f>IF(TRIM('03. Dulieutaichinhlamsach_RG'!$G$2)="VND",'03. Dulieutaichinhlamsach_RG'!I78/10^6,'03. Dulieutaichinhlamsach_RG'!I78)</f>
        <v/>
      </c>
      <c r="H63" s="348" t="n"/>
      <c r="I63" s="364">
        <f>IF(TRIM('03. Dulieutaichinhlamsach_RG'!$G$2)="VND",'03. Dulieutaichinhlamsach_RG'!K78/10^6,'03. Dulieutaichinhlamsach_RG'!K78)</f>
        <v/>
      </c>
      <c r="J63" s="340" t="n"/>
    </row>
    <row r="64">
      <c r="A64" s="94" t="inlineStr">
        <is>
          <t>Giá vốn hàng bán</t>
        </is>
      </c>
      <c r="B64" s="360">
        <f>IF(TRIM('03. Dulieutaichinhlamsach_RG'!$G$2)="VND",'03. Dulieutaichinhlamsach_RG'!D79/10^6,'03. Dulieutaichinhlamsach_RG'!D79)</f>
        <v/>
      </c>
      <c r="C64" s="360">
        <f>IF(TRIM('03. Dulieutaichinhlamsach_RG'!$G$2)="VND",'03. Dulieutaichinhlamsach_RG'!E79/10^6,'03. Dulieutaichinhlamsach_RG'!E79)</f>
        <v/>
      </c>
      <c r="D64" s="360">
        <f>IF(TRIM('03. Dulieutaichinhlamsach_RG'!$G$2)="VND",'03. Dulieutaichinhlamsach_RG'!F79/10^6,'03. Dulieutaichinhlamsach_RG'!F79)</f>
        <v/>
      </c>
      <c r="E64" s="520" t="n"/>
      <c r="F64" s="362">
        <f>IF(C64&lt;&gt;0,(D64-C64)/C64,"")</f>
        <v/>
      </c>
      <c r="G64" s="360">
        <f>IF(TRIM('03. Dulieutaichinhlamsach_RG'!$G$2)="VND",'03. Dulieutaichinhlamsach_RG'!I79/10^6,'03. Dulieutaichinhlamsach_RG'!I79)</f>
        <v/>
      </c>
      <c r="H64" s="348" t="n"/>
      <c r="I64" s="364">
        <f>IF(TRIM('03. Dulieutaichinhlamsach_RG'!$G$2)="VND",'03. Dulieutaichinhlamsach_RG'!K79/10^6,'03. Dulieutaichinhlamsach_RG'!K79)</f>
        <v/>
      </c>
      <c r="J64" s="365" t="n"/>
    </row>
    <row r="65">
      <c r="A65" s="95" t="inlineStr">
        <is>
          <t xml:space="preserve">     - Tr/đó: Khấu hao trong giá vốn hàng bán</t>
        </is>
      </c>
      <c r="B65" s="360">
        <f>IF(TRIM('03. Dulieutaichinhlamsach_RG'!$G$2)="VND",'03. Dulieutaichinhlamsach_RG'!D80/10^6,'03. Dulieutaichinhlamsach_RG'!D80)</f>
        <v/>
      </c>
      <c r="C65" s="360">
        <f>IF(TRIM('03. Dulieutaichinhlamsach_RG'!$G$2)="VND",'03. Dulieutaichinhlamsach_RG'!E80/10^6,'03. Dulieutaichinhlamsach_RG'!E80)</f>
        <v/>
      </c>
      <c r="D65" s="360">
        <f>IF(TRIM('03. Dulieutaichinhlamsach_RG'!$G$2)="VND",'03. Dulieutaichinhlamsach_RG'!F80/10^6,'03. Dulieutaichinhlamsach_RG'!F80)</f>
        <v/>
      </c>
      <c r="E65" s="520" t="n"/>
      <c r="F65" s="362">
        <f>IF(C65&lt;&gt;0,(D65-C65)/C65,"")</f>
        <v/>
      </c>
      <c r="G65" s="360">
        <f>IF(TRIM('03. Dulieutaichinhlamsach_RG'!$G$2)="VND",'03. Dulieutaichinhlamsach_RG'!I80/10^6,'03. Dulieutaichinhlamsach_RG'!I80)</f>
        <v/>
      </c>
      <c r="H65" s="348" t="n"/>
      <c r="I65" s="364">
        <f>IF(TRIM('03. Dulieutaichinhlamsach_RG'!$G$2)="VND",'03. Dulieutaichinhlamsach_RG'!H80/10^6,'03. Dulieutaichinhlamsach_RG'!H80)</f>
        <v/>
      </c>
      <c r="J65" s="365" t="n"/>
    </row>
    <row r="66">
      <c r="A66" s="92" t="inlineStr">
        <is>
          <t>Lợi nhuận gộp về bán hàng và cung cấp dịch vụ</t>
        </is>
      </c>
      <c r="B66" s="332">
        <f>IF(TRIM('03. Dulieutaichinhlamsach_RG'!$G$2)="VND",'03. Dulieutaichinhlamsach_RG'!D81/10^6,'03. Dulieutaichinhlamsach_RG'!D81)</f>
        <v/>
      </c>
      <c r="C66" s="332">
        <f>IF(TRIM('03. Dulieutaichinhlamsach_RG'!$G$2)="VND",'03. Dulieutaichinhlamsach_RG'!E81/10^6,'03. Dulieutaichinhlamsach_RG'!E81)</f>
        <v/>
      </c>
      <c r="D66" s="332">
        <f>IF(TRIM('03. Dulieutaichinhlamsach_RG'!$G$2)="VND",'03. Dulieutaichinhlamsach_RG'!F81/10^6,'03. Dulieutaichinhlamsach_RG'!F81)</f>
        <v/>
      </c>
      <c r="E66" s="520" t="n"/>
      <c r="F66" s="362">
        <f>IF(C66="","",IF(C66&lt;&gt;0,(D66-C66)/C66,""))</f>
        <v/>
      </c>
      <c r="G66" s="360">
        <f>IF(TRIM('03. Dulieutaichinhlamsach_RG'!$G$2)="VND",'03. Dulieutaichinhlamsach_RG'!I81/10^6,'03. Dulieutaichinhlamsach_RG'!I81)</f>
        <v/>
      </c>
      <c r="H66" s="348" t="n"/>
      <c r="I66" s="364">
        <f>IF(TRIM('03. Dulieutaichinhlamsach_RG'!$G$2)="VND",'03. Dulieutaichinhlamsach_RG'!H81/10^6,'03. Dulieutaichinhlamsach_RG'!H81)</f>
        <v/>
      </c>
      <c r="J66" s="365" t="n"/>
    </row>
    <row r="67">
      <c r="A67" s="92" t="inlineStr">
        <is>
          <t>Doanh thu hoạt động tài chính</t>
        </is>
      </c>
      <c r="B67" s="360">
        <f>IF(TRIM('03. Dulieutaichinhlamsach_RG'!$G$2)="VND",'03. Dulieutaichinhlamsach_RG'!D82/10^6,'03. Dulieutaichinhlamsach_RG'!D82)</f>
        <v/>
      </c>
      <c r="C67" s="360">
        <f>IF(TRIM('03. Dulieutaichinhlamsach_RG'!$G$2)="VND",'03. Dulieutaichinhlamsach_RG'!E82/10^6,'03. Dulieutaichinhlamsach_RG'!E82)</f>
        <v/>
      </c>
      <c r="D67" s="360">
        <f>IF(TRIM('03. Dulieutaichinhlamsach_RG'!$G$2)="VND",'03. Dulieutaichinhlamsach_RG'!F82/10^6,'03. Dulieutaichinhlamsach_RG'!F82)</f>
        <v/>
      </c>
      <c r="E67" s="520" t="n"/>
      <c r="F67" s="362">
        <f>IF(C67&lt;&gt;0,(D67-C67)/C67,"")</f>
        <v/>
      </c>
      <c r="G67" s="360">
        <f>IF(TRIM('03. Dulieutaichinhlamsach_RG'!$G$2)="VND",'03. Dulieutaichinhlamsach_RG'!I82/10^6,'03. Dulieutaichinhlamsach_RG'!I82)</f>
        <v/>
      </c>
      <c r="H67" s="348" t="n"/>
      <c r="I67" s="364">
        <f>IF(TRIM('03. Dulieutaichinhlamsach_RG'!$G$2)="VND",'03. Dulieutaichinhlamsach_RG'!H82/10^6,'03. Dulieutaichinhlamsach_RG'!H82)</f>
        <v/>
      </c>
      <c r="J67" s="365" t="n"/>
    </row>
    <row r="68">
      <c r="A68" s="94" t="inlineStr">
        <is>
          <t>Chi phí tài chính</t>
        </is>
      </c>
      <c r="B68" s="360">
        <f>IF(TRIM('03. Dulieutaichinhlamsach_RG'!$G$2)="VND",'03. Dulieutaichinhlamsach_RG'!D83/10^6,'03. Dulieutaichinhlamsach_RG'!D83)</f>
        <v/>
      </c>
      <c r="C68" s="360">
        <f>IF(TRIM('03. Dulieutaichinhlamsach_RG'!$G$2)="VND",'03. Dulieutaichinhlamsach_RG'!E83/10^6,'03. Dulieutaichinhlamsach_RG'!E83)</f>
        <v/>
      </c>
      <c r="D68" s="360">
        <f>IF(TRIM('03. Dulieutaichinhlamsach_RG'!$G$2)="VND",'03. Dulieutaichinhlamsach_RG'!F83/10^6,'03. Dulieutaichinhlamsach_RG'!F83)</f>
        <v/>
      </c>
      <c r="E68" s="520" t="n"/>
      <c r="F68" s="362">
        <f>IF(C68&lt;&gt;0,(D68-C68)/C68,"")</f>
        <v/>
      </c>
      <c r="G68" s="360">
        <f>IF(TRIM('03. Dulieutaichinhlamsach_RG'!$G$2)="VND",'03. Dulieutaichinhlamsach_RG'!I83/10^6,'03. Dulieutaichinhlamsach_RG'!I83)</f>
        <v/>
      </c>
      <c r="H68" s="348" t="n"/>
      <c r="I68" s="364">
        <f>IF(TRIM('03. Dulieutaichinhlamsach_RG'!$G$2)="VND",'03. Dulieutaichinhlamsach_RG'!H83/10^6,'03. Dulieutaichinhlamsach_RG'!H83)</f>
        <v/>
      </c>
      <c r="J68" s="365" t="n"/>
    </row>
    <row r="69">
      <c r="A69" s="95" t="inlineStr">
        <is>
          <t xml:space="preserve">     - Tr/đó: Chi phí lãi vay</t>
        </is>
      </c>
      <c r="B69" s="360">
        <f>IF(TRIM('03. Dulieutaichinhlamsach_RG'!$G$2)="VND",'03. Dulieutaichinhlamsach_RG'!D84/10^6,'03. Dulieutaichinhlamsach_RG'!D84)</f>
        <v/>
      </c>
      <c r="C69" s="360">
        <f>IF(TRIM('03. Dulieutaichinhlamsach_RG'!$G$2)="VND",'03. Dulieutaichinhlamsach_RG'!E84/10^6,'03. Dulieutaichinhlamsach_RG'!E84)</f>
        <v/>
      </c>
      <c r="D69" s="360">
        <f>IF(TRIM('03. Dulieutaichinhlamsach_RG'!$G$2)="VND",'03. Dulieutaichinhlamsach_RG'!F84/10^6,'03. Dulieutaichinhlamsach_RG'!F84)</f>
        <v/>
      </c>
      <c r="E69" s="520" t="n"/>
      <c r="F69" s="362">
        <f>IF(C69&lt;&gt;0,(D69-C69)/C69,"")</f>
        <v/>
      </c>
      <c r="G69" s="360">
        <f>IF(TRIM('03. Dulieutaichinhlamsach_RG'!$G$2)="VND",'03. Dulieutaichinhlamsach_RG'!I84/10^6,'03. Dulieutaichinhlamsach_RG'!I84)</f>
        <v/>
      </c>
      <c r="H69" s="348" t="n"/>
      <c r="I69" s="364">
        <f>IF(TRIM('03. Dulieutaichinhlamsach_RG'!$G$2)="VND",'03. Dulieutaichinhlamsach_RG'!H84/10^6,'03. Dulieutaichinhlamsach_RG'!H84)</f>
        <v/>
      </c>
      <c r="J69" s="365" t="n"/>
    </row>
    <row r="70">
      <c r="A70" s="94" t="inlineStr">
        <is>
          <t>Chi phí quản lý kinh doanh</t>
        </is>
      </c>
      <c r="B70" s="360">
        <f>IF(TRIM('03. Dulieutaichinhlamsach_RG'!$G$2)="VND",'03. Dulieutaichinhlamsach_RG'!D85/10^6,'03. Dulieutaichinhlamsach_RG'!D85)</f>
        <v/>
      </c>
      <c r="C70" s="360">
        <f>IF(TRIM('03. Dulieutaichinhlamsach_RG'!$G$2)="VND",'03. Dulieutaichinhlamsach_RG'!E85/10^6,'03. Dulieutaichinhlamsach_RG'!E85)</f>
        <v/>
      </c>
      <c r="D70" s="360">
        <f>IF(TRIM('03. Dulieutaichinhlamsach_RG'!$G$2)="VND",'03. Dulieutaichinhlamsach_RG'!F85/10^6,'03. Dulieutaichinhlamsach_RG'!F85)</f>
        <v/>
      </c>
      <c r="E70" s="520" t="n"/>
      <c r="F70" s="362">
        <f>IF(C70&lt;&gt;0,(D70-C70)/C70,"")</f>
        <v/>
      </c>
      <c r="G70" s="360">
        <f>IF(TRIM('03. Dulieutaichinhlamsach_RG'!$G$2)="VND",'03. Dulieutaichinhlamsach_RG'!I85/10^6,'03. Dulieutaichinhlamsach_RG'!I85)</f>
        <v/>
      </c>
      <c r="H70" s="348" t="n"/>
      <c r="I70" s="364">
        <f>IF(TRIM('03. Dulieutaichinhlamsach_RG'!$G$2)="VND",'03. Dulieutaichinhlamsach_RG'!H85/10^6,'03. Dulieutaichinhlamsach_RG'!H85)</f>
        <v/>
      </c>
      <c r="J70" s="365" t="n"/>
    </row>
    <row r="71">
      <c r="A71" s="92" t="inlineStr">
        <is>
          <t>Lợi nhuận thuần từ HĐKD</t>
        </is>
      </c>
      <c r="B71" s="360">
        <f>IF(TRIM('03. Dulieutaichinhlamsach_RG'!$G$2)="VND",'03. Dulieutaichinhlamsach_RG'!D86/10^6,'03. Dulieutaichinhlamsach_RG'!D86)</f>
        <v/>
      </c>
      <c r="C71" s="332">
        <f>IF(TRIM('03. Dulieutaichinhlamsach_RG'!$G$2)="VND",'03. Dulieutaichinhlamsach_RG'!E86/10^6,'03. Dulieutaichinhlamsach_RG'!E86)</f>
        <v/>
      </c>
      <c r="D71" s="332">
        <f>IF(TRIM('03. Dulieutaichinhlamsach_RG'!$G$2)="VND",'03. Dulieutaichinhlamsach_RG'!F86/10^6,'03. Dulieutaichinhlamsach_RG'!F86)</f>
        <v/>
      </c>
      <c r="E71" s="520" t="n"/>
      <c r="F71" s="362">
        <f>IF(C71="","",IF(C71&lt;&gt;0,(D71-C71)/C71,""))</f>
        <v/>
      </c>
      <c r="G71" s="360">
        <f>IF(TRIM('03. Dulieutaichinhlamsach_RG'!$G$2)="VND",'03. Dulieutaichinhlamsach_RG'!I86/10^6,'03. Dulieutaichinhlamsach_RG'!I86)</f>
        <v/>
      </c>
      <c r="H71" s="348" t="n"/>
      <c r="I71" s="364">
        <f>IF(TRIM('03. Dulieutaichinhlamsach_RG'!$G$2)="VND",'03. Dulieutaichinhlamsach_RG'!H86/10^6,'03. Dulieutaichinhlamsach_RG'!H86)</f>
        <v/>
      </c>
      <c r="J71" s="365" t="n"/>
    </row>
    <row r="72">
      <c r="A72" s="94" t="inlineStr">
        <is>
          <t>Thu nhập khác</t>
        </is>
      </c>
      <c r="B72" s="360">
        <f>IF(TRIM('03. Dulieutaichinhlamsach_RG'!$G$2)="VND",'03. Dulieutaichinhlamsach_RG'!D87/10^6,'03. Dulieutaichinhlamsach_RG'!D87)</f>
        <v/>
      </c>
      <c r="C72" s="360">
        <f>IF(TRIM('03. Dulieutaichinhlamsach_RG'!$G$2)="VND",'03. Dulieutaichinhlamsach_RG'!E87/10^6,'03. Dulieutaichinhlamsach_RG'!E87)</f>
        <v/>
      </c>
      <c r="D72" s="360">
        <f>IF(TRIM('03. Dulieutaichinhlamsach_RG'!$G$2)="VND",'03. Dulieutaichinhlamsach_RG'!F87/10^6,'03. Dulieutaichinhlamsach_RG'!F87)</f>
        <v/>
      </c>
      <c r="E72" s="520" t="n"/>
      <c r="F72" s="362">
        <f>IF(C72&lt;&gt;0,(D72-C72)/C72,"")</f>
        <v/>
      </c>
      <c r="G72" s="360">
        <f>IF(TRIM('03. Dulieutaichinhlamsach_RG'!$G$2)="VND",'03. Dulieutaichinhlamsach_RG'!I87/10^6,'03. Dulieutaichinhlamsach_RG'!I87)</f>
        <v/>
      </c>
      <c r="H72" s="348" t="n"/>
      <c r="I72" s="364">
        <f>IF(TRIM('03. Dulieutaichinhlamsach_RG'!$G$2)="VND",'03. Dulieutaichinhlamsach_RG'!H87/10^6,'03. Dulieutaichinhlamsach_RG'!H87)</f>
        <v/>
      </c>
      <c r="J72" s="365" t="n"/>
    </row>
    <row r="73">
      <c r="A73" s="94" t="inlineStr">
        <is>
          <t>Chi phí khác</t>
        </is>
      </c>
      <c r="B73" s="360">
        <f>IF(TRIM('03. Dulieutaichinhlamsach_RG'!$G$2)="VND",'03. Dulieutaichinhlamsach_RG'!D88/10^6,'03. Dulieutaichinhlamsach_RG'!D88)</f>
        <v/>
      </c>
      <c r="C73" s="360">
        <f>IF(TRIM('03. Dulieutaichinhlamsach_RG'!$G$2)="VND",'03. Dulieutaichinhlamsach_RG'!E88/10^6,'03. Dulieutaichinhlamsach_RG'!E88)</f>
        <v/>
      </c>
      <c r="D73" s="360">
        <f>IF(TRIM('03. Dulieutaichinhlamsach_RG'!$G$2)="VND",'03. Dulieutaichinhlamsach_RG'!F88/10^6,'03. Dulieutaichinhlamsach_RG'!F88)</f>
        <v/>
      </c>
      <c r="E73" s="520" t="n"/>
      <c r="F73" s="362">
        <f>IF(C73&lt;&gt;0,(D73-C73)/C73,"")</f>
        <v/>
      </c>
      <c r="G73" s="360">
        <f>IF(TRIM('03. Dulieutaichinhlamsach_RG'!$G$2)="VND",'03. Dulieutaichinhlamsach_RG'!I88/10^6,'03. Dulieutaichinhlamsach_RG'!I88)</f>
        <v/>
      </c>
      <c r="H73" s="348" t="n"/>
      <c r="I73" s="364">
        <f>IF(TRIM('03. Dulieutaichinhlamsach_RG'!$G$2)="VND",'03. Dulieutaichinhlamsach_RG'!H88/10^6,'03. Dulieutaichinhlamsach_RG'!H88)</f>
        <v/>
      </c>
      <c r="J73" s="365" t="n"/>
    </row>
    <row r="74">
      <c r="A74" s="92" t="inlineStr">
        <is>
          <t>Lợi nhuận khác</t>
        </is>
      </c>
      <c r="B74" s="360">
        <f>IF(TRIM('03. Dulieutaichinhlamsach_RG'!$G$2)="VND",'03. Dulieutaichinhlamsach_RG'!D89/10^6,'03. Dulieutaichinhlamsach_RG'!D89)</f>
        <v/>
      </c>
      <c r="C74" s="522">
        <f>IF(TRIM('03. Dulieutaichinhlamsach_RG'!$G$2)="VND",'03. Dulieutaichinhlamsach_RG'!E89/10^6,'03. Dulieutaichinhlamsach_RG'!E89)</f>
        <v/>
      </c>
      <c r="D74" s="522">
        <f>IF(TRIM('03. Dulieutaichinhlamsach_RG'!$G$2)="VND",'03. Dulieutaichinhlamsach_RG'!F89/10^6,'03. Dulieutaichinhlamsach_RG'!F89)</f>
        <v/>
      </c>
      <c r="E74" s="520" t="n"/>
      <c r="F74" s="362">
        <f>IF(C74&lt;&gt;0,(D74-C74)/C74,"")</f>
        <v/>
      </c>
      <c r="G74" s="360">
        <f>IF(TRIM('03. Dulieutaichinhlamsach_RG'!$G$2)="VND",'03. Dulieutaichinhlamsach_RG'!I89/10^6,'03. Dulieutaichinhlamsach_RG'!I89)</f>
        <v/>
      </c>
      <c r="H74" s="348" t="n"/>
      <c r="I74" s="364">
        <f>IF(TRIM('03. Dulieutaichinhlamsach_RG'!$G$2)="VND",'03. Dulieutaichinhlamsach_RG'!H89/10^6,'03. Dulieutaichinhlamsach_RG'!H89)</f>
        <v/>
      </c>
      <c r="J74" s="365" t="n"/>
    </row>
    <row r="75">
      <c r="A75" s="92" t="inlineStr">
        <is>
          <t>Tổng lợi nhuận kế toán trước thuế</t>
        </is>
      </c>
      <c r="B75" s="360">
        <f>IF(TRIM('03. Dulieutaichinhlamsach_RG'!$G$2)="VND",'03. Dulieutaichinhlamsach_RG'!D90/10^6,'03. Dulieutaichinhlamsach_RG'!D90)</f>
        <v/>
      </c>
      <c r="C75" s="332">
        <f>IF(TRIM('03. Dulieutaichinhlamsach_RG'!$G$2)="VND",'03. Dulieutaichinhlamsach_RG'!E90/10^6,'03. Dulieutaichinhlamsach_RG'!E90)</f>
        <v/>
      </c>
      <c r="D75" s="332">
        <f>IF(TRIM('03. Dulieutaichinhlamsach_RG'!$G$2)="VND",'03. Dulieutaichinhlamsach_RG'!F90/10^6,'03. Dulieutaichinhlamsach_RG'!F90)</f>
        <v/>
      </c>
      <c r="E75" s="520" t="n"/>
      <c r="F75" s="362">
        <f>IF(C75="","",IF(C75&lt;&gt;0,(D75-C75)/C75,""))</f>
        <v/>
      </c>
      <c r="G75" s="360">
        <f>IF(TRIM('03. Dulieutaichinhlamsach_RG'!$G$2)="VND",'03. Dulieutaichinhlamsach_RG'!I90/10^6,'03. Dulieutaichinhlamsach_RG'!I90)</f>
        <v/>
      </c>
      <c r="H75" s="348" t="n"/>
      <c r="I75" s="364">
        <f>IF(TRIM('03. Dulieutaichinhlamsach_RG'!$G$2)="VND",'03. Dulieutaichinhlamsach_RG'!H90/10^6,'03. Dulieutaichinhlamsach_RG'!H90)</f>
        <v/>
      </c>
      <c r="J75" s="365" t="n"/>
    </row>
    <row r="76">
      <c r="A76" s="94" t="inlineStr">
        <is>
          <t>Chi phí thuế TNDN</t>
        </is>
      </c>
      <c r="B76" s="360">
        <f>IF(TRIM('03. Dulieutaichinhlamsach_RG'!$G$2)="VND",'03. Dulieutaichinhlamsach_RG'!D91/10^6,'03. Dulieutaichinhlamsach_RG'!D91)</f>
        <v/>
      </c>
      <c r="C76" s="360">
        <f>IF(TRIM('03. Dulieutaichinhlamsach_RG'!$G$2)="VND",'03. Dulieutaichinhlamsach_RG'!E91/10^6,'03. Dulieutaichinhlamsach_RG'!E91)</f>
        <v/>
      </c>
      <c r="D76" s="360">
        <f>IF(TRIM('03. Dulieutaichinhlamsach_RG'!$G$2)="VND",'03. Dulieutaichinhlamsach_RG'!F91/10^6,'03. Dulieutaichinhlamsach_RG'!F91)</f>
        <v/>
      </c>
      <c r="E76" s="520" t="n"/>
      <c r="F76" s="362">
        <f>IF(C76&lt;&gt;0,(D76-C76)/C76,"")</f>
        <v/>
      </c>
      <c r="G76" s="360">
        <f>IF(TRIM('03. Dulieutaichinhlamsach_RG'!$G$2)="VND",'03. Dulieutaichinhlamsach_RG'!I91/10^6,'03. Dulieutaichinhlamsach_RG'!I91)</f>
        <v/>
      </c>
      <c r="H76" s="348" t="n"/>
      <c r="I76" s="364">
        <f>IF(TRIM('03. Dulieutaichinhlamsach_RG'!$G$2)="VND",'03. Dulieutaichinhlamsach_RG'!H91/10^6,'03. Dulieutaichinhlamsach_RG'!H91)</f>
        <v/>
      </c>
      <c r="J76" s="365" t="n"/>
    </row>
    <row r="77">
      <c r="A77" s="92" t="inlineStr">
        <is>
          <t>Lợi nhuận sau thuế TNDN</t>
        </is>
      </c>
      <c r="B77" s="360">
        <f>IF(TRIM('03. Dulieutaichinhlamsach_RG'!$G$2)="VND",'03. Dulieutaichinhlamsach_RG'!D92/10^6,'03. Dulieutaichinhlamsach_RG'!D92)</f>
        <v/>
      </c>
      <c r="C77" s="332">
        <f>IF(TRIM('03. Dulieutaichinhlamsach_RG'!$G$2)="VND",'03. Dulieutaichinhlamsach_RG'!E92/10^6,'03. Dulieutaichinhlamsach_RG'!E92)</f>
        <v/>
      </c>
      <c r="D77" s="332">
        <f>IF(TRIM('03. Dulieutaichinhlamsach_RG'!$G$2)="VND",'03. Dulieutaichinhlamsach_RG'!F92/10^6,'03. Dulieutaichinhlamsach_RG'!F92)</f>
        <v/>
      </c>
      <c r="E77" s="520" t="n"/>
      <c r="F77" s="362">
        <f>IF(C77="","",IF(C77&lt;&gt;0,(D77-C77)/C77,""))</f>
        <v/>
      </c>
      <c r="G77" s="360">
        <f>IF(TRIM('03. Dulieutaichinhlamsach_RG'!$G$2)="VND",'03. Dulieutaichinhlamsach_RG'!I92/10^6,'03. Dulieutaichinhlamsach_RG'!I92)</f>
        <v/>
      </c>
      <c r="H77" s="348" t="n"/>
      <c r="I77" s="364">
        <f>IF(TRIM('03. Dulieutaichinhlamsach_RG'!$G$2)="VND",'03. Dulieutaichinhlamsach_RG'!H92/10^6,'03. Dulieutaichinhlamsach_RG'!H92)</f>
        <v/>
      </c>
      <c r="J77" s="340" t="n"/>
    </row>
    <row r="78" ht="15.75" customHeight="1" s="782" thickBot="1">
      <c r="A78" s="96" t="inlineStr">
        <is>
          <t>Lãi cơ bản trên cổ phiếu</t>
        </is>
      </c>
      <c r="B78" s="360">
        <f>IF(TRIM('03. Dulieutaichinhlamsach_RG'!$G$2)="VND",'03. Dulieutaichinhlamsach_RG'!D97/10^6,'03. Dulieutaichinhlamsach_RG'!D97)</f>
        <v/>
      </c>
      <c r="C78" s="360">
        <f>IF(TRIM('03. Dulieutaichinhlamsach_RG'!$G$2)="VND",'03. Dulieutaichinhlamsach_RG'!E97/10^6,'03. Dulieutaichinhlamsach_RG'!E97)</f>
        <v/>
      </c>
      <c r="D78" s="360">
        <f>IF(TRIM('03. Dulieutaichinhlamsach_RG'!$G$2)="VND",'03. Dulieutaichinhlamsach_RG'!F97/10^6,'03. Dulieutaichinhlamsach_RG'!F97)</f>
        <v/>
      </c>
      <c r="E78" s="356" t="n"/>
      <c r="F78" s="357" t="n"/>
      <c r="G78" s="355">
        <f>IF(TRIM('03. Dulieutaichinhlamsach_RG'!$G$2)="VND",'03. Dulieutaichinhlamsach_RG'!G93/10^6,'03. Dulieutaichinhlamsach_RG'!G93)</f>
        <v/>
      </c>
      <c r="H78" s="358" t="n"/>
      <c r="I78" s="367">
        <f>IF(TRIM('03. Dulieutaichinhlamsach_RG'!$G$2)="VND",'03. Dulieutaichinhlamsach_RG'!H93/10^6,'03. Dulieutaichinhlamsach_RG'!H93)</f>
        <v/>
      </c>
      <c r="J78" s="359" t="n"/>
    </row>
    <row r="79" ht="15.75" customHeight="1" s="782" thickTop="1">
      <c r="A79" s="393" t="n"/>
      <c r="B79" s="393" t="n"/>
      <c r="C79" s="393" t="n"/>
      <c r="D79" s="393" t="n"/>
      <c r="E79" s="393" t="n"/>
      <c r="F79" s="393" t="n"/>
      <c r="G79" s="393" t="n"/>
      <c r="H79" s="393" t="n"/>
      <c r="I79" s="393" t="n"/>
      <c r="J79" s="268" t="n"/>
    </row>
    <row r="80" ht="45.75" customHeight="1" s="782" thickBot="1">
      <c r="A80" s="97" t="inlineStr">
        <is>
          <t>THÔNG TIN CƠ BẢN phục vụ thông tin trang 1 tờ trình</t>
        </is>
      </c>
      <c r="B80" s="98" t="n"/>
      <c r="C80" s="98" t="n"/>
      <c r="D80" s="98" t="n"/>
      <c r="E80" s="706">
        <f>C68+C75</f>
        <v/>
      </c>
      <c r="F80" s="374" t="n"/>
      <c r="G80" s="849" t="inlineStr">
        <is>
          <t>NHẬP ĐIỀU CHỈNH!
(NẾU CÓ)</t>
        </is>
      </c>
      <c r="I80" s="850" t="inlineStr">
        <is>
          <t>CÁC CHỈ SỐ TÀI CHÍNH ĐIỀU CHỈNH CHO CSC 
(NĂM GẦN NHẤT)</t>
        </is>
      </c>
      <c r="J80" s="899" t="n"/>
    </row>
    <row r="81" ht="15.75" customHeight="1" s="782" thickBot="1">
      <c r="A81" s="100" t="n"/>
      <c r="B81" s="101" t="n"/>
      <c r="C81" s="101" t="n"/>
      <c r="D81" s="101" t="n"/>
      <c r="E81" s="393" t="n"/>
      <c r="F81" s="393" t="n"/>
      <c r="G81" s="86" t="n"/>
      <c r="H81" s="86" t="n"/>
      <c r="I81" s="900" t="inlineStr">
        <is>
          <t>Các tham số điều chỉnh (chỉ nhập theo đơn vị Triệu đồng)</t>
        </is>
      </c>
      <c r="J81" s="901" t="n"/>
    </row>
    <row r="82" ht="28.5" customHeight="1" s="782">
      <c r="A82" s="902" t="n"/>
      <c r="B82" s="903">
        <f>B7</f>
        <v/>
      </c>
      <c r="C82" s="903">
        <f>C7</f>
        <v/>
      </c>
      <c r="D82" s="903">
        <f>D7</f>
        <v/>
      </c>
      <c r="E82" s="904">
        <f>G7</f>
        <v/>
      </c>
      <c r="F82" s="905">
        <f>I7</f>
        <v/>
      </c>
      <c r="G82" s="86" t="n"/>
      <c r="H82" s="86" t="n"/>
      <c r="I82" s="103" t="inlineStr">
        <is>
          <t>Nợ phải trả</t>
        </is>
      </c>
      <c r="J82" s="906">
        <f>D37</f>
        <v/>
      </c>
    </row>
    <row r="83">
      <c r="A83" s="907" t="n"/>
      <c r="B83" s="908" t="n"/>
      <c r="C83" s="908" t="n"/>
      <c r="D83" s="908" t="n"/>
      <c r="E83" s="908" t="n"/>
      <c r="F83" s="909" t="n"/>
      <c r="G83" s="86" t="n"/>
      <c r="H83" s="86" t="n"/>
      <c r="I83" s="409" t="inlineStr">
        <is>
          <t>Nợ ngắn hạn</t>
        </is>
      </c>
      <c r="J83" s="910" t="n"/>
      <c r="K83" t="inlineStr">
        <is>
          <t>ko áp dụng</t>
        </is>
      </c>
    </row>
    <row r="84">
      <c r="A84" s="104" t="inlineStr">
        <is>
          <t>Tổng Doanh thu</t>
        </is>
      </c>
      <c r="B84" s="105">
        <f>B57</f>
        <v/>
      </c>
      <c r="C84" s="105">
        <f>C57</f>
        <v/>
      </c>
      <c r="D84" s="105">
        <f>D57</f>
        <v/>
      </c>
      <c r="E84" s="105">
        <f>G57</f>
        <v/>
      </c>
      <c r="F84" s="105">
        <f>I57</f>
        <v/>
      </c>
      <c r="G84" s="86" t="n"/>
      <c r="H84" s="86" t="n"/>
      <c r="I84" s="409" t="inlineStr">
        <is>
          <t xml:space="preserve">Nợ vay ngắn hạn </t>
        </is>
      </c>
      <c r="J84" s="910" t="n"/>
      <c r="K84" t="inlineStr">
        <is>
          <t>ko áp dụng</t>
        </is>
      </c>
    </row>
    <row r="85">
      <c r="A85" s="104" t="inlineStr">
        <is>
          <t>Tổng tài sản</t>
        </is>
      </c>
      <c r="B85" s="105">
        <f>B9</f>
        <v/>
      </c>
      <c r="C85" s="105">
        <f>C9</f>
        <v/>
      </c>
      <c r="D85" s="105">
        <f>D9</f>
        <v/>
      </c>
      <c r="E85" s="105">
        <f>G9</f>
        <v/>
      </c>
      <c r="F85" s="105">
        <f>I9</f>
        <v/>
      </c>
      <c r="G85" s="86" t="n"/>
      <c r="H85" s="86" t="n"/>
      <c r="I85" s="103" t="inlineStr">
        <is>
          <t>Vốn chủ sở hữu</t>
        </is>
      </c>
      <c r="J85" s="906">
        <f>D48</f>
        <v/>
      </c>
    </row>
    <row r="86">
      <c r="A86" s="104" t="inlineStr">
        <is>
          <t>Vốn CSH</t>
        </is>
      </c>
      <c r="B86" s="105">
        <f>B48</f>
        <v/>
      </c>
      <c r="C86" s="105">
        <f>C48</f>
        <v/>
      </c>
      <c r="D86" s="105">
        <f>D48</f>
        <v/>
      </c>
      <c r="E86" s="105">
        <f>G48</f>
        <v/>
      </c>
      <c r="F86" s="106">
        <f>I48</f>
        <v/>
      </c>
      <c r="G86" s="86" t="n"/>
      <c r="H86" s="86" t="n"/>
      <c r="I86" s="103" t="inlineStr">
        <is>
          <t>Lợi nhuận sản xuất kinh doanh</t>
        </is>
      </c>
      <c r="J86" s="906">
        <f>$E$142</f>
        <v/>
      </c>
    </row>
    <row r="87">
      <c r="A87" s="104" t="inlineStr">
        <is>
          <t>Lợi nhuận sau thuế</t>
        </is>
      </c>
      <c r="B87" s="105">
        <f>B77</f>
        <v/>
      </c>
      <c r="C87" s="105">
        <f>C77</f>
        <v/>
      </c>
      <c r="D87" s="105">
        <f>D77</f>
        <v/>
      </c>
      <c r="E87" s="105">
        <f>G77</f>
        <v/>
      </c>
      <c r="F87" s="106">
        <f>I77</f>
        <v/>
      </c>
      <c r="G87" s="86" t="n"/>
      <c r="H87" s="86" t="n"/>
      <c r="I87" s="103" t="inlineStr">
        <is>
          <t>Lợi nhuận sau thuế</t>
        </is>
      </c>
      <c r="J87" s="906">
        <f>$D$77</f>
        <v/>
      </c>
    </row>
    <row r="88">
      <c r="A88" s="107" t="inlineStr">
        <is>
          <t>Tổng vay và nợ ngắn + dài hạn</t>
        </is>
      </c>
      <c r="B88" s="108">
        <f>B43</f>
        <v/>
      </c>
      <c r="C88" s="108">
        <f>C43</f>
        <v/>
      </c>
      <c r="D88" s="108">
        <f>D43</f>
        <v/>
      </c>
      <c r="E88" s="108">
        <f>G43</f>
        <v/>
      </c>
      <c r="F88" s="109">
        <f>I43</f>
        <v/>
      </c>
      <c r="G88" s="86" t="n"/>
      <c r="H88" s="86" t="n"/>
      <c r="I88" s="103" t="inlineStr">
        <is>
          <t>Phải thu ngắn hạn khách hàng</t>
        </is>
      </c>
      <c r="J88" s="910" t="n"/>
    </row>
    <row r="89" ht="15" customHeight="1" s="782">
      <c r="A89" s="107" t="inlineStr">
        <is>
          <t>Hệ số đòn bẩy (lần)</t>
        </is>
      </c>
      <c r="B89" s="111">
        <f>$C$139</f>
        <v/>
      </c>
      <c r="C89" s="111">
        <f>$D$139</f>
        <v/>
      </c>
      <c r="D89" s="111">
        <f>$E$139</f>
        <v/>
      </c>
      <c r="E89" s="111">
        <f>$H$139</f>
        <v/>
      </c>
      <c r="F89" s="112">
        <f>$I$140</f>
        <v/>
      </c>
      <c r="G89" s="113" t="n"/>
      <c r="I89" s="409" t="inlineStr">
        <is>
          <t>Tài sản ngắn hạn</t>
        </is>
      </c>
      <c r="J89" s="910" t="n"/>
      <c r="K89" t="inlineStr">
        <is>
          <t>ko áp dụng</t>
        </is>
      </c>
    </row>
    <row r="90">
      <c r="A90" s="107" t="inlineStr">
        <is>
          <t xml:space="preserve">    Operating Profit</t>
        </is>
      </c>
      <c r="B90" s="911">
        <f>B$63-B$64-B$70</f>
        <v/>
      </c>
      <c r="C90" s="911">
        <f>IF(C63="","",C$63-C$64-C$70)</f>
        <v/>
      </c>
      <c r="D90" s="911">
        <f>D$63-D$64-D$70</f>
        <v/>
      </c>
      <c r="E90" s="911">
        <f>G$63-G$64-G$70</f>
        <v/>
      </c>
      <c r="F90" s="912">
        <f>I$63-I$64-I$70</f>
        <v/>
      </c>
      <c r="G90" s="113" t="n"/>
      <c r="I90" s="103" t="inlineStr">
        <is>
          <t>Tổng tài sản</t>
        </is>
      </c>
      <c r="J90" s="906">
        <f>$D$9</f>
        <v/>
      </c>
    </row>
    <row r="91" ht="15" customHeight="1" s="782" thickBot="1">
      <c r="A91" s="116" t="inlineStr">
        <is>
          <t xml:space="preserve">    Operating Profit Margin</t>
        </is>
      </c>
      <c r="B91" s="117">
        <f>B$90/B$63</f>
        <v/>
      </c>
      <c r="C91" s="117">
        <f>IF(C63="","",C$90/C$63)</f>
        <v/>
      </c>
      <c r="D91" s="117">
        <f>D$90/D$63</f>
        <v/>
      </c>
      <c r="E91" s="117">
        <f>E$90/G$63</f>
        <v/>
      </c>
      <c r="F91" s="118">
        <f>F$90/I$63</f>
        <v/>
      </c>
      <c r="G91" s="86" t="n"/>
      <c r="I91" s="719" t="inlineStr">
        <is>
          <t>Chi phí lãi vay</t>
        </is>
      </c>
      <c r="J91" s="913">
        <f>D69</f>
        <v/>
      </c>
    </row>
    <row r="92" ht="15" customHeight="1" s="782">
      <c r="A92" s="116" t="inlineStr">
        <is>
          <t xml:space="preserve">    DSCR</t>
        </is>
      </c>
      <c r="B92" s="119">
        <f>($B$253+$B$254)/($B$255+$B$256)</f>
        <v/>
      </c>
      <c r="C92" s="119">
        <f>IF(C253="","",($C$253+$C$254)/($C$255+$C$256))</f>
        <v/>
      </c>
      <c r="D92" s="117">
        <f>($D$253+$D$254)/($D$255+$D$256)</f>
        <v/>
      </c>
      <c r="E92" s="117">
        <f>($E$253+$E$254)/($E$255+$E$256)</f>
        <v/>
      </c>
      <c r="F92" s="118">
        <f>($F$253+$F$254)/($F$255+$F$256)</f>
        <v/>
      </c>
      <c r="G92" s="86" t="n"/>
      <c r="I92" s="102" t="inlineStr">
        <is>
          <t>Các tiêu chí điều chỉnh</t>
        </is>
      </c>
      <c r="J92" s="102" t="n"/>
    </row>
    <row r="93" ht="30" customHeight="1" s="782">
      <c r="A93" s="713" t="inlineStr">
        <is>
          <t>KNTT hiện hành  (lần)</t>
        </is>
      </c>
      <c r="B93" s="714">
        <f>'03. Dulieutaichinhlamsach_RG'!D99</f>
        <v/>
      </c>
      <c r="C93" s="714">
        <f>'03. Dulieutaichinhlamsach_RG'!E99</f>
        <v/>
      </c>
      <c r="D93" s="714">
        <f>'03. Dulieutaichinhlamsach_RG'!F99</f>
        <v/>
      </c>
      <c r="E93" s="714">
        <f>'03. Dulieutaichinhlamsach_RG'!G99</f>
        <v/>
      </c>
      <c r="F93" s="715">
        <f>'03. Dulieutaichinhlamsach_RG'!H99</f>
        <v/>
      </c>
      <c r="G93" s="86" t="n"/>
      <c r="I93" s="410" t="inlineStr">
        <is>
          <t xml:space="preserve">Khả năng thanh toán hiện hành </t>
        </is>
      </c>
      <c r="J93" s="411">
        <f>IF($J$83=0,-99999,$J$89/$J$83)</f>
        <v/>
      </c>
      <c r="K93" s="733" t="inlineStr">
        <is>
          <t>ko áp dụng</t>
        </is>
      </c>
    </row>
    <row r="94" ht="30.75" customHeight="1" s="782" thickBot="1">
      <c r="A94" s="716" t="inlineStr">
        <is>
          <t>Vòng quay VLĐ (vòng)</t>
        </is>
      </c>
      <c r="B94" s="717" t="n"/>
      <c r="C94" s="717">
        <f>'03. Dulieutaichinhlamsach_RG'!E103</f>
        <v/>
      </c>
      <c r="D94" s="717">
        <f>'03. Dulieutaichinhlamsach_RG'!F103</f>
        <v/>
      </c>
      <c r="E94" s="717">
        <f>'03. Dulieutaichinhlamsach_RG'!G103</f>
        <v/>
      </c>
      <c r="F94" s="718">
        <f>'03. Dulieutaichinhlamsach_RG'!H103</f>
        <v/>
      </c>
      <c r="G94" s="123" t="n"/>
      <c r="I94" s="410" t="inlineStr">
        <is>
          <t>Khả năng thanh toán tức thời</t>
        </is>
      </c>
      <c r="J94" s="411">
        <f>IF($J$83=0,-99999,($D$11+$D$17)/$J$83)</f>
        <v/>
      </c>
      <c r="K94" s="733" t="inlineStr">
        <is>
          <t>ko áp dụng</t>
        </is>
      </c>
    </row>
    <row r="95" ht="30" customHeight="1" s="782">
      <c r="B95" s="125" t="n"/>
      <c r="C95" s="126" t="n"/>
      <c r="D95" s="914" t="n"/>
      <c r="E95" s="128" t="n"/>
      <c r="F95" s="830" t="n"/>
      <c r="I95" s="410" t="inlineStr">
        <is>
          <t>Khả năng thực hiện nghĩa vụ trả nợ ngắn hạn</t>
        </is>
      </c>
      <c r="J95" s="411" t="n"/>
      <c r="K95" s="733" t="inlineStr">
        <is>
          <t>ko áp dụng</t>
        </is>
      </c>
    </row>
    <row r="96" ht="30" customHeight="1" s="782">
      <c r="A96" s="100" t="n"/>
      <c r="B96" s="125" t="n"/>
      <c r="C96" s="126" t="n"/>
      <c r="D96" s="914" t="n"/>
      <c r="E96" s="128" t="n"/>
      <c r="F96" s="830" t="n"/>
      <c r="G96" s="830" t="n"/>
      <c r="I96" s="386" t="inlineStr">
        <is>
          <t>Tiền và tương đương tiền/Tổng tài sản</t>
        </is>
      </c>
      <c r="J96" s="722">
        <f>IF($J$90=0,-99999,$D$10/$J$90)</f>
        <v/>
      </c>
    </row>
    <row r="97" ht="30" customHeight="1" s="782">
      <c r="A97" s="100" t="n"/>
      <c r="B97" s="125" t="n"/>
      <c r="C97" s="126" t="n"/>
      <c r="D97" s="914" t="n"/>
      <c r="E97" s="128" t="n"/>
      <c r="F97" s="830" t="n"/>
      <c r="G97" s="830" t="n"/>
      <c r="I97" s="386" t="inlineStr">
        <is>
          <t>Phải thu khác/Tổng tài sản</t>
        </is>
      </c>
      <c r="J97" s="722">
        <f>IF($D$9=0,-99999,($D$20)/$D$9)</f>
        <v/>
      </c>
    </row>
    <row r="98">
      <c r="A98" s="100" t="n"/>
      <c r="B98" s="125" t="n"/>
      <c r="C98" s="126" t="n"/>
      <c r="D98" s="914" t="n"/>
      <c r="E98" s="128" t="n"/>
      <c r="F98" s="830" t="n"/>
      <c r="G98" s="830" t="n"/>
      <c r="I98" s="110" t="inlineStr">
        <is>
          <t>Tổng nợ/Tổng tài sản</t>
        </is>
      </c>
      <c r="J98" s="722">
        <f>IF($J$90=0,-99999,$J$82/$J$90)</f>
        <v/>
      </c>
    </row>
    <row r="99" ht="15" customHeight="1" s="782">
      <c r="A99" s="100" t="n"/>
      <c r="B99" s="125" t="n"/>
      <c r="C99" s="126" t="n"/>
      <c r="D99" s="914" t="n"/>
      <c r="E99" s="128" t="n"/>
      <c r="F99" s="830" t="n"/>
      <c r="G99" s="830" t="n"/>
      <c r="I99" s="110" t="inlineStr">
        <is>
          <t>Tổng nợ/Vốn chủ sở hữu</t>
        </is>
      </c>
      <c r="J99" s="722">
        <f>IF($J$85=0,-99999,$J$82/$J$85)</f>
        <v/>
      </c>
    </row>
    <row r="100" ht="30" customHeight="1" s="782">
      <c r="A100" s="100" t="n"/>
      <c r="B100" s="125" t="n"/>
      <c r="C100" s="126" t="n"/>
      <c r="D100" s="914" t="n"/>
      <c r="E100" s="128" t="n"/>
      <c r="F100" s="830" t="n"/>
      <c r="G100" s="830" t="n"/>
      <c r="I100" s="110" t="inlineStr">
        <is>
          <t>Lợi nhuận sau thuế/Tổng tài sản</t>
        </is>
      </c>
      <c r="J100" s="722">
        <f>IF($J$90=0,-99999,$J$87/$J$90)</f>
        <v/>
      </c>
    </row>
    <row r="101" ht="30" customHeight="1" s="782">
      <c r="A101" s="100" t="n"/>
      <c r="B101" s="125" t="n"/>
      <c r="C101" s="126" t="n"/>
      <c r="D101" s="914" t="n"/>
      <c r="E101" s="128" t="n"/>
      <c r="F101" s="830" t="n"/>
      <c r="G101" s="830" t="n"/>
      <c r="I101" s="410" t="inlineStr">
        <is>
          <t>Doanh thu thuần/Nợ vay ngắn hạn</t>
        </is>
      </c>
      <c r="J101" s="412">
        <f>IF($J$84=0,-99999,$D$63/$J$84)</f>
        <v/>
      </c>
      <c r="K101" s="733" t="inlineStr">
        <is>
          <t>ko áp dụng</t>
        </is>
      </c>
    </row>
    <row r="102" ht="30" customHeight="1" s="782">
      <c r="A102" s="100" t="n"/>
      <c r="B102" s="125" t="n"/>
      <c r="C102" s="126" t="n"/>
      <c r="D102" s="914" t="n"/>
      <c r="E102" s="128" t="n"/>
      <c r="F102" s="830" t="n"/>
      <c r="G102" s="830" t="n"/>
      <c r="I102" s="386" t="inlineStr">
        <is>
          <t>Doanh thu thuần/Tổng tài sản</t>
        </is>
      </c>
      <c r="J102" s="722">
        <f>IF($J$90=0,-99999,$D$63/$J$90)</f>
        <v/>
      </c>
    </row>
    <row r="103" ht="30" customHeight="1" s="782">
      <c r="A103" s="100" t="n"/>
      <c r="B103" s="125" t="n"/>
      <c r="C103" s="126" t="n"/>
      <c r="D103" s="914" t="n"/>
      <c r="E103" s="128" t="n"/>
      <c r="F103" s="830" t="n"/>
      <c r="G103" s="830" t="n"/>
      <c r="I103" s="110" t="inlineStr">
        <is>
          <t>Doanh thu thuần/Tổng nợ</t>
        </is>
      </c>
      <c r="J103" s="722">
        <f>IF($J$82=0,-99999,$D$63/$J$82)</f>
        <v/>
      </c>
    </row>
    <row r="104" ht="30" customHeight="1" s="782">
      <c r="A104" s="100" t="n"/>
      <c r="B104" s="125" t="n"/>
      <c r="C104" s="126" t="n"/>
      <c r="D104" s="914" t="n"/>
      <c r="E104" s="128" t="n"/>
      <c r="F104" s="830" t="n"/>
      <c r="G104" s="830" t="n"/>
      <c r="I104" s="410" t="inlineStr">
        <is>
          <t>Nhu cầu vốn 1 chu kì / Nợ vay ngắn hạn</t>
        </is>
      </c>
      <c r="J104" s="412" t="n"/>
      <c r="K104" s="733" t="inlineStr">
        <is>
          <t>ko áp dụng</t>
        </is>
      </c>
    </row>
    <row r="105" ht="60" customHeight="1" s="782">
      <c r="A105" s="100" t="n"/>
      <c r="B105" s="125" t="n"/>
      <c r="C105" s="126" t="n"/>
      <c r="D105" s="914" t="n"/>
      <c r="E105" s="128" t="n"/>
      <c r="F105" s="830" t="n"/>
      <c r="G105" s="830" t="n"/>
      <c r="I105" s="410" t="inlineStr">
        <is>
          <t>(Phải thu ngắn hạn - Phải thu khách hàng ngắn hạn)/Tài sản ngắn hạn</t>
        </is>
      </c>
      <c r="J105" s="412" t="n"/>
      <c r="K105" s="733" t="inlineStr">
        <is>
          <t>ko áp dụng</t>
        </is>
      </c>
    </row>
    <row r="106" ht="45" customHeight="1" s="782">
      <c r="A106" s="100" t="n"/>
      <c r="B106" s="125" t="n"/>
      <c r="C106" s="126" t="n"/>
      <c r="D106" s="914" t="n"/>
      <c r="E106" s="128" t="n"/>
      <c r="F106" s="830" t="n"/>
      <c r="G106" s="830" t="n"/>
      <c r="I106" s="410" t="inlineStr">
        <is>
          <t>(Phải thu ngắn hạn khác + Phải thu dài hạn khác)/Tổng tài sản</t>
        </is>
      </c>
      <c r="J106" s="412" t="n"/>
      <c r="K106" s="733" t="inlineStr">
        <is>
          <t>ko áp dụng</t>
        </is>
      </c>
    </row>
    <row r="107" ht="30" customHeight="1" s="782">
      <c r="A107" s="100" t="n"/>
      <c r="B107" s="125" t="n"/>
      <c r="C107" s="126" t="n"/>
      <c r="D107" s="914" t="n"/>
      <c r="E107" s="128" t="n"/>
      <c r="F107" s="830" t="n"/>
      <c r="G107" s="830" t="n"/>
      <c r="I107" s="723" t="inlineStr">
        <is>
          <t>Tỷ số lợi nhuận gộp trên tổng nợ</t>
        </is>
      </c>
      <c r="J107" s="722">
        <f>IF($J$82=0,-99999,D66/$J$82)</f>
        <v/>
      </c>
    </row>
    <row r="108" ht="30" customHeight="1" s="782">
      <c r="A108" s="100" t="n"/>
      <c r="B108" s="125" t="n"/>
      <c r="C108" s="126" t="n"/>
      <c r="D108" s="914" t="n"/>
      <c r="E108" s="128" t="n"/>
      <c r="F108" s="830" t="n"/>
      <c r="G108" s="830" t="n"/>
      <c r="I108" s="723" t="inlineStr">
        <is>
          <t>Lợi nhuận gộp/Chi phí lãi vay</t>
        </is>
      </c>
      <c r="J108" s="722">
        <f>IF(J91=0,-99999,D66/J91)</f>
        <v/>
      </c>
    </row>
    <row r="109" ht="30" customHeight="1" s="782">
      <c r="A109" s="100" t="n"/>
      <c r="B109" s="125" t="n"/>
      <c r="C109" s="126" t="n"/>
      <c r="D109" s="914" t="n"/>
      <c r="E109" s="128" t="n"/>
      <c r="F109" s="830" t="n"/>
      <c r="G109" s="830" t="n"/>
      <c r="I109" s="723" t="inlineStr">
        <is>
          <t>Tỷ số lợi nhuận sau thuế trên tổng nợ</t>
        </is>
      </c>
      <c r="J109" s="722">
        <f>IF($J$82=0,-99999,J87/$J$82)</f>
        <v/>
      </c>
    </row>
    <row r="110">
      <c r="A110" s="100" t="n"/>
      <c r="B110" s="125" t="n"/>
      <c r="C110" s="126" t="n"/>
      <c r="D110" s="914" t="n"/>
      <c r="E110" s="128" t="n"/>
      <c r="F110" s="830" t="n"/>
      <c r="G110" s="830" t="n"/>
      <c r="I110" s="723" t="inlineStr">
        <is>
          <t>EBIT/Tổng nguồn vốn</t>
        </is>
      </c>
      <c r="J110" s="722">
        <f>IF(D36=0,-99999,(J91+D75)/D36)</f>
        <v/>
      </c>
    </row>
    <row r="111" ht="60" customHeight="1" s="782">
      <c r="A111" s="100" t="n"/>
      <c r="B111" s="125" t="n"/>
      <c r="C111" s="126" t="n"/>
      <c r="D111" s="914" t="n"/>
      <c r="E111" s="128" t="n"/>
      <c r="F111" s="830" t="n"/>
      <c r="G111" s="830" t="n"/>
      <c r="I111" s="410" t="inlineStr">
        <is>
          <t>Tiền và tương đương tiền + phải thu ngắn hạn khách hàng + hàng tồn kho</t>
        </is>
      </c>
      <c r="J111" s="413" t="n"/>
      <c r="K111" s="733" t="inlineStr">
        <is>
          <t>ko áp dụng</t>
        </is>
      </c>
    </row>
    <row r="112" ht="45" customHeight="1" s="782">
      <c r="A112" s="100" t="n"/>
      <c r="B112" s="125" t="n"/>
      <c r="C112" s="126" t="n"/>
      <c r="D112" s="914" t="n"/>
      <c r="E112" s="128" t="n"/>
      <c r="F112" s="830" t="n"/>
      <c r="G112" s="830" t="n"/>
      <c r="I112" s="410" t="inlineStr">
        <is>
          <t>Phải trả người bán ngắn hạn + nợ vay ngắn hạn</t>
        </is>
      </c>
      <c r="J112" s="413" t="n"/>
      <c r="K112" s="733" t="inlineStr">
        <is>
          <t>ko áp dụng</t>
        </is>
      </c>
    </row>
    <row r="113">
      <c r="A113" s="100" t="n"/>
      <c r="B113" s="125" t="n"/>
      <c r="C113" s="126" t="n"/>
      <c r="D113" s="914" t="n"/>
      <c r="E113" s="128" t="n"/>
      <c r="F113" s="830" t="n"/>
      <c r="G113" s="830" t="n"/>
      <c r="H113" s="393" t="n"/>
      <c r="I113" s="393" t="n"/>
      <c r="J113" s="393" t="n"/>
    </row>
    <row r="114" ht="13.5" customHeight="1" s="782">
      <c r="A114" s="124" t="inlineStr">
        <is>
          <t>KẾT QỦA CÁC CHỈ TIÊU PHÂN TÍCH TÀI CHÍNH</t>
        </is>
      </c>
      <c r="B114" s="125" t="n"/>
      <c r="C114" s="126" t="n"/>
      <c r="D114" s="914" t="n"/>
      <c r="E114" s="128" t="n"/>
      <c r="F114" s="830" t="n"/>
      <c r="G114" s="830" t="n"/>
      <c r="H114" s="393" t="n"/>
      <c r="I114" s="393" t="n"/>
      <c r="J114" s="393" t="n"/>
    </row>
    <row r="115" ht="15.75" customHeight="1" s="782" thickBot="1">
      <c r="A115" s="393" t="n"/>
      <c r="B115" s="393" t="n"/>
      <c r="C115" s="130" t="n"/>
      <c r="D115" s="393" t="n"/>
      <c r="E115" s="393" t="n"/>
      <c r="F115" s="831" t="n"/>
      <c r="H115" s="393" t="n"/>
      <c r="I115" s="393" t="n"/>
      <c r="J115" s="393" t="n"/>
    </row>
    <row r="116" ht="31.5" customHeight="1" s="782" thickTop="1">
      <c r="A116" s="131" t="inlineStr">
        <is>
          <t>Chỉ tiêu</t>
        </is>
      </c>
      <c r="B116" s="132" t="inlineStr">
        <is>
          <t>Đơn vị</t>
        </is>
      </c>
      <c r="C116" s="133">
        <f>'03. Dulieutaichinhlamsach_RG'!D97</f>
        <v/>
      </c>
      <c r="D116" s="133">
        <f>'03. Dulieutaichinhlamsach_RG'!E97</f>
        <v/>
      </c>
      <c r="E116" s="133">
        <f>'03. Dulieutaichinhlamsach_RG'!F97</f>
        <v/>
      </c>
      <c r="F116" s="132">
        <f>"Tăng/giảm so "&amp;D116</f>
        <v/>
      </c>
      <c r="G116" s="132" t="inlineStr">
        <is>
          <t>So TB ngành</t>
        </is>
      </c>
      <c r="H116" s="134">
        <f>'03. Dulieutaichinhlamsach_RG'!G97</f>
        <v/>
      </c>
      <c r="I116" s="135">
        <f>'03. Dulieutaichinhlamsach_RG'!H97</f>
        <v/>
      </c>
      <c r="J116" s="393" t="n"/>
    </row>
    <row r="117" customFormat="1" s="395">
      <c r="A117" s="727" t="inlineStr">
        <is>
          <t>Chỉ tiêu thanh khoản</t>
        </is>
      </c>
      <c r="B117" s="728" t="n"/>
      <c r="C117" s="729" t="n"/>
      <c r="D117" s="915" t="n"/>
      <c r="E117" s="915" t="n"/>
      <c r="F117" s="915" t="n"/>
      <c r="G117" s="916" t="n"/>
      <c r="H117" s="732" t="n"/>
      <c r="I117" s="733" t="n"/>
      <c r="J117" s="393" t="n"/>
    </row>
    <row r="118" customFormat="1" s="395">
      <c r="A118" s="734" t="inlineStr">
        <is>
          <t>1.Khả năng thanh toán hiện hành (lần)</t>
        </is>
      </c>
      <c r="B118" s="724" t="inlineStr">
        <is>
          <t>lần</t>
        </is>
      </c>
      <c r="C118" s="725">
        <f>'03. Dulieutaichinhlamsach_RG'!D99</f>
        <v/>
      </c>
      <c r="D118" s="725">
        <f>'03. Dulieutaichinhlamsach_RG'!E99</f>
        <v/>
      </c>
      <c r="E118" s="725">
        <f>'03. Dulieutaichinhlamsach_RG'!F99</f>
        <v/>
      </c>
      <c r="F118" s="726">
        <f>E118-D118</f>
        <v/>
      </c>
      <c r="G118" s="726">
        <f>'03. Dulieutaichinhlamsach_RG'!P99</f>
        <v/>
      </c>
      <c r="H118" s="725">
        <f>'03. Dulieutaichinhlamsach_RG'!G99</f>
        <v/>
      </c>
      <c r="I118" s="725">
        <f>'03. Dulieutaichinhlamsach_RG'!H99</f>
        <v/>
      </c>
      <c r="J118" s="838" t="n"/>
    </row>
    <row r="119" customFormat="1" s="395">
      <c r="A119" s="734" t="inlineStr">
        <is>
          <t>2. Khả năng thanh toán nhanh (lần)</t>
        </is>
      </c>
      <c r="B119" s="724" t="inlineStr">
        <is>
          <t>lần</t>
        </is>
      </c>
      <c r="C119" s="725">
        <f>'03. Dulieutaichinhlamsach_RG'!D100</f>
        <v/>
      </c>
      <c r="D119" s="725">
        <f>'03. Dulieutaichinhlamsach_RG'!E100</f>
        <v/>
      </c>
      <c r="E119" s="725">
        <f>'03. Dulieutaichinhlamsach_RG'!F100</f>
        <v/>
      </c>
      <c r="F119" s="726">
        <f>E119-D119</f>
        <v/>
      </c>
      <c r="G119" s="726">
        <f>'03. Dulieutaichinhlamsach_RG'!P100</f>
        <v/>
      </c>
      <c r="H119" s="725">
        <f>'03. Dulieutaichinhlamsach_RG'!G100</f>
        <v/>
      </c>
      <c r="I119" s="725">
        <f>'03. Dulieutaichinhlamsach_RG'!H100</f>
        <v/>
      </c>
    </row>
    <row r="120" customFormat="1" s="395">
      <c r="A120" s="734" t="inlineStr">
        <is>
          <t>3. Khả năng thanh toán tức thời (lần)</t>
        </is>
      </c>
      <c r="B120" s="724" t="inlineStr">
        <is>
          <t>lần</t>
        </is>
      </c>
      <c r="C120" s="725">
        <f>'03. Dulieutaichinhlamsach_RG'!D101</f>
        <v/>
      </c>
      <c r="D120" s="725">
        <f>'03. Dulieutaichinhlamsach_RG'!E101</f>
        <v/>
      </c>
      <c r="E120" s="725">
        <f>'03. Dulieutaichinhlamsach_RG'!F101</f>
        <v/>
      </c>
      <c r="F120" s="726">
        <f>E120-D120</f>
        <v/>
      </c>
      <c r="G120" s="726">
        <f>'03. Dulieutaichinhlamsach_RG'!P101</f>
        <v/>
      </c>
      <c r="H120" s="725">
        <f>'03. Dulieutaichinhlamsach_RG'!G101</f>
        <v/>
      </c>
      <c r="I120" s="725">
        <f>'03. Dulieutaichinhlamsach_RG'!H101</f>
        <v/>
      </c>
    </row>
    <row r="121" customFormat="1" s="395">
      <c r="A121" s="398" t="inlineStr">
        <is>
          <t>Chỉ tiêu hoạt động</t>
        </is>
      </c>
      <c r="B121" s="143" t="n"/>
      <c r="C121" s="390" t="n"/>
      <c r="D121" s="390" t="n"/>
      <c r="E121" s="390" t="n"/>
      <c r="F121" s="142" t="n"/>
      <c r="G121" s="142" t="n"/>
      <c r="H121" s="391" t="n"/>
      <c r="I121" s="391" t="n"/>
      <c r="J121" s="393" t="n"/>
    </row>
    <row r="122" customFormat="1" s="395">
      <c r="A122" s="734" t="inlineStr">
        <is>
          <t>4. Vòng quay vốn lưu động (vòng)</t>
        </is>
      </c>
      <c r="B122" s="724" t="inlineStr">
        <is>
          <t>vòng</t>
        </is>
      </c>
      <c r="C122" s="725">
        <f>'03. Dulieutaichinhlamsach_RG'!D103</f>
        <v/>
      </c>
      <c r="D122" s="735">
        <f>'03. Dulieutaichinhlamsach_RG'!E103</f>
        <v/>
      </c>
      <c r="E122" s="725">
        <f>'03. Dulieutaichinhlamsach_RG'!F103</f>
        <v/>
      </c>
      <c r="F122" s="726">
        <f>E122-D122</f>
        <v/>
      </c>
      <c r="G122" s="726">
        <f>'03. Dulieutaichinhlamsach_RG'!P103</f>
        <v/>
      </c>
      <c r="H122" s="725">
        <f>'03. Dulieutaichinhlamsach_RG'!G103</f>
        <v/>
      </c>
      <c r="I122" s="725">
        <f>'03. Dulieutaichinhlamsach_RG'!H103</f>
        <v/>
      </c>
      <c r="J122" s="838" t="n"/>
    </row>
    <row r="123" customFormat="1" s="395">
      <c r="A123" s="396" t="inlineStr">
        <is>
          <t>5. Vòng quay hàng tồn kho (vòng)</t>
        </is>
      </c>
      <c r="B123" s="141" t="inlineStr">
        <is>
          <t>vòng</t>
        </is>
      </c>
      <c r="C123" s="397">
        <f>'03. Dulieutaichinhlamsach_RG'!D104</f>
        <v/>
      </c>
      <c r="D123" s="397">
        <f>'03. Dulieutaichinhlamsach_RG'!E104</f>
        <v/>
      </c>
      <c r="E123" s="397">
        <f>'03. Dulieutaichinhlamsach_RG'!F104</f>
        <v/>
      </c>
      <c r="F123" s="142">
        <f>E123-D123</f>
        <v/>
      </c>
      <c r="G123" s="142">
        <f>'03. Dulieutaichinhlamsach_RG'!P104</f>
        <v/>
      </c>
      <c r="H123" s="397">
        <f>'03. Dulieutaichinhlamsach_RG'!G104</f>
        <v/>
      </c>
      <c r="I123" s="397">
        <f>'03. Dulieutaichinhlamsach_RG'!H104</f>
        <v/>
      </c>
    </row>
    <row r="124" customFormat="1" s="395">
      <c r="A124" s="734" t="inlineStr">
        <is>
          <t>6. Vòng quay các khoản phải thu (vòng)</t>
        </is>
      </c>
      <c r="B124" s="724" t="inlineStr">
        <is>
          <t>vòng</t>
        </is>
      </c>
      <c r="C124" s="725">
        <f>'03. Dulieutaichinhlamsach_RG'!D105</f>
        <v/>
      </c>
      <c r="D124" s="735">
        <f>'03. Dulieutaichinhlamsach_RG'!E105</f>
        <v/>
      </c>
      <c r="E124" s="725">
        <f>'03. Dulieutaichinhlamsach_RG'!F105</f>
        <v/>
      </c>
      <c r="F124" s="726">
        <f>E124-D124</f>
        <v/>
      </c>
      <c r="G124" s="726">
        <f>'03. Dulieutaichinhlamsach_RG'!P105</f>
        <v/>
      </c>
      <c r="H124" s="725">
        <f>'03. Dulieutaichinhlamsach_RG'!G105</f>
        <v/>
      </c>
      <c r="I124" s="725">
        <f>'03. Dulieutaichinhlamsach_RG'!H105</f>
        <v/>
      </c>
    </row>
    <row r="125" customFormat="1" s="395">
      <c r="A125" s="734" t="inlineStr">
        <is>
          <t>7. Vòng quay khoản phải trả (Payables Turnover)</t>
        </is>
      </c>
      <c r="B125" s="724" t="inlineStr">
        <is>
          <t>vòng</t>
        </is>
      </c>
      <c r="C125" s="725">
        <f>'03. Dulieutaichinhlamsach_RG'!D106</f>
        <v/>
      </c>
      <c r="D125" s="725">
        <f>'03. Dulieutaichinhlamsach_RG'!E106</f>
        <v/>
      </c>
      <c r="E125" s="725">
        <f>'03. Dulieutaichinhlamsach_RG'!F106</f>
        <v/>
      </c>
      <c r="F125" s="726">
        <f>E125-D125</f>
        <v/>
      </c>
      <c r="G125" s="726" t="n"/>
      <c r="H125" s="725">
        <f>'03. Dulieutaichinhlamsach_RG'!G106</f>
        <v/>
      </c>
      <c r="I125" s="725">
        <f>'03. Dulieutaichinhlamsach_RG'!H106</f>
        <v/>
      </c>
      <c r="J125" s="393" t="n"/>
    </row>
    <row r="126" customFormat="1" s="395">
      <c r="A126" s="396" t="inlineStr">
        <is>
          <t>8. Hiệu suất sử dụng TSCĐ (lần)</t>
        </is>
      </c>
      <c r="B126" s="141" t="inlineStr">
        <is>
          <t>lần</t>
        </is>
      </c>
      <c r="C126" s="397">
        <f>'03. Dulieutaichinhlamsach_RG'!D107</f>
        <v/>
      </c>
      <c r="D126" s="390">
        <f>'03. Dulieutaichinhlamsach_RG'!E107</f>
        <v/>
      </c>
      <c r="E126" s="397">
        <f>'03. Dulieutaichinhlamsach_RG'!F107</f>
        <v/>
      </c>
      <c r="F126" s="142">
        <f>E126-D126</f>
        <v/>
      </c>
      <c r="G126" s="142">
        <f>'03. Dulieutaichinhlamsach_RG'!P107</f>
        <v/>
      </c>
      <c r="H126" s="397">
        <f>'03. Dulieutaichinhlamsach_RG'!G107</f>
        <v/>
      </c>
      <c r="I126" s="397">
        <f>'03. Dulieutaichinhlamsach_RG'!H107</f>
        <v/>
      </c>
      <c r="J126" s="393" t="n"/>
    </row>
    <row r="127" customFormat="1" s="395">
      <c r="A127" s="734" t="inlineStr">
        <is>
          <t>9. Vòng quay kinh doanh</t>
        </is>
      </c>
      <c r="B127" s="724" t="inlineStr">
        <is>
          <t>vòng</t>
        </is>
      </c>
      <c r="C127" s="725">
        <f>'03. Dulieutaichinhlamsach_RG'!D108</f>
        <v/>
      </c>
      <c r="D127" s="725">
        <f>'03. Dulieutaichinhlamsach_RG'!E108</f>
        <v/>
      </c>
      <c r="E127" s="725">
        <f>'03. Dulieutaichinhlamsach_RG'!F108</f>
        <v/>
      </c>
      <c r="F127" s="726">
        <f>E127-D127</f>
        <v/>
      </c>
      <c r="G127" s="726" t="n"/>
      <c r="H127" s="725">
        <f>'03. Dulieutaichinhlamsach_RG'!G108</f>
        <v/>
      </c>
      <c r="I127" s="725">
        <f>'03. Dulieutaichinhlamsach_RG'!H108</f>
        <v/>
      </c>
      <c r="J127" s="393" t="n"/>
    </row>
    <row r="128" customFormat="1" s="395">
      <c r="A128" s="396" t="inlineStr">
        <is>
          <t>10. Tiền và tương đương tiền/Tổng tài sản</t>
        </is>
      </c>
      <c r="B128" s="141" t="inlineStr">
        <is>
          <t>lần</t>
        </is>
      </c>
      <c r="C128" s="397">
        <f>'03. Dulieutaichinhlamsach_RG'!D109</f>
        <v/>
      </c>
      <c r="D128" s="397">
        <f>'03. Dulieutaichinhlamsach_RG'!E109</f>
        <v/>
      </c>
      <c r="E128" s="397">
        <f>'03. Dulieutaichinhlamsach_RG'!F109</f>
        <v/>
      </c>
      <c r="F128" s="142">
        <f>E128-D128</f>
        <v/>
      </c>
      <c r="G128" s="142" t="n"/>
      <c r="H128" s="397">
        <f>'03. Dulieutaichinhlamsach_RG'!G109</f>
        <v/>
      </c>
      <c r="I128" s="397">
        <f>'03. Dulieutaichinhlamsach_RG'!H109</f>
        <v/>
      </c>
      <c r="J128" s="393" t="n"/>
    </row>
    <row r="129" customFormat="1" s="395">
      <c r="A129" s="734" t="inlineStr">
        <is>
          <t>11. Phải thu khác/Tài sản ngắn hạn</t>
        </is>
      </c>
      <c r="B129" s="724" t="inlineStr">
        <is>
          <t>lần</t>
        </is>
      </c>
      <c r="C129" s="725">
        <f>'03. Dulieutaichinhlamsach_RG'!D110</f>
        <v/>
      </c>
      <c r="D129" s="725">
        <f>'03. Dulieutaichinhlamsach_RG'!E110</f>
        <v/>
      </c>
      <c r="E129" s="725">
        <f>'03. Dulieutaichinhlamsach_RG'!F110</f>
        <v/>
      </c>
      <c r="F129" s="726">
        <f>E129-D129</f>
        <v/>
      </c>
      <c r="G129" s="726" t="n"/>
      <c r="H129" s="725">
        <f>'03. Dulieutaichinhlamsach_RG'!G110</f>
        <v/>
      </c>
      <c r="I129" s="725">
        <f>'03. Dulieutaichinhlamsach_RG'!H110</f>
        <v/>
      </c>
      <c r="J129" s="393" t="n"/>
    </row>
    <row r="130" customFormat="1" s="395">
      <c r="A130" s="416" t="inlineStr">
        <is>
          <t>12. Số ngày thiếu tiền</t>
        </is>
      </c>
      <c r="B130" s="724" t="inlineStr">
        <is>
          <t>ngày</t>
        </is>
      </c>
      <c r="C130" s="725">
        <f>'03. Dulieutaichinhlamsach_RG'!D111</f>
        <v/>
      </c>
      <c r="D130" s="725">
        <f>'03. Dulieutaichinhlamsach_RG'!E111</f>
        <v/>
      </c>
      <c r="E130" s="725">
        <f>'03. Dulieutaichinhlamsach_RG'!F111</f>
        <v/>
      </c>
      <c r="F130" s="726">
        <f>E130-D130</f>
        <v/>
      </c>
      <c r="G130" s="726" t="n"/>
      <c r="H130" s="725">
        <f>'03. Dulieutaichinhlamsach_RG'!G111</f>
        <v/>
      </c>
      <c r="I130" s="725">
        <f>'03. Dulieutaichinhlamsach_RG'!H111</f>
        <v/>
      </c>
      <c r="J130" s="393" t="n"/>
    </row>
    <row r="131" customFormat="1" s="395">
      <c r="A131" s="415" t="inlineStr">
        <is>
          <t>13. Nhu cầu vốn 1 chu kỳ</t>
        </is>
      </c>
      <c r="B131" s="724" t="n"/>
      <c r="C131" s="725">
        <f>IF('03. Dulieutaichinhlamsach_RG'!D112=-99999,-99999,IF(TRIM('03. Dulieutaichinhlamsach_RG'!$G$2)="VND",'03. Dulieutaichinhlamsach_RG'!D112/10^6,'03. Dulieutaichinhlamsach_RG'!D112))</f>
        <v/>
      </c>
      <c r="D131" s="725">
        <f>IF('03. Dulieutaichinhlamsach_RG'!E112=-99999,-99999,IF(TRIM('03. Dulieutaichinhlamsach_RG'!$G$2)="VND",'03. Dulieutaichinhlamsach_RG'!E112/10^6,'03. Dulieutaichinhlamsach_RG'!E112))</f>
        <v/>
      </c>
      <c r="E131" s="725">
        <f>IF('03. Dulieutaichinhlamsach_RG'!F112=-99999,-99999,IF(TRIM('03. Dulieutaichinhlamsach_RG'!$G$2)="VND",'03. Dulieutaichinhlamsach_RG'!F112/10^6,'03. Dulieutaichinhlamsach_RG'!F112))</f>
        <v/>
      </c>
      <c r="F131" s="726">
        <f>E131-D131</f>
        <v/>
      </c>
      <c r="G131" s="726" t="n"/>
      <c r="H131" s="725">
        <f>IF('03. Dulieutaichinhlamsach_RG'!G112=-99999,-99999,IF(TRIM('03. Dulieutaichinhlamsach_RG'!$G$2)="VND",'03. Dulieutaichinhlamsach_RG'!G112/10^6,'03. Dulieutaichinhlamsach_RG'!G112))</f>
        <v/>
      </c>
      <c r="I131" s="725">
        <f>IF('03. Dulieutaichinhlamsach_RG'!H112=-99999,-99999,IF(TRIM('03. Dulieutaichinhlamsach_RG'!$G$2)="VND",'03. Dulieutaichinhlamsach_RG'!H112/10^6,'03. Dulieutaichinhlamsach_RG'!H112))</f>
        <v/>
      </c>
      <c r="J131" s="393" t="n"/>
    </row>
    <row r="132" ht="14.25" customFormat="1" customHeight="1" s="395">
      <c r="A132" s="416" t="inlineStr">
        <is>
          <t>14. Nhu cầu vốn 1 chu kì/Tiền và tương đương tiền</t>
        </is>
      </c>
      <c r="B132" s="724" t="n"/>
      <c r="C132" s="725">
        <f>'03. Dulieutaichinhlamsach_RG'!D113</f>
        <v/>
      </c>
      <c r="D132" s="725">
        <f>'03. Dulieutaichinhlamsach_RG'!E113</f>
        <v/>
      </c>
      <c r="E132" s="725">
        <f>'03. Dulieutaichinhlamsach_RG'!F113</f>
        <v/>
      </c>
      <c r="F132" s="726">
        <f>E132-D132</f>
        <v/>
      </c>
      <c r="G132" s="726" t="n"/>
      <c r="H132" s="725">
        <f>'03. Dulieutaichinhlamsach_RG'!G113</f>
        <v/>
      </c>
      <c r="I132" s="725">
        <f>'03. Dulieutaichinhlamsach_RG'!H113</f>
        <v/>
      </c>
      <c r="J132" s="393" t="n"/>
    </row>
    <row r="133" customFormat="1" s="395">
      <c r="A133" s="416" t="inlineStr">
        <is>
          <t>15. Nhu cầu vốn 1 chu kì / Nợ vay ngắn hạn</t>
        </is>
      </c>
      <c r="B133" s="724" t="n"/>
      <c r="C133" s="725">
        <f>'03. Dulieutaichinhlamsach_RG'!D114</f>
        <v/>
      </c>
      <c r="D133" s="725">
        <f>'03. Dulieutaichinhlamsach_RG'!E114</f>
        <v/>
      </c>
      <c r="E133" s="725">
        <f>'03. Dulieutaichinhlamsach_RG'!F114</f>
        <v/>
      </c>
      <c r="F133" s="726">
        <f>E133-D133</f>
        <v/>
      </c>
      <c r="G133" s="726" t="n"/>
      <c r="H133" s="725">
        <f>'03. Dulieutaichinhlamsach_RG'!G114</f>
        <v/>
      </c>
      <c r="I133" s="725">
        <f>'03. Dulieutaichinhlamsach_RG'!H114</f>
        <v/>
      </c>
      <c r="J133" s="393" t="n"/>
    </row>
    <row r="134" ht="30" customFormat="1" customHeight="1" s="395">
      <c r="A134" s="416" t="inlineStr">
        <is>
          <t>16. (Phải thu ngắn hạn - Phải thu khách hàng ngắn hạn)/Tài sản ngắn hạn</t>
        </is>
      </c>
      <c r="B134" s="724" t="inlineStr">
        <is>
          <t>lần</t>
        </is>
      </c>
      <c r="C134" s="725">
        <f>'03. Dulieutaichinhlamsach_RG'!D115</f>
        <v/>
      </c>
      <c r="D134" s="725">
        <f>'03. Dulieutaichinhlamsach_RG'!E115</f>
        <v/>
      </c>
      <c r="E134" s="725">
        <f>'03. Dulieutaichinhlamsach_RG'!F115</f>
        <v/>
      </c>
      <c r="F134" s="726">
        <f>E134-D134</f>
        <v/>
      </c>
      <c r="G134" s="726" t="n"/>
      <c r="H134" s="725">
        <f>'03. Dulieutaichinhlamsach_RG'!G115</f>
        <v/>
      </c>
      <c r="I134" s="725">
        <f>'03. Dulieutaichinhlamsach_RG'!H115</f>
        <v/>
      </c>
      <c r="J134" s="393" t="n"/>
    </row>
    <row r="135" ht="30" customFormat="1" customHeight="1" s="395">
      <c r="A135" s="416" t="inlineStr">
        <is>
          <t>17. (Phải thu ngắn hạn khác + Phải thu dài hạn khác)/Tổng tài sản</t>
        </is>
      </c>
      <c r="B135" s="724" t="inlineStr">
        <is>
          <t>lần</t>
        </is>
      </c>
      <c r="C135" s="725">
        <f>'03. Dulieutaichinhlamsach_RG'!D116</f>
        <v/>
      </c>
      <c r="D135" s="725">
        <f>'03. Dulieutaichinhlamsach_RG'!E116</f>
        <v/>
      </c>
      <c r="E135" s="725">
        <f>'03. Dulieutaichinhlamsach_RG'!F116</f>
        <v/>
      </c>
      <c r="F135" s="726">
        <f>E135-D135</f>
        <v/>
      </c>
      <c r="G135" s="726" t="n"/>
      <c r="H135" s="725">
        <f>'03. Dulieutaichinhlamsach_RG'!G116</f>
        <v/>
      </c>
      <c r="I135" s="725">
        <f>'03. Dulieutaichinhlamsach_RG'!H116</f>
        <v/>
      </c>
      <c r="J135" s="393" t="n"/>
    </row>
    <row r="136" customFormat="1" s="395">
      <c r="A136" s="398" t="inlineStr">
        <is>
          <t>Chỉ tiêu cân nợ</t>
        </is>
      </c>
      <c r="B136" s="143" t="n"/>
      <c r="C136" s="390" t="n"/>
      <c r="D136" s="390" t="n"/>
      <c r="E136" s="390" t="n"/>
      <c r="F136" s="142" t="n"/>
      <c r="G136" s="142" t="n"/>
      <c r="H136" s="391" t="n"/>
      <c r="I136" s="391" t="n"/>
      <c r="J136" s="393" t="n"/>
    </row>
    <row r="137" customFormat="1" s="395">
      <c r="A137" s="396" t="inlineStr">
        <is>
          <t>12. Tổng nợ phải trả/ Tổng tài sản (lần)</t>
        </is>
      </c>
      <c r="B137" s="143" t="inlineStr">
        <is>
          <t>%</t>
        </is>
      </c>
      <c r="C137" s="397">
        <f>'03. Dulieutaichinhlamsach_RG'!D118</f>
        <v/>
      </c>
      <c r="D137" s="397">
        <f>'03. Dulieutaichinhlamsach_RG'!E118</f>
        <v/>
      </c>
      <c r="E137" s="397">
        <f>'03. Dulieutaichinhlamsach_RG'!F118</f>
        <v/>
      </c>
      <c r="F137" s="144">
        <f>E137-D137</f>
        <v/>
      </c>
      <c r="G137" s="142">
        <f>'03. Dulieutaichinhlamsach_RG'!P118</f>
        <v/>
      </c>
      <c r="H137" s="397">
        <f>'03. Dulieutaichinhlamsach_RG'!G118</f>
        <v/>
      </c>
      <c r="I137" s="397">
        <f>'03. Dulieutaichinhlamsach_RG'!H118</f>
        <v/>
      </c>
      <c r="J137" s="393" t="n"/>
    </row>
    <row r="138" customFormat="1" s="395">
      <c r="A138" s="734" t="inlineStr">
        <is>
          <t>13. Nợ dài dạn/Vốn CSH (lần)</t>
        </is>
      </c>
      <c r="B138" s="736" t="inlineStr">
        <is>
          <t>%</t>
        </is>
      </c>
      <c r="C138" s="725">
        <f>'03. Dulieutaichinhlamsach_RG'!D119</f>
        <v/>
      </c>
      <c r="D138" s="725">
        <f>'03. Dulieutaichinhlamsach_RG'!E119</f>
        <v/>
      </c>
      <c r="E138" s="725">
        <f>'03. Dulieutaichinhlamsach_RG'!F119</f>
        <v/>
      </c>
      <c r="F138" s="737">
        <f>E138-D138</f>
        <v/>
      </c>
      <c r="G138" s="726">
        <f>'03. Dulieutaichinhlamsach_RG'!P119</f>
        <v/>
      </c>
      <c r="H138" s="725">
        <f>'03. Dulieutaichinhlamsach_RG'!G119</f>
        <v/>
      </c>
      <c r="I138" s="725">
        <f>'03. Dulieutaichinhlamsach_RG'!H119</f>
        <v/>
      </c>
      <c r="J138" s="393" t="n"/>
    </row>
    <row r="139" customFormat="1" s="395">
      <c r="A139" s="396" t="inlineStr">
        <is>
          <t>14. Tổng nợ/Vốn CSH (lần)</t>
        </is>
      </c>
      <c r="B139" s="143" t="inlineStr">
        <is>
          <t>%</t>
        </is>
      </c>
      <c r="C139" s="397">
        <f>'03. Dulieutaichinhlamsach_RG'!D120</f>
        <v/>
      </c>
      <c r="D139" s="397">
        <f>'03. Dulieutaichinhlamsach_RG'!E120</f>
        <v/>
      </c>
      <c r="E139" s="397">
        <f>'03. Dulieutaichinhlamsach_RG'!F120</f>
        <v/>
      </c>
      <c r="F139" s="144">
        <f>E139-D139</f>
        <v/>
      </c>
      <c r="G139" s="142">
        <f>'03. Dulieutaichinhlamsach_RG'!P120</f>
        <v/>
      </c>
      <c r="H139" s="397">
        <f>'03. Dulieutaichinhlamsach_RG'!G120</f>
        <v/>
      </c>
      <c r="I139" s="397">
        <f>'03. Dulieutaichinhlamsach_RG'!H120</f>
        <v/>
      </c>
      <c r="J139" s="393" t="n"/>
    </row>
    <row r="140" customFormat="1" s="395">
      <c r="A140" s="734" t="inlineStr">
        <is>
          <t>15. Khả năng thực hiện nghĩa vụ trả nợ ngắn hạn (lần)</t>
        </is>
      </c>
      <c r="B140" s="736" t="inlineStr">
        <is>
          <t>%</t>
        </is>
      </c>
      <c r="C140" s="725">
        <f>'03. Dulieutaichinhlamsach_RG'!D121</f>
        <v/>
      </c>
      <c r="D140" s="725">
        <f>'03. Dulieutaichinhlamsach_RG'!E121</f>
        <v/>
      </c>
      <c r="E140" s="725">
        <f>'03. Dulieutaichinhlamsach_RG'!F121</f>
        <v/>
      </c>
      <c r="F140" s="737">
        <f>E140-D140</f>
        <v/>
      </c>
      <c r="G140" s="726" t="n"/>
      <c r="H140" s="725">
        <f>'03. Dulieutaichinhlamsach_RG'!G121</f>
        <v/>
      </c>
      <c r="I140" s="725">
        <f>'03. Dulieutaichinhlamsach_RG'!H121</f>
        <v/>
      </c>
      <c r="J140" s="393" t="n"/>
    </row>
    <row r="141" customFormat="1" s="395">
      <c r="A141" s="398" t="inlineStr">
        <is>
          <t>Chỉ tiêu thu nhập</t>
        </is>
      </c>
      <c r="B141" s="141" t="n"/>
      <c r="C141" s="390" t="n"/>
      <c r="D141" s="390" t="n"/>
      <c r="E141" s="390" t="n"/>
      <c r="F141" s="142" t="n"/>
      <c r="G141" s="142" t="n"/>
      <c r="H141" s="392" t="n"/>
      <c r="I141" s="392" t="n"/>
      <c r="J141" s="393" t="n"/>
    </row>
    <row r="142" customFormat="1" s="395">
      <c r="A142" s="417" t="inlineStr">
        <is>
          <t>16. Lợi nhuận từ hoạt động kinh doanh</t>
        </is>
      </c>
      <c r="B142" s="414" t="inlineStr">
        <is>
          <t>Triệu VND</t>
        </is>
      </c>
      <c r="C142" s="390">
        <f>IF(TRIM('03. Dulieutaichinhlamsach_RG'!$G$2)="VND",'03. Dulieutaichinhlamsach_RG'!D123/10^6,'03. Dulieutaichinhlamsach_RG'!D123)</f>
        <v/>
      </c>
      <c r="D142" s="390">
        <f>IF('03. Dulieutaichinhlamsach_RG'!E123="","",IF(TRIM('03. Dulieutaichinhlamsach_RG'!$G$2)="VND",'03. Dulieutaichinhlamsach_RG'!E123/10^6,'03. Dulieutaichinhlamsach_RG'!E123))</f>
        <v/>
      </c>
      <c r="E142" s="390">
        <f>IF(TRIM('03. Dulieutaichinhlamsach_RG'!$G$2)="VND",'03. Dulieutaichinhlamsach_RG'!F123/10^6,'03. Dulieutaichinhlamsach_RG'!F123)</f>
        <v/>
      </c>
      <c r="F142" s="387">
        <f>E142-D142</f>
        <v/>
      </c>
      <c r="G142" s="142" t="n"/>
      <c r="H142" s="390">
        <f>IF(TRIM('03. Dulieutaichinhlamsach_RG'!$G$2)="VND",'03. Dulieutaichinhlamsach_RG'!G123/10^6,'03. Dulieutaichinhlamsach_RG'!G123)</f>
        <v/>
      </c>
      <c r="I142" s="390">
        <f>IF(TRIM('03. Dulieutaichinhlamsach_RG'!$G$2)="VND",'03. Dulieutaichinhlamsach_RG'!H123/10^6,'03. Dulieutaichinhlamsach_RG'!H123)</f>
        <v/>
      </c>
      <c r="J142" s="393" t="n"/>
    </row>
    <row r="143" customFormat="1" s="395">
      <c r="A143" s="417" t="inlineStr">
        <is>
          <t>17. Lợi nhuận gộp/Doanh thu thuần (lần)</t>
        </is>
      </c>
      <c r="B143" s="143" t="inlineStr">
        <is>
          <t>%</t>
        </is>
      </c>
      <c r="C143" s="397">
        <f>'03. Dulieutaichinhlamsach_RG'!D124</f>
        <v/>
      </c>
      <c r="D143" s="397">
        <f>'03. Dulieutaichinhlamsach_RG'!E124</f>
        <v/>
      </c>
      <c r="E143" s="397">
        <f>'03. Dulieutaichinhlamsach_RG'!F124</f>
        <v/>
      </c>
      <c r="F143" s="144">
        <f>E143-D143</f>
        <v/>
      </c>
      <c r="G143" s="142">
        <f>'03. Dulieutaichinhlamsach_RG'!P124</f>
        <v/>
      </c>
      <c r="H143" s="397">
        <f>'03. Dulieutaichinhlamsach_RG'!G124</f>
        <v/>
      </c>
      <c r="I143" s="397">
        <f>'03. Dulieutaichinhlamsach_RG'!H124</f>
        <v/>
      </c>
      <c r="J143" s="393" t="n"/>
    </row>
    <row r="144" customFormat="1" s="395">
      <c r="A144" s="396" t="inlineStr">
        <is>
          <t>18. Lợi nhuận từ hoạt động KD/Doanh thu thuần (lần)</t>
        </is>
      </c>
      <c r="B144" s="143" t="inlineStr">
        <is>
          <t>%</t>
        </is>
      </c>
      <c r="C144" s="397">
        <f>'03. Dulieutaichinhlamsach_RG'!D125</f>
        <v/>
      </c>
      <c r="D144" s="397">
        <f>'03. Dulieutaichinhlamsach_RG'!E125</f>
        <v/>
      </c>
      <c r="E144" s="397">
        <f>'03. Dulieutaichinhlamsach_RG'!F125</f>
        <v/>
      </c>
      <c r="F144" s="144">
        <f>E144-D144</f>
        <v/>
      </c>
      <c r="G144" s="142">
        <f>'03. Dulieutaichinhlamsach_RG'!P125</f>
        <v/>
      </c>
      <c r="H144" s="397">
        <f>'03. Dulieutaichinhlamsach_RG'!G125</f>
        <v/>
      </c>
      <c r="I144" s="397">
        <f>'03. Dulieutaichinhlamsach_RG'!H125</f>
        <v/>
      </c>
      <c r="J144" s="393" t="n"/>
    </row>
    <row r="145" customFormat="1" s="395">
      <c r="A145" s="738" t="inlineStr">
        <is>
          <t>19. Lợi nhuận sau thuế/Vốn CSH (lần)</t>
        </is>
      </c>
      <c r="B145" s="143" t="inlineStr">
        <is>
          <t>%</t>
        </is>
      </c>
      <c r="C145" s="397">
        <f>'03. Dulieutaichinhlamsach_RG'!D126</f>
        <v/>
      </c>
      <c r="D145" s="397">
        <f>'03. Dulieutaichinhlamsach_RG'!E126</f>
        <v/>
      </c>
      <c r="E145" s="397">
        <f>'03. Dulieutaichinhlamsach_RG'!F126</f>
        <v/>
      </c>
      <c r="F145" s="144">
        <f>E145-D145</f>
        <v/>
      </c>
      <c r="G145" s="142">
        <f>'03. Dulieutaichinhlamsach_RG'!P126</f>
        <v/>
      </c>
      <c r="H145" s="397">
        <f>'03. Dulieutaichinhlamsach_RG'!G126</f>
        <v/>
      </c>
      <c r="I145" s="397">
        <f>'03. Dulieutaichinhlamsach_RG'!H126</f>
        <v/>
      </c>
      <c r="J145" s="393" t="n"/>
    </row>
    <row r="146" customFormat="1" s="395">
      <c r="A146" s="396" t="inlineStr">
        <is>
          <t>20. Lợi nhuận sau thuế/Tổng tài sản bình quân (lần)</t>
        </is>
      </c>
      <c r="B146" s="143" t="inlineStr">
        <is>
          <t>%</t>
        </is>
      </c>
      <c r="C146" s="397">
        <f>'03. Dulieutaichinhlamsach_RG'!D127</f>
        <v/>
      </c>
      <c r="D146" s="397">
        <f>'03. Dulieutaichinhlamsach_RG'!E127</f>
        <v/>
      </c>
      <c r="E146" s="397">
        <f>'03. Dulieutaichinhlamsach_RG'!F127</f>
        <v/>
      </c>
      <c r="F146" s="144">
        <f>E146-D146</f>
        <v/>
      </c>
      <c r="G146" s="142">
        <f>'03. Dulieutaichinhlamsach_RG'!P127</f>
        <v/>
      </c>
      <c r="H146" s="397">
        <f>'03. Dulieutaichinhlamsach_RG'!G127</f>
        <v/>
      </c>
      <c r="I146" s="397">
        <f>'03. Dulieutaichinhlamsach_RG'!H127</f>
        <v/>
      </c>
      <c r="J146" s="393" t="n"/>
    </row>
    <row r="147" customFormat="1" s="395">
      <c r="A147" s="396" t="inlineStr">
        <is>
          <t>21. Lợi nhuận gộp/Tổng tài sản</t>
        </is>
      </c>
      <c r="B147" s="143" t="inlineStr">
        <is>
          <t>%</t>
        </is>
      </c>
      <c r="C147" s="397">
        <f>'03. Dulieutaichinhlamsach_RG'!D128</f>
        <v/>
      </c>
      <c r="D147" s="397">
        <f>'03. Dulieutaichinhlamsach_RG'!E128</f>
        <v/>
      </c>
      <c r="E147" s="397">
        <f>'03. Dulieutaichinhlamsach_RG'!F128</f>
        <v/>
      </c>
      <c r="F147" s="144">
        <f>E147-D147</f>
        <v/>
      </c>
      <c r="G147" s="142" t="n"/>
      <c r="H147" s="397">
        <f>'03. Dulieutaichinhlamsach_RG'!G128</f>
        <v/>
      </c>
      <c r="I147" s="397">
        <f>'03. Dulieutaichinhlamsach_RG'!H128</f>
        <v/>
      </c>
      <c r="J147" s="393" t="n"/>
    </row>
    <row r="148" customFormat="1" s="395">
      <c r="A148" s="396" t="inlineStr">
        <is>
          <t>22. EBIT/Chi phí lãi vay (lần)</t>
        </is>
      </c>
      <c r="B148" s="311" t="inlineStr">
        <is>
          <t>lần</t>
        </is>
      </c>
      <c r="C148" s="397">
        <f>'03. Dulieutaichinhlamsach_RG'!D129</f>
        <v/>
      </c>
      <c r="D148" s="397">
        <f>'03. Dulieutaichinhlamsach_RG'!E129</f>
        <v/>
      </c>
      <c r="E148" s="397">
        <f>'03. Dulieutaichinhlamsach_RG'!F129</f>
        <v/>
      </c>
      <c r="F148" s="312">
        <f>E148-D148</f>
        <v/>
      </c>
      <c r="G148" s="142">
        <f>'03. Dulieutaichinhlamsach_RG'!P129</f>
        <v/>
      </c>
      <c r="H148" s="397">
        <f>'03. Dulieutaichinhlamsach_RG'!G129</f>
        <v/>
      </c>
      <c r="I148" s="397">
        <f>'03. Dulieutaichinhlamsach_RG'!H129</f>
        <v/>
      </c>
      <c r="J148" s="393" t="n"/>
    </row>
    <row r="149" customFormat="1" s="395">
      <c r="A149" s="396" t="inlineStr">
        <is>
          <t>23. Doanh thu thuần/Nợ vay ngắn hạn</t>
        </is>
      </c>
      <c r="B149" s="311" t="inlineStr">
        <is>
          <t>lần</t>
        </is>
      </c>
      <c r="C149" s="397">
        <f>'03. Dulieutaichinhlamsach_RG'!D130</f>
        <v/>
      </c>
      <c r="D149" s="397">
        <f>'03. Dulieutaichinhlamsach_RG'!E130</f>
        <v/>
      </c>
      <c r="E149" s="397">
        <f>'03. Dulieutaichinhlamsach_RG'!F130</f>
        <v/>
      </c>
      <c r="F149" s="144">
        <f>E149-D149</f>
        <v/>
      </c>
      <c r="G149" s="142">
        <f>'03. Dulieutaichinhlamsach_RG'!P130</f>
        <v/>
      </c>
      <c r="H149" s="397">
        <f>'03. Dulieutaichinhlamsach_RG'!G130</f>
        <v/>
      </c>
      <c r="I149" s="397">
        <f>'03. Dulieutaichinhlamsach_RG'!H130</f>
        <v/>
      </c>
      <c r="J149" s="393" t="n"/>
    </row>
    <row r="150" customFormat="1" s="395">
      <c r="A150" s="396" t="inlineStr">
        <is>
          <t>24. Doanh thu thuần/Nợ phải trả</t>
        </is>
      </c>
      <c r="B150" s="311" t="inlineStr">
        <is>
          <t>lần</t>
        </is>
      </c>
      <c r="C150" s="397">
        <f>'03. Dulieutaichinhlamsach_RG'!D131</f>
        <v/>
      </c>
      <c r="D150" s="397">
        <f>'03. Dulieutaichinhlamsach_RG'!E131</f>
        <v/>
      </c>
      <c r="E150" s="397">
        <f>'03. Dulieutaichinhlamsach_RG'!F131</f>
        <v/>
      </c>
      <c r="F150" s="144">
        <f>E150-D150</f>
        <v/>
      </c>
      <c r="G150" s="142">
        <f>'03. Dulieutaichinhlamsach_RG'!P131</f>
        <v/>
      </c>
      <c r="H150" s="397">
        <f>'03. Dulieutaichinhlamsach_RG'!G131</f>
        <v/>
      </c>
      <c r="I150" s="397">
        <f>'03. Dulieutaichinhlamsach_RG'!H131</f>
        <v/>
      </c>
      <c r="J150" s="393" t="n"/>
    </row>
    <row r="151" customFormat="1" s="395">
      <c r="A151" s="740" t="inlineStr">
        <is>
          <t>25. Doanh thu thuần/Tổng tài sản</t>
        </is>
      </c>
      <c r="B151" s="741" t="inlineStr">
        <is>
          <t>lần</t>
        </is>
      </c>
      <c r="C151" s="739">
        <f>'03. Dulieutaichinhlamsach_RG'!D132</f>
        <v/>
      </c>
      <c r="D151" s="397">
        <f>'03. Dulieutaichinhlamsach_RG'!E132</f>
        <v/>
      </c>
      <c r="E151" s="397">
        <f>'03. Dulieutaichinhlamsach_RG'!F132</f>
        <v/>
      </c>
      <c r="F151" s="312">
        <f>E151-D151</f>
        <v/>
      </c>
      <c r="G151" s="142">
        <f>'03. Dulieutaichinhlamsach_RG'!P132</f>
        <v/>
      </c>
      <c r="H151" s="397">
        <f>'03. Dulieutaichinhlamsach_RG'!G132</f>
        <v/>
      </c>
      <c r="I151" s="397">
        <f>'03. Dulieutaichinhlamsach_RG'!H132</f>
        <v/>
      </c>
      <c r="J151" s="393" t="n"/>
    </row>
    <row r="152" customFormat="1" s="395">
      <c r="A152" s="742" t="inlineStr">
        <is>
          <t>Tỷ số lợi nhuận gộp trên tổng nợ</t>
        </is>
      </c>
      <c r="B152" s="741" t="n"/>
      <c r="C152" s="739">
        <f>'03. Dulieutaichinhlamsach_RG'!D133</f>
        <v/>
      </c>
      <c r="D152" s="397">
        <f>'03. Dulieutaichinhlamsach_RG'!E133</f>
        <v/>
      </c>
      <c r="E152" s="743">
        <f>'03. Dulieutaichinhlamsach_RG'!F133</f>
        <v/>
      </c>
      <c r="F152" s="744">
        <f>E152-D152</f>
        <v/>
      </c>
      <c r="G152" s="142" t="n"/>
      <c r="H152" s="739">
        <f>'03. Dulieutaichinhlamsach_RG'!G133</f>
        <v/>
      </c>
      <c r="I152" s="397">
        <f>'03. Dulieutaichinhlamsach_RG'!H133</f>
        <v/>
      </c>
      <c r="J152" s="393" t="n"/>
    </row>
    <row r="153" customFormat="1" s="395">
      <c r="A153" s="742" t="inlineStr">
        <is>
          <t>Lợi nhuận gộp/Chi phí lãi vay</t>
        </is>
      </c>
      <c r="B153" s="741" t="n"/>
      <c r="C153" s="739">
        <f>'03. Dulieutaichinhlamsach_RG'!D134</f>
        <v/>
      </c>
      <c r="D153" s="397">
        <f>'03. Dulieutaichinhlamsach_RG'!E134</f>
        <v/>
      </c>
      <c r="E153" s="743">
        <f>'03. Dulieutaichinhlamsach_RG'!F134</f>
        <v/>
      </c>
      <c r="F153" s="744">
        <f>E153-D153</f>
        <v/>
      </c>
      <c r="G153" s="142" t="n"/>
      <c r="H153" s="739">
        <f>'03. Dulieutaichinhlamsach_RG'!G134</f>
        <v/>
      </c>
      <c r="I153" s="397">
        <f>'03. Dulieutaichinhlamsach_RG'!H134</f>
        <v/>
      </c>
      <c r="J153" s="393" t="n"/>
    </row>
    <row r="154" customFormat="1" s="395">
      <c r="A154" s="742" t="inlineStr">
        <is>
          <t>Tỷ số lợi nhuận sau thuế trên tổng nợ</t>
        </is>
      </c>
      <c r="B154" s="741" t="n"/>
      <c r="C154" s="739">
        <f>'03. Dulieutaichinhlamsach_RG'!D135</f>
        <v/>
      </c>
      <c r="D154" s="397">
        <f>'03. Dulieutaichinhlamsach_RG'!E135</f>
        <v/>
      </c>
      <c r="E154" s="743">
        <f>'03. Dulieutaichinhlamsach_RG'!F135</f>
        <v/>
      </c>
      <c r="F154" s="744">
        <f>E154-D154</f>
        <v/>
      </c>
      <c r="G154" s="142" t="n"/>
      <c r="H154" s="739">
        <f>'03. Dulieutaichinhlamsach_RG'!G135</f>
        <v/>
      </c>
      <c r="I154" s="397">
        <f>'03. Dulieutaichinhlamsach_RG'!H135</f>
        <v/>
      </c>
      <c r="J154" s="393" t="n"/>
    </row>
    <row r="155" customFormat="1" s="395">
      <c r="A155" s="742" t="inlineStr">
        <is>
          <t>EBIT/Tổng nguồn vốn</t>
        </is>
      </c>
      <c r="B155" s="741" t="n"/>
      <c r="C155" s="739">
        <f>'03. Dulieutaichinhlamsach_RG'!D136</f>
        <v/>
      </c>
      <c r="D155" s="397">
        <f>'03. Dulieutaichinhlamsach_RG'!E136</f>
        <v/>
      </c>
      <c r="E155" s="743">
        <f>'03. Dulieutaichinhlamsach_RG'!F136</f>
        <v/>
      </c>
      <c r="F155" s="744">
        <f>E155-D155</f>
        <v/>
      </c>
      <c r="G155" s="142" t="n"/>
      <c r="H155" s="739">
        <f>'03. Dulieutaichinhlamsach_RG'!G136</f>
        <v/>
      </c>
      <c r="I155" s="397">
        <f>'03. Dulieutaichinhlamsach_RG'!H136</f>
        <v/>
      </c>
      <c r="J155" s="393" t="n"/>
    </row>
    <row r="156" ht="15.75" customFormat="1" customHeight="1" s="395" thickBot="1">
      <c r="A156" s="769" t="inlineStr">
        <is>
          <t>36. Tổng nợ vay/Vốn CSH</t>
        </is>
      </c>
      <c r="B156" s="403" t="inlineStr">
        <is>
          <t xml:space="preserve">lần </t>
        </is>
      </c>
      <c r="C156" s="401">
        <f>'03. Dulieutaichinhlamsach_RG'!D137</f>
        <v/>
      </c>
      <c r="D156" s="401">
        <f>'03. Dulieutaichinhlamsach_RG'!E137</f>
        <v/>
      </c>
      <c r="E156" s="401">
        <f>'03. Dulieutaichinhlamsach_RG'!F137</f>
        <v/>
      </c>
      <c r="F156" s="744">
        <f>E156-D156</f>
        <v/>
      </c>
      <c r="G156" s="142" t="n"/>
      <c r="H156" s="401">
        <f>'03. Dulieutaichinhlamsach_RG'!G137</f>
        <v/>
      </c>
      <c r="I156" s="401">
        <f>'03. Dulieutaichinhlamsach_RG'!H137</f>
        <v/>
      </c>
      <c r="J156" s="393" t="n"/>
    </row>
    <row r="157" ht="16.5" customHeight="1" s="782" thickBot="1" thickTop="1">
      <c r="A157" s="145" t="n"/>
      <c r="B157" s="146" t="n"/>
      <c r="C157" s="146" t="n"/>
      <c r="D157" s="146" t="n"/>
      <c r="E157" s="393" t="n"/>
      <c r="F157" s="393" t="n"/>
      <c r="G157" s="393" t="n"/>
      <c r="H157" s="393" t="n"/>
      <c r="I157" s="401" t="n"/>
      <c r="J157" s="393" t="n"/>
    </row>
    <row r="158" ht="15.75" customHeight="1" s="782" thickTop="1">
      <c r="A158" s="147" t="inlineStr">
        <is>
          <t>Khả năng đảm bảo vốn kinh doanh</t>
        </is>
      </c>
      <c r="B158" s="148">
        <f>C116</f>
        <v/>
      </c>
      <c r="C158" s="148">
        <f>D116</f>
        <v/>
      </c>
      <c r="D158" s="148">
        <f>E116</f>
        <v/>
      </c>
      <c r="E158" s="149">
        <f>H116</f>
        <v/>
      </c>
      <c r="F158" s="150">
        <f>I116</f>
        <v/>
      </c>
      <c r="G158" s="393" t="n"/>
      <c r="H158" s="393" t="n"/>
      <c r="I158" s="393" t="n"/>
      <c r="J158" s="393" t="n"/>
    </row>
    <row r="159">
      <c r="A159" s="151" t="inlineStr">
        <is>
          <t>26. Nguồn vốn dài hạn</t>
        </is>
      </c>
      <c r="B159" s="152">
        <f>B160+B161</f>
        <v/>
      </c>
      <c r="C159" s="152">
        <f>C160+C161</f>
        <v/>
      </c>
      <c r="D159" s="152">
        <f>D160+D161</f>
        <v/>
      </c>
      <c r="E159" s="152">
        <f>E160+E161</f>
        <v/>
      </c>
      <c r="F159" s="153">
        <f>F160+F161</f>
        <v/>
      </c>
      <c r="G159" s="393" t="n"/>
      <c r="H159" s="393" t="n"/>
      <c r="I159" s="393" t="n"/>
      <c r="J159" s="393" t="n"/>
    </row>
    <row r="160">
      <c r="A160" s="154" t="inlineStr">
        <is>
          <t>- Vốn CSH</t>
        </is>
      </c>
      <c r="B160" s="155">
        <f>B48</f>
        <v/>
      </c>
      <c r="C160" s="155">
        <f>C48</f>
        <v/>
      </c>
      <c r="D160" s="155">
        <f>D48</f>
        <v/>
      </c>
      <c r="E160" s="155">
        <f>G48</f>
        <v/>
      </c>
      <c r="F160" s="156">
        <f>I48</f>
        <v/>
      </c>
      <c r="G160" s="393" t="n"/>
      <c r="H160" s="745" t="n"/>
      <c r="I160" s="393" t="n"/>
      <c r="J160" s="838" t="n"/>
    </row>
    <row r="161">
      <c r="A161" s="154" t="inlineStr">
        <is>
          <t>- Vay dài hạn</t>
        </is>
      </c>
      <c r="B161" s="155" t="n">
        <v>0</v>
      </c>
      <c r="C161" s="155" t="n">
        <v>0</v>
      </c>
      <c r="D161" s="155" t="n">
        <v>0</v>
      </c>
      <c r="E161" s="155" t="n">
        <v>0</v>
      </c>
      <c r="F161" s="156" t="n">
        <v>0</v>
      </c>
      <c r="G161" s="393" t="n"/>
      <c r="H161" s="745" t="n"/>
      <c r="I161" s="393" t="n"/>
    </row>
    <row r="162">
      <c r="A162" s="157" t="inlineStr">
        <is>
          <t>27. Tài sản cố định và đầu tư tài chính dài hạn</t>
        </is>
      </c>
      <c r="B162" s="746" t="n">
        <v>0</v>
      </c>
      <c r="C162" s="746" t="n">
        <v>0</v>
      </c>
      <c r="D162" s="746" t="n">
        <v>0</v>
      </c>
      <c r="E162" s="746" t="n">
        <v>0</v>
      </c>
      <c r="F162" s="747" t="n">
        <v>0</v>
      </c>
      <c r="G162" s="393" t="n"/>
      <c r="H162" s="393" t="n"/>
      <c r="I162" s="393" t="n"/>
    </row>
    <row r="163" ht="15.75" customHeight="1" s="782" thickBot="1">
      <c r="A163" s="384" t="inlineStr">
        <is>
          <t>28. Vốn Lưu động thường xuyên</t>
        </is>
      </c>
      <c r="B163" s="160">
        <f>B159-B162</f>
        <v/>
      </c>
      <c r="C163" s="160">
        <f>C159-C162</f>
        <v/>
      </c>
      <c r="D163" s="160">
        <f>D159-D162</f>
        <v/>
      </c>
      <c r="E163" s="160">
        <f>E159-E162</f>
        <v/>
      </c>
      <c r="F163" s="161">
        <f>F159-F162</f>
        <v/>
      </c>
      <c r="G163" s="393" t="n"/>
      <c r="H163" s="393" t="n"/>
      <c r="I163" s="393" t="n"/>
      <c r="J163" s="393" t="n"/>
    </row>
    <row r="164" ht="15.75" customHeight="1" s="782" thickTop="1">
      <c r="A164" s="162" t="n"/>
      <c r="B164" s="163" t="n"/>
      <c r="C164" s="163" t="n"/>
      <c r="D164" s="164" t="n"/>
      <c r="E164" s="393" t="n"/>
      <c r="F164" s="393" t="n"/>
      <c r="G164" s="393" t="n"/>
      <c r="H164" s="393" t="n"/>
      <c r="I164" s="393" t="n"/>
      <c r="J164" s="393" t="n"/>
    </row>
    <row r="165">
      <c r="A165" s="839" t="inlineStr">
        <is>
          <t>DÒNG TIỀN DOANH NGHIỆP THEO PHƯƠNG PHÁP TRỰC TIẾP</t>
        </is>
      </c>
      <c r="H165" s="393" t="n"/>
      <c r="I165" s="393" t="n"/>
      <c r="J165" s="393" t="n"/>
    </row>
    <row r="166" ht="15.75" customHeight="1" s="782" thickBot="1">
      <c r="A166" s="393" t="n"/>
      <c r="B166" s="165" t="n"/>
      <c r="C166" s="393" t="n"/>
      <c r="D166" s="393" t="n"/>
      <c r="E166" s="393" t="n"/>
      <c r="F166" s="393" t="n"/>
      <c r="G166" s="393" t="n"/>
      <c r="H166" s="393" t="n"/>
      <c r="I166" s="393" t="n"/>
      <c r="J166" s="393" t="n"/>
    </row>
    <row r="167" ht="15.75" customHeight="1" s="782" thickTop="1">
      <c r="A167" s="166" t="inlineStr">
        <is>
          <t>Dòng tiền</t>
        </is>
      </c>
      <c r="B167" s="167" t="n"/>
      <c r="C167" s="168">
        <f>C158</f>
        <v/>
      </c>
      <c r="D167" s="168">
        <f>D158</f>
        <v/>
      </c>
      <c r="E167" s="169">
        <f>E158</f>
        <v/>
      </c>
      <c r="F167" s="170">
        <f>F158</f>
        <v/>
      </c>
      <c r="G167" s="370" t="n"/>
      <c r="H167" s="917" t="n"/>
      <c r="I167" s="393" t="n"/>
      <c r="J167" s="393" t="n"/>
    </row>
    <row r="168">
      <c r="A168" s="171" t="inlineStr">
        <is>
          <t>Doanh thu</t>
        </is>
      </c>
      <c r="B168" s="172" t="inlineStr">
        <is>
          <t>(+)</t>
        </is>
      </c>
      <c r="C168" s="173">
        <f>C57</f>
        <v/>
      </c>
      <c r="D168" s="173">
        <f>D57</f>
        <v/>
      </c>
      <c r="E168" s="173">
        <f>G57</f>
        <v/>
      </c>
      <c r="F168" s="174">
        <f>I57</f>
        <v/>
      </c>
      <c r="G168" s="372" t="n"/>
      <c r="H168" s="918" t="n"/>
      <c r="I168" s="393" t="n"/>
      <c r="J168" s="393" t="n"/>
    </row>
    <row r="169">
      <c r="A169" s="175" t="inlineStr">
        <is>
          <t>Các khoản giảm trừ không tính thuế</t>
        </is>
      </c>
      <c r="B169" s="176" t="inlineStr">
        <is>
          <t>(-)</t>
        </is>
      </c>
      <c r="C169" s="177">
        <f>-C58+C62</f>
        <v/>
      </c>
      <c r="D169" s="177">
        <f>-D58+D62</f>
        <v/>
      </c>
      <c r="E169" s="177">
        <f>-G58+G62</f>
        <v/>
      </c>
      <c r="F169" s="178">
        <f>-I58+I62</f>
        <v/>
      </c>
      <c r="G169" s="372" t="n"/>
      <c r="H169" s="918" t="n"/>
      <c r="I169" s="393" t="n"/>
      <c r="J169" s="393" t="n"/>
    </row>
    <row r="170">
      <c r="A170" s="919" t="inlineStr">
        <is>
          <t>Biến đổi Các khoản Phải thu từ người mua</t>
        </is>
      </c>
      <c r="B170" s="176" t="inlineStr">
        <is>
          <t>(-)</t>
        </is>
      </c>
      <c r="C170" s="177">
        <f>-(C17-B17)</f>
        <v/>
      </c>
      <c r="D170" s="177">
        <f>-(D17-C17)</f>
        <v/>
      </c>
      <c r="E170" s="177">
        <f>-(G17-D17)</f>
        <v/>
      </c>
      <c r="F170" s="178">
        <f>-(I17-D17)</f>
        <v/>
      </c>
      <c r="G170" s="374" t="n"/>
      <c r="H170" s="918" t="n"/>
      <c r="I170" s="393" t="n"/>
      <c r="J170" s="393" t="n"/>
    </row>
    <row r="171">
      <c r="A171" s="180" t="inlineStr">
        <is>
          <t>Dòng tiền thu từ bán hàng</t>
        </is>
      </c>
      <c r="B171" s="181" t="inlineStr">
        <is>
          <t>Sum(100:102)</t>
        </is>
      </c>
      <c r="C171" s="182">
        <f>SUM(C168:C170)</f>
        <v/>
      </c>
      <c r="D171" s="182">
        <f>SUM(D168:D170)</f>
        <v/>
      </c>
      <c r="E171" s="182">
        <f>SUM(E168:E170)</f>
        <v/>
      </c>
      <c r="F171" s="192">
        <f>SUM(F168:F170)</f>
        <v/>
      </c>
      <c r="G171" s="374" t="n"/>
      <c r="H171" s="918" t="n"/>
      <c r="I171" s="393" t="n"/>
      <c r="J171" s="393" t="n"/>
    </row>
    <row r="172">
      <c r="A172" s="175" t="inlineStr">
        <is>
          <t>Giá vốn hàng bán không tính khấu hao</t>
        </is>
      </c>
      <c r="B172" s="176" t="inlineStr">
        <is>
          <t>(-)</t>
        </is>
      </c>
      <c r="C172" s="177">
        <f>-(C64-C65)</f>
        <v/>
      </c>
      <c r="D172" s="177">
        <f>-(D64-D65)</f>
        <v/>
      </c>
      <c r="E172" s="177">
        <f>-(G64-G65)</f>
        <v/>
      </c>
      <c r="F172" s="178">
        <f>-(I64-I65)</f>
        <v/>
      </c>
      <c r="G172" s="374" t="n"/>
      <c r="H172" s="918" t="n"/>
      <c r="I172" s="393" t="n"/>
      <c r="J172" s="393" t="n"/>
    </row>
    <row r="173">
      <c r="A173" s="175" t="inlineStr">
        <is>
          <t>Biến đổi Hàng tồn kho</t>
        </is>
      </c>
      <c r="B173" s="176" t="inlineStr">
        <is>
          <t xml:space="preserve"> (-)</t>
        </is>
      </c>
      <c r="C173" s="183">
        <f>-(C23-B23)</f>
        <v/>
      </c>
      <c r="D173" s="183">
        <f>-(D23-C23)</f>
        <v/>
      </c>
      <c r="E173" s="183">
        <f>-(G29-D29)</f>
        <v/>
      </c>
      <c r="F173" s="184">
        <f>-(I29-D29)</f>
        <v/>
      </c>
      <c r="G173" s="374" t="n"/>
      <c r="H173" s="918" t="n"/>
      <c r="I173" s="393" t="n"/>
      <c r="J173" s="393" t="n"/>
    </row>
    <row r="174">
      <c r="A174" s="175" t="inlineStr">
        <is>
          <t>Biến đổi Các khoản phải trả người bán</t>
        </is>
      </c>
      <c r="B174" s="176" t="inlineStr">
        <is>
          <t>(+)</t>
        </is>
      </c>
      <c r="C174" s="177">
        <f>(C38-B38)</f>
        <v/>
      </c>
      <c r="D174" s="177">
        <f>(D38-C38)</f>
        <v/>
      </c>
      <c r="E174" s="177">
        <f>(G38-D38)</f>
        <v/>
      </c>
      <c r="F174" s="177">
        <f>(I38-D38)</f>
        <v/>
      </c>
      <c r="G174" s="374" t="n"/>
      <c r="H174" s="918" t="n"/>
      <c r="I174" s="393" t="n"/>
      <c r="J174" s="393" t="n"/>
    </row>
    <row r="175">
      <c r="A175" s="185" t="inlineStr">
        <is>
          <t>Chi phí sản xuất bằng Dòng tiền</t>
        </is>
      </c>
      <c r="B175" s="186" t="inlineStr">
        <is>
          <t>Sum(111,112,113)</t>
        </is>
      </c>
      <c r="C175" s="182">
        <f>SUM(C172:C174)</f>
        <v/>
      </c>
      <c r="D175" s="182">
        <f>SUM(D172:D174)</f>
        <v/>
      </c>
      <c r="E175" s="182">
        <f>SUM(E172:E174)</f>
        <v/>
      </c>
      <c r="F175" s="192">
        <f>SUM(F172:F174)</f>
        <v/>
      </c>
      <c r="G175" s="374" t="n"/>
      <c r="H175" s="918" t="n"/>
      <c r="I175" s="393" t="n"/>
      <c r="J175" s="393" t="n"/>
    </row>
    <row r="176">
      <c r="A176" s="187" t="inlineStr">
        <is>
          <t>Dòng tiền Lợi nhuận gộp</t>
        </is>
      </c>
      <c r="B176" s="188" t="inlineStr">
        <is>
          <t>Sum(110,120)</t>
        </is>
      </c>
      <c r="C176" s="189">
        <f>SUM(C171,C175)</f>
        <v/>
      </c>
      <c r="D176" s="189">
        <f>SUM(D171,D175)</f>
        <v/>
      </c>
      <c r="E176" s="189">
        <f>SUM(E171,E175)</f>
        <v/>
      </c>
      <c r="F176" s="190">
        <f>SUM(F171,F175)</f>
        <v/>
      </c>
      <c r="G176" s="374" t="n"/>
      <c r="H176" s="918" t="n"/>
      <c r="I176" s="393" t="n"/>
      <c r="J176" s="393" t="n"/>
    </row>
    <row r="177">
      <c r="A177" s="175" t="inlineStr">
        <is>
          <t>Chi phí bán hàng và quản lý không tính Khấu hao</t>
        </is>
      </c>
      <c r="B177" s="176" t="inlineStr">
        <is>
          <t>(-)</t>
        </is>
      </c>
      <c r="C177" s="177">
        <f>-(C70-0)</f>
        <v/>
      </c>
      <c r="D177" s="177">
        <f>-(D70-0)</f>
        <v/>
      </c>
      <c r="E177" s="177">
        <f>-(G70-0)</f>
        <v/>
      </c>
      <c r="F177" s="177">
        <f>-(I70-0)</f>
        <v/>
      </c>
      <c r="G177" s="374" t="n"/>
      <c r="H177" s="918" t="n"/>
      <c r="I177" s="393" t="n"/>
      <c r="J177" s="393" t="n"/>
    </row>
    <row r="178">
      <c r="A178" s="191" t="inlineStr">
        <is>
          <t>Biến đổi Các khoản trả trước và ký quỹ</t>
        </is>
      </c>
      <c r="B178" s="176" t="inlineStr">
        <is>
          <t>(-)</t>
        </is>
      </c>
      <c r="C178" s="177">
        <f>-(C18-B18)</f>
        <v/>
      </c>
      <c r="D178" s="177">
        <f>-(D18-C18)</f>
        <v/>
      </c>
      <c r="E178" s="177">
        <f>-(G18-D18)</f>
        <v/>
      </c>
      <c r="F178" s="177">
        <f>-(I18-D18)</f>
        <v/>
      </c>
      <c r="G178" s="374" t="n"/>
      <c r="H178" s="918" t="n"/>
      <c r="I178" s="393" t="n"/>
      <c r="J178" s="393" t="n"/>
    </row>
    <row r="179">
      <c r="A179" s="175" t="inlineStr">
        <is>
          <t>Biến đổi Người mua trả tiền trước</t>
        </is>
      </c>
      <c r="B179" s="176" t="inlineStr">
        <is>
          <t>(+)</t>
        </is>
      </c>
      <c r="C179" s="177">
        <f>C39-B39</f>
        <v/>
      </c>
      <c r="D179" s="177">
        <f>D39-C39</f>
        <v/>
      </c>
      <c r="E179" s="177">
        <f>G39-D39</f>
        <v/>
      </c>
      <c r="F179" s="177">
        <f>I39-D39</f>
        <v/>
      </c>
      <c r="G179" s="374" t="n"/>
      <c r="H179" s="918" t="n"/>
      <c r="I179" s="393" t="n"/>
      <c r="J179" s="393" t="n"/>
    </row>
    <row r="180">
      <c r="A180" s="180" t="inlineStr">
        <is>
          <t>Dòng tiền Chi phí hoạt động</t>
        </is>
      </c>
      <c r="B180" s="186" t="inlineStr">
        <is>
          <t>Sum(131,132,133)</t>
        </is>
      </c>
      <c r="C180" s="182">
        <f>SUM(C177:C179)</f>
        <v/>
      </c>
      <c r="D180" s="182">
        <f>SUM(D177:D179)</f>
        <v/>
      </c>
      <c r="E180" s="182">
        <f>SUM(E177:E179)</f>
        <v/>
      </c>
      <c r="F180" s="192">
        <f>SUM(F177:F179)</f>
        <v/>
      </c>
      <c r="G180" s="374" t="n"/>
      <c r="H180" s="918" t="n"/>
      <c r="I180" s="393" t="n"/>
      <c r="J180" s="393" t="n"/>
    </row>
    <row r="181">
      <c r="A181" s="187" t="inlineStr">
        <is>
          <t>Dòng tiền thuần từ hoạt động</t>
        </is>
      </c>
      <c r="B181" s="188" t="inlineStr">
        <is>
          <t>Sum(130,140)</t>
        </is>
      </c>
      <c r="C181" s="189">
        <f>SUM(C176,C180)</f>
        <v/>
      </c>
      <c r="D181" s="189">
        <f>SUM(D176,D180)</f>
        <v/>
      </c>
      <c r="E181" s="189">
        <f>SUM(E176,E180)</f>
        <v/>
      </c>
      <c r="F181" s="190">
        <f>SUM(F176,F180)</f>
        <v/>
      </c>
      <c r="G181" s="375" t="n"/>
      <c r="H181" s="918" t="n"/>
      <c r="I181" s="393" t="n"/>
      <c r="J181" s="393" t="n"/>
    </row>
    <row r="182">
      <c r="A182" s="175" t="inlineStr">
        <is>
          <t>Thu nhập từ hoạt động tài chính</t>
        </is>
      </c>
      <c r="B182" s="176" t="inlineStr">
        <is>
          <t>(+)</t>
        </is>
      </c>
      <c r="C182" s="177">
        <f>C67</f>
        <v/>
      </c>
      <c r="D182" s="177">
        <f>D67</f>
        <v/>
      </c>
      <c r="E182" s="177">
        <f>G67</f>
        <v/>
      </c>
      <c r="F182" s="178">
        <f>I67</f>
        <v/>
      </c>
      <c r="G182" s="374" t="n"/>
      <c r="H182" s="918" t="n"/>
      <c r="I182" s="393" t="n"/>
      <c r="J182" s="393" t="n"/>
    </row>
    <row r="183">
      <c r="A183" s="175" t="inlineStr">
        <is>
          <t>Thu nhập từ hoạt động khác</t>
        </is>
      </c>
      <c r="B183" s="176" t="inlineStr">
        <is>
          <t>(+)</t>
        </is>
      </c>
      <c r="C183" s="177">
        <f>C74</f>
        <v/>
      </c>
      <c r="D183" s="177">
        <f>D74</f>
        <v/>
      </c>
      <c r="E183" s="177">
        <f>G74</f>
        <v/>
      </c>
      <c r="F183" s="178">
        <f>I74</f>
        <v/>
      </c>
      <c r="G183" s="374" t="n"/>
      <c r="H183" s="918" t="n"/>
      <c r="I183" s="393" t="n"/>
      <c r="J183" s="393" t="n"/>
    </row>
    <row r="184" customFormat="1" s="753">
      <c r="A184" s="758" t="inlineStr">
        <is>
          <t>Biến đổi Các khoản phải thu khác</t>
        </is>
      </c>
      <c r="B184" s="755" t="inlineStr">
        <is>
          <t>(-)</t>
        </is>
      </c>
      <c r="C184" s="748" t="n"/>
      <c r="D184" s="748" t="n"/>
      <c r="E184" s="748" t="n"/>
      <c r="F184" s="749" t="n"/>
      <c r="G184" s="750" t="n"/>
      <c r="H184" s="920" t="n"/>
      <c r="I184" s="752" t="n"/>
      <c r="J184" s="752" t="n"/>
    </row>
    <row r="185" customFormat="1" s="753">
      <c r="A185" s="758" t="inlineStr">
        <is>
          <t>Biến đổi Tài sản có ngắn hạn khác</t>
        </is>
      </c>
      <c r="B185" s="755" t="inlineStr">
        <is>
          <t>(-)</t>
        </is>
      </c>
      <c r="C185" s="748" t="n"/>
      <c r="D185" s="748" t="n"/>
      <c r="E185" s="748" t="n"/>
      <c r="F185" s="749" t="n"/>
      <c r="G185" s="750" t="n"/>
      <c r="H185" s="920" t="n"/>
      <c r="I185" s="752" t="n"/>
      <c r="J185" s="752" t="n"/>
    </row>
    <row r="186" customFormat="1" s="753">
      <c r="A186" s="758" t="inlineStr">
        <is>
          <t>Biến đổi Các khoản phải trả khác</t>
        </is>
      </c>
      <c r="B186" s="755" t="inlineStr">
        <is>
          <t>(+)</t>
        </is>
      </c>
      <c r="C186" s="748" t="n"/>
      <c r="D186" s="748" t="n"/>
      <c r="E186" s="748" t="n"/>
      <c r="F186" s="749" t="n"/>
      <c r="G186" s="750" t="n"/>
      <c r="H186" s="920" t="n"/>
      <c r="I186" s="752" t="n"/>
      <c r="J186" s="752" t="n"/>
    </row>
    <row r="187" customFormat="1" s="753">
      <c r="A187" s="758" t="inlineStr">
        <is>
          <t>Biến đổi Tài sản nợ ngắn hạn khác</t>
        </is>
      </c>
      <c r="B187" s="755" t="inlineStr">
        <is>
          <t>(+)</t>
        </is>
      </c>
      <c r="C187" s="748" t="n"/>
      <c r="D187" s="748" t="n"/>
      <c r="E187" s="748" t="n"/>
      <c r="F187" s="749" t="n"/>
      <c r="G187" s="750" t="n"/>
      <c r="H187" s="920" t="n"/>
      <c r="I187" s="752" t="n"/>
      <c r="J187" s="752" t="n"/>
    </row>
    <row r="188" customFormat="1" s="753">
      <c r="A188" s="758" t="inlineStr">
        <is>
          <t>Biến đổi Tài sản có  khác</t>
        </is>
      </c>
      <c r="B188" s="755" t="inlineStr">
        <is>
          <t>(-)</t>
        </is>
      </c>
      <c r="C188" s="748" t="n"/>
      <c r="D188" s="748" t="n"/>
      <c r="E188" s="748" t="n"/>
      <c r="F188" s="749" t="n"/>
      <c r="G188" s="750" t="n"/>
      <c r="H188" s="920" t="n"/>
      <c r="I188" s="752" t="n"/>
      <c r="J188" s="752" t="n"/>
    </row>
    <row r="189" customFormat="1" s="753">
      <c r="A189" s="758" t="inlineStr">
        <is>
          <t>Biến đổi Tài sản nợ khác</t>
        </is>
      </c>
      <c r="B189" s="755" t="inlineStr">
        <is>
          <t>(+)</t>
        </is>
      </c>
      <c r="C189" s="748" t="n"/>
      <c r="D189" s="748" t="n"/>
      <c r="E189" s="748" t="n"/>
      <c r="F189" s="749" t="n"/>
      <c r="G189" s="750" t="n"/>
      <c r="H189" s="920" t="n"/>
      <c r="I189" s="752" t="n"/>
      <c r="J189" s="752" t="n"/>
    </row>
    <row r="190">
      <c r="A190" s="193" t="inlineStr">
        <is>
          <t>Biến đổi từ các hoạt động bất thường</t>
        </is>
      </c>
      <c r="B190" s="194" t="inlineStr">
        <is>
          <t>Sum(151:158)</t>
        </is>
      </c>
      <c r="C190" s="195">
        <f>SUM(C182:C189)</f>
        <v/>
      </c>
      <c r="D190" s="195">
        <f>SUM(D182:D189)</f>
        <v/>
      </c>
      <c r="E190" s="195">
        <f>SUM(E182:E189)</f>
        <v/>
      </c>
      <c r="F190" s="196">
        <f>SUM(F182:F189)</f>
        <v/>
      </c>
      <c r="G190" s="375" t="n"/>
      <c r="H190" s="918" t="n"/>
      <c r="I190" s="393" t="n"/>
      <c r="J190" s="393" t="n"/>
    </row>
    <row r="191">
      <c r="A191" s="175" t="inlineStr">
        <is>
          <t>Thuế phải trả năm nay</t>
        </is>
      </c>
      <c r="B191" s="176" t="inlineStr">
        <is>
          <t>(-)</t>
        </is>
      </c>
      <c r="C191" s="177">
        <f>-(C76-C62)</f>
        <v/>
      </c>
      <c r="D191" s="177">
        <f>-(D76-D62)</f>
        <v/>
      </c>
      <c r="E191" s="177">
        <f>-(G76-G62)</f>
        <v/>
      </c>
      <c r="F191" s="177">
        <f>-(I76-I62)</f>
        <v/>
      </c>
      <c r="G191" s="374" t="n"/>
      <c r="H191" s="918" t="n"/>
      <c r="I191" s="393" t="n"/>
      <c r="J191" s="393" t="n"/>
    </row>
    <row r="192">
      <c r="A192" s="175" t="inlineStr">
        <is>
          <t>Biến đổi thuế hoàn lại phải thu</t>
        </is>
      </c>
      <c r="B192" s="176" t="inlineStr">
        <is>
          <t>(-)</t>
        </is>
      </c>
      <c r="C192" s="177">
        <f>-(C34-B34)</f>
        <v/>
      </c>
      <c r="D192" s="177">
        <f>-(D34-C34)</f>
        <v/>
      </c>
      <c r="E192" s="177">
        <f>-(G34-G34)</f>
        <v/>
      </c>
      <c r="F192" s="177">
        <f>-(I34-I34)</f>
        <v/>
      </c>
      <c r="G192" s="374" t="n"/>
      <c r="H192" s="918" t="n"/>
      <c r="I192" s="393" t="n"/>
      <c r="J192" s="393" t="n"/>
    </row>
    <row r="193">
      <c r="A193" s="754" t="inlineStr">
        <is>
          <t>Biến đổi thuế hoàn lại Ngân sách nợ</t>
        </is>
      </c>
      <c r="B193" s="755" t="inlineStr">
        <is>
          <t>(-)</t>
        </is>
      </c>
      <c r="C193" s="756" t="n"/>
      <c r="D193" s="756" t="n"/>
      <c r="E193" s="756" t="n"/>
      <c r="F193" s="757" t="n"/>
      <c r="G193" s="374" t="n"/>
      <c r="H193" s="918" t="n"/>
      <c r="I193" s="393" t="n"/>
      <c r="J193" s="393" t="n"/>
    </row>
    <row r="194">
      <c r="A194" s="175" t="inlineStr">
        <is>
          <t>Biến đổi thuế còn phải nộp ngân sách</t>
        </is>
      </c>
      <c r="B194" s="176" t="inlineStr">
        <is>
          <t>(+)</t>
        </is>
      </c>
      <c r="C194" s="177">
        <f>C40-B40</f>
        <v/>
      </c>
      <c r="D194" s="177">
        <f>D40-C40</f>
        <v/>
      </c>
      <c r="E194" s="177">
        <f>G40-D40</f>
        <v/>
      </c>
      <c r="F194" s="177">
        <f>I40-D40</f>
        <v/>
      </c>
      <c r="G194" s="374" t="n"/>
      <c r="H194" s="918" t="n"/>
      <c r="I194" s="393" t="n"/>
      <c r="J194" s="393" t="n"/>
    </row>
    <row r="195">
      <c r="A195" s="175" t="inlineStr">
        <is>
          <t>Biến đổi thuế nợ ngân sách phải trả</t>
        </is>
      </c>
      <c r="B195" s="176" t="inlineStr">
        <is>
          <t>(+)</t>
        </is>
      </c>
      <c r="C195" s="177" t="n"/>
      <c r="D195" s="177" t="n"/>
      <c r="E195" s="177" t="n"/>
      <c r="F195" s="178" t="n"/>
      <c r="G195" s="374" t="n"/>
      <c r="H195" s="918" t="n"/>
      <c r="I195" s="393" t="n"/>
      <c r="J195" s="393" t="n"/>
    </row>
    <row r="196">
      <c r="A196" s="185" t="inlineStr">
        <is>
          <t>Dòng tiền thuế đã nộp trong kỳ</t>
        </is>
      </c>
      <c r="B196" s="181" t="inlineStr">
        <is>
          <t>Sum(161:165)</t>
        </is>
      </c>
      <c r="C196" s="182">
        <f>SUM(C191:C195)</f>
        <v/>
      </c>
      <c r="D196" s="182">
        <f>SUM(D191:D195)</f>
        <v/>
      </c>
      <c r="E196" s="182">
        <f>SUM(E191:E195)</f>
        <v/>
      </c>
      <c r="F196" s="192">
        <f>SUM(F191:F195)</f>
        <v/>
      </c>
      <c r="G196" s="374" t="n"/>
      <c r="H196" s="918" t="n"/>
      <c r="I196" s="393" t="n"/>
      <c r="J196" s="393" t="n"/>
    </row>
    <row r="197">
      <c r="A197" s="198" t="inlineStr">
        <is>
          <t>Dòng tiền thuần sau HĐKD</t>
        </is>
      </c>
      <c r="B197" s="199" t="inlineStr">
        <is>
          <t>Sum(150,160,170)</t>
        </is>
      </c>
      <c r="C197" s="189">
        <f>SUM(C181,C190,C196)</f>
        <v/>
      </c>
      <c r="D197" s="189">
        <f>SUM(D181,D190,D196)</f>
        <v/>
      </c>
      <c r="E197" s="189">
        <f>SUM(E181,E190,E196)</f>
        <v/>
      </c>
      <c r="F197" s="190">
        <f>SUM(F181,F190,F196)</f>
        <v/>
      </c>
      <c r="G197" s="376" t="n"/>
      <c r="H197" s="918" t="n"/>
      <c r="I197" s="393" t="n"/>
      <c r="J197" s="393" t="n"/>
    </row>
    <row r="198">
      <c r="A198" s="175" t="inlineStr">
        <is>
          <t>Dòng tiền chi phí trả lãi vay</t>
        </is>
      </c>
      <c r="B198" s="176" t="inlineStr">
        <is>
          <t>(-)</t>
        </is>
      </c>
      <c r="C198" s="177">
        <f>-C69</f>
        <v/>
      </c>
      <c r="D198" s="177">
        <f>-D69</f>
        <v/>
      </c>
      <c r="E198" s="177">
        <f>-G69</f>
        <v/>
      </c>
      <c r="F198" s="178">
        <f>-I69</f>
        <v/>
      </c>
      <c r="G198" s="374" t="n"/>
      <c r="H198" s="918" t="n"/>
      <c r="I198" s="393" t="n"/>
      <c r="J198" s="393" t="n"/>
    </row>
    <row r="199">
      <c r="A199" s="175" t="inlineStr">
        <is>
          <t>Chi phí tài chính khác</t>
        </is>
      </c>
      <c r="B199" s="176" t="inlineStr">
        <is>
          <t>(-)</t>
        </is>
      </c>
      <c r="C199" s="177">
        <f>-(C68-C69)</f>
        <v/>
      </c>
      <c r="D199" s="177">
        <f>-(D68-D69)</f>
        <v/>
      </c>
      <c r="E199" s="177">
        <f>-(G68-G69)</f>
        <v/>
      </c>
      <c r="F199" s="178">
        <f>-(I68-I69)</f>
        <v/>
      </c>
      <c r="G199" s="374" t="n"/>
      <c r="H199" s="918" t="n"/>
      <c r="I199" s="393" t="n"/>
      <c r="J199" s="393" t="n"/>
    </row>
    <row r="200">
      <c r="A200" s="175" t="inlineStr">
        <is>
          <t xml:space="preserve"> Lợi tức phải trả/ nộp cấp trên hoặc trích quỹ</t>
        </is>
      </c>
      <c r="B200" s="176" t="inlineStr">
        <is>
          <t>(-)</t>
        </is>
      </c>
      <c r="C200" s="200">
        <f>IF(C77="","",(C55-B55)-C77)</f>
        <v/>
      </c>
      <c r="D200" s="200">
        <f>(D55-C55)-D77</f>
        <v/>
      </c>
      <c r="E200" s="200">
        <f>(G55-D55)-G77</f>
        <v/>
      </c>
      <c r="F200" s="200">
        <f>(I55-D55)-D77</f>
        <v/>
      </c>
      <c r="G200" s="374" t="n"/>
      <c r="H200" s="918" t="n"/>
      <c r="I200" s="393" t="n"/>
      <c r="J200" s="393" t="n"/>
    </row>
    <row r="201">
      <c r="A201" s="185" t="inlineStr">
        <is>
          <t>Dòng tiền chi phí trong hoạt động tài chính</t>
        </is>
      </c>
      <c r="B201" s="181" t="inlineStr">
        <is>
          <t>Sum(181,182)</t>
        </is>
      </c>
      <c r="C201" s="182">
        <f>IF(C200="","",SUM(C198:C200))</f>
        <v/>
      </c>
      <c r="D201" s="182">
        <f>SUM(D198:D200)</f>
        <v/>
      </c>
      <c r="E201" s="182">
        <f>SUM(E198:E200)</f>
        <v/>
      </c>
      <c r="F201" s="192">
        <f>SUM(F198:F200)</f>
        <v/>
      </c>
      <c r="G201" s="375" t="n"/>
      <c r="H201" s="921" t="n"/>
      <c r="I201" s="393" t="n"/>
      <c r="J201" s="393" t="n"/>
    </row>
    <row r="202">
      <c r="A202" s="198" t="inlineStr">
        <is>
          <t>Dòng tiền lợi nhuận ròng</t>
        </is>
      </c>
      <c r="B202" s="199" t="inlineStr">
        <is>
          <t>Sum(180,190)</t>
        </is>
      </c>
      <c r="C202" s="189">
        <f>SUM(C197,C201)</f>
        <v/>
      </c>
      <c r="D202" s="189">
        <f>SUM(D197,D201)</f>
        <v/>
      </c>
      <c r="E202" s="189">
        <f>SUM(E197,E201)</f>
        <v/>
      </c>
      <c r="F202" s="190">
        <f>SUM(F197,F201)</f>
        <v/>
      </c>
      <c r="G202" s="378" t="n"/>
      <c r="H202" s="918" t="n"/>
      <c r="I202" s="368" t="n"/>
      <c r="J202" s="368" t="n"/>
    </row>
    <row r="203">
      <c r="A203" s="175" t="inlineStr">
        <is>
          <t>Vay dài hạn đến hạn phải trả</t>
        </is>
      </c>
      <c r="B203" s="176" t="inlineStr">
        <is>
          <t>(-)</t>
        </is>
      </c>
      <c r="C203" s="202" t="n"/>
      <c r="D203" s="202" t="n"/>
      <c r="E203" s="202" t="n"/>
      <c r="F203" s="203" t="n"/>
      <c r="G203" s="374" t="n"/>
      <c r="H203" s="918" t="n"/>
      <c r="I203" s="393" t="n"/>
      <c r="J203" s="393" t="n"/>
    </row>
    <row r="204">
      <c r="A204" s="191" t="inlineStr">
        <is>
          <t>Thuê mua tài chính đến hạn phải trả</t>
        </is>
      </c>
      <c r="B204" s="176" t="inlineStr">
        <is>
          <t>(-)</t>
        </is>
      </c>
      <c r="C204" s="177" t="n"/>
      <c r="D204" s="177" t="n"/>
      <c r="E204" s="177" t="n"/>
      <c r="F204" s="178" t="n"/>
      <c r="G204" s="374" t="n"/>
      <c r="H204" s="918" t="n"/>
      <c r="I204" s="393" t="n"/>
      <c r="J204" s="393" t="n"/>
    </row>
    <row r="205">
      <c r="A205" s="175" t="inlineStr">
        <is>
          <t>Nợ dài hạn đến hạn phải trả khác</t>
        </is>
      </c>
      <c r="B205" s="176" t="inlineStr">
        <is>
          <t>(-)</t>
        </is>
      </c>
      <c r="C205" s="177" t="n"/>
      <c r="D205" s="177" t="n"/>
      <c r="E205" s="177" t="n"/>
      <c r="F205" s="178" t="n"/>
      <c r="G205" s="374" t="n"/>
      <c r="H205" s="918" t="n"/>
      <c r="I205" s="393" t="n"/>
      <c r="J205" s="393" t="n"/>
    </row>
    <row r="206">
      <c r="A206" s="185" t="inlineStr">
        <is>
          <t>Dòng tiền trả gốc vay theo kế hoạch</t>
        </is>
      </c>
      <c r="B206" s="186" t="inlineStr">
        <is>
          <t>Sum(201,202,203)</t>
        </is>
      </c>
      <c r="C206" s="177">
        <f>SUM(C204:C205)</f>
        <v/>
      </c>
      <c r="D206" s="177">
        <f>SUM(D204:D205)</f>
        <v/>
      </c>
      <c r="E206" s="177">
        <f>SUM(E204:E205)</f>
        <v/>
      </c>
      <c r="F206" s="178">
        <f>SUM(F204:F205)</f>
        <v/>
      </c>
      <c r="G206" s="374" t="n"/>
      <c r="H206" s="918" t="n"/>
      <c r="I206" s="393" t="n"/>
      <c r="J206" s="393" t="n"/>
    </row>
    <row r="207">
      <c r="A207" s="204" t="inlineStr">
        <is>
          <t>Dòng tiền thuần sau trả gốc</t>
        </is>
      </c>
      <c r="B207" s="205" t="inlineStr">
        <is>
          <t>Sum(200,210)</t>
        </is>
      </c>
      <c r="C207" s="202">
        <f>SUM(C202,C206)</f>
        <v/>
      </c>
      <c r="D207" s="202">
        <f>SUM(D202,D206)</f>
        <v/>
      </c>
      <c r="E207" s="202">
        <f>SUM(E202,E206)</f>
        <v/>
      </c>
      <c r="F207" s="203">
        <f>SUM(F202,F206)</f>
        <v/>
      </c>
      <c r="G207" s="374" t="n"/>
      <c r="H207" s="918" t="n"/>
      <c r="I207" s="393" t="n"/>
      <c r="J207" s="393" t="n"/>
    </row>
    <row r="208">
      <c r="A208" s="175" t="inlineStr">
        <is>
          <t>Biến đổi TSCĐ hữu hình  thuần</t>
        </is>
      </c>
      <c r="B208" s="176" t="inlineStr">
        <is>
          <t>(-)</t>
        </is>
      </c>
      <c r="C208" s="177">
        <f>-(C26-B26)-(C29-B29)</f>
        <v/>
      </c>
      <c r="D208" s="177">
        <f>-(D26-C26)-(D29-C29)</f>
        <v/>
      </c>
      <c r="E208" s="177">
        <f>-(G26-D26)-(G29-D29)</f>
        <v/>
      </c>
      <c r="F208" s="177">
        <f>-(I26-G26)-(I29-G29)</f>
        <v/>
      </c>
      <c r="G208" s="374" t="n"/>
      <c r="H208" s="918" t="n"/>
      <c r="I208" s="393" t="n"/>
      <c r="J208" s="393" t="n"/>
    </row>
    <row r="209">
      <c r="A209" s="175" t="inlineStr">
        <is>
          <t>Biến đổi TS thuê tài chính thuần</t>
        </is>
      </c>
      <c r="B209" s="176" t="inlineStr">
        <is>
          <t>(-)</t>
        </is>
      </c>
      <c r="C209" s="177" t="n"/>
      <c r="D209" s="177" t="n"/>
      <c r="E209" s="177" t="n"/>
      <c r="F209" s="178" t="n"/>
      <c r="G209" s="374" t="n"/>
      <c r="H209" s="918" t="n"/>
      <c r="I209" s="393" t="n"/>
      <c r="J209" s="393" t="n"/>
    </row>
    <row r="210">
      <c r="A210" s="175" t="inlineStr">
        <is>
          <t>Biến đổi TSCĐ vô hình thuần</t>
        </is>
      </c>
      <c r="B210" s="176" t="inlineStr">
        <is>
          <t>(-)</t>
        </is>
      </c>
      <c r="C210" s="177" t="n"/>
      <c r="D210" s="177" t="n"/>
      <c r="E210" s="177" t="n"/>
      <c r="F210" s="178" t="n"/>
      <c r="G210" s="374" t="n"/>
      <c r="H210" s="918" t="n"/>
      <c r="I210" s="393" t="n"/>
      <c r="J210" s="393" t="n"/>
    </row>
    <row r="211">
      <c r="A211" s="175" t="inlineStr">
        <is>
          <t>Tổng khấu hao</t>
        </is>
      </c>
      <c r="B211" s="176" t="inlineStr">
        <is>
          <t>(-)</t>
        </is>
      </c>
      <c r="C211" s="177">
        <f>-(C65)</f>
        <v/>
      </c>
      <c r="D211" s="177">
        <f>-(D65)</f>
        <v/>
      </c>
      <c r="E211" s="177">
        <f>-(G65)</f>
        <v/>
      </c>
      <c r="F211" s="177">
        <f>-(I65)</f>
        <v/>
      </c>
      <c r="G211" s="374" t="n"/>
      <c r="H211" s="918" t="n"/>
      <c r="I211" s="393" t="n"/>
      <c r="J211" s="393" t="n"/>
    </row>
    <row r="212">
      <c r="A212" s="175" t="inlineStr">
        <is>
          <t>Biến đổi Xây dựng cơ bản dở dang</t>
        </is>
      </c>
      <c r="B212" s="176" t="inlineStr">
        <is>
          <t>(-)</t>
        </is>
      </c>
      <c r="C212" s="177">
        <f>-(C32-B32)</f>
        <v/>
      </c>
      <c r="D212" s="177">
        <f>-(D32-C32)</f>
        <v/>
      </c>
      <c r="E212" s="177">
        <f>-(G32-D32)</f>
        <v/>
      </c>
      <c r="F212" s="177">
        <f>-(I32-G32)</f>
        <v/>
      </c>
      <c r="G212" s="374" t="n"/>
      <c r="H212" s="918" t="n"/>
      <c r="I212" s="393" t="n"/>
      <c r="J212" s="393" t="n"/>
    </row>
    <row r="213">
      <c r="A213" s="185" t="inlineStr">
        <is>
          <t>Chi phí vốn thuần</t>
        </is>
      </c>
      <c r="B213" s="181" t="inlineStr">
        <is>
          <t>Sum(221:225)</t>
        </is>
      </c>
      <c r="C213" s="182">
        <f>SUM(C208:C212)</f>
        <v/>
      </c>
      <c r="D213" s="182">
        <f>SUM(D208:D212)</f>
        <v/>
      </c>
      <c r="E213" s="182">
        <f>SUM(E208:E212)</f>
        <v/>
      </c>
      <c r="F213" s="192">
        <f>SUM(F208:F212)</f>
        <v/>
      </c>
      <c r="G213" s="375" t="n"/>
      <c r="H213" s="921" t="n"/>
      <c r="I213" s="393" t="n"/>
      <c r="J213" s="393" t="n"/>
    </row>
    <row r="214">
      <c r="A214" s="175" t="inlineStr">
        <is>
          <t>Biến đổi Hoạt động đầu tư</t>
        </is>
      </c>
      <c r="B214" s="176" t="inlineStr">
        <is>
          <t>(-)</t>
        </is>
      </c>
      <c r="C214" s="177" t="n"/>
      <c r="D214" s="177" t="n"/>
      <c r="E214" s="177" t="n"/>
      <c r="F214" s="178" t="n"/>
      <c r="G214" s="374" t="n"/>
      <c r="H214" s="918" t="n"/>
      <c r="I214" s="368" t="n"/>
      <c r="J214" s="368" t="n"/>
    </row>
    <row r="215">
      <c r="A215" s="193" t="inlineStr">
        <is>
          <t>Tổng Dòng tiền chi phí tài sản vốn và đầu tư</t>
        </is>
      </c>
      <c r="B215" s="194" t="inlineStr">
        <is>
          <t>Sum(230,240)</t>
        </is>
      </c>
      <c r="C215" s="195">
        <f>SUM(C213:C214)</f>
        <v/>
      </c>
      <c r="D215" s="195">
        <f>SUM(D213:D214)</f>
        <v/>
      </c>
      <c r="E215" s="195">
        <f>SUM(E213:E214)</f>
        <v/>
      </c>
      <c r="F215" s="196">
        <f>SUM(F213:F214)</f>
        <v/>
      </c>
      <c r="G215" s="379" t="n"/>
      <c r="H215" s="918" t="n"/>
      <c r="I215" s="393" t="n"/>
      <c r="J215" s="393" t="n"/>
    </row>
    <row r="216">
      <c r="A216" s="187" t="inlineStr">
        <is>
          <t>Nhu cầu vốn tài trợ</t>
        </is>
      </c>
      <c r="B216" s="199" t="inlineStr">
        <is>
          <t>Sum(220,250)</t>
        </is>
      </c>
      <c r="C216" s="189">
        <f>SUM(C207,C215)</f>
        <v/>
      </c>
      <c r="D216" s="189">
        <f>SUM(D207,D215)</f>
        <v/>
      </c>
      <c r="E216" s="189">
        <f>SUM(E207,E215)</f>
        <v/>
      </c>
      <c r="F216" s="190">
        <f>SUM(F207,F215)</f>
        <v/>
      </c>
      <c r="G216" s="375" t="n"/>
      <c r="H216" s="918" t="n"/>
      <c r="I216" s="393" t="n"/>
      <c r="J216" s="393" t="n"/>
    </row>
    <row r="217">
      <c r="A217" s="175" t="inlineStr">
        <is>
          <t>Biến đổi vay ngắn hạn</t>
        </is>
      </c>
      <c r="B217" s="176" t="inlineStr">
        <is>
          <t>(+)</t>
        </is>
      </c>
      <c r="C217" s="177" t="n"/>
      <c r="D217" s="177" t="n"/>
      <c r="E217" s="177" t="n"/>
      <c r="F217" s="178" t="n"/>
      <c r="G217" s="374" t="n"/>
      <c r="H217" s="918" t="n"/>
      <c r="I217" s="393" t="n"/>
      <c r="J217" s="393" t="n"/>
    </row>
    <row r="218">
      <c r="A218" s="206" t="inlineStr">
        <is>
          <t>Biến đổi vay trung và dài hạn</t>
        </is>
      </c>
      <c r="B218" s="176" t="inlineStr">
        <is>
          <t>(+)</t>
        </is>
      </c>
      <c r="C218" s="177" t="n"/>
      <c r="D218" s="177" t="n"/>
      <c r="E218" s="177" t="n"/>
      <c r="F218" s="178" t="n"/>
      <c r="G218" s="374" t="n"/>
      <c r="H218" s="918" t="n"/>
      <c r="I218" s="393" t="n"/>
      <c r="J218" s="393" t="n"/>
    </row>
    <row r="219">
      <c r="A219" s="191" t="inlineStr">
        <is>
          <t>Biến đổi Vốn góp và quỹ</t>
        </is>
      </c>
      <c r="B219" s="176" t="inlineStr">
        <is>
          <t>(+)</t>
        </is>
      </c>
      <c r="C219" s="177">
        <f>C48-B48-(C55-B55)</f>
        <v/>
      </c>
      <c r="D219" s="177">
        <f>D48-C48-(D55-C55)</f>
        <v/>
      </c>
      <c r="E219" s="177">
        <f>G48-D48-(G55-D55)</f>
        <v/>
      </c>
      <c r="F219" s="177">
        <f>I48-G48-(I55-G55)</f>
        <v/>
      </c>
      <c r="G219" s="374" t="n"/>
      <c r="H219" s="918" t="n"/>
      <c r="I219" s="393" t="n"/>
      <c r="J219" s="393" t="n"/>
    </row>
    <row r="220">
      <c r="A220" s="180" t="inlineStr">
        <is>
          <t>Tổng số Dòng tiền tài trợ</t>
        </is>
      </c>
      <c r="B220" s="181" t="inlineStr">
        <is>
          <t>Sum(261:262)</t>
        </is>
      </c>
      <c r="C220" s="182">
        <f>SUM(C217:C219)</f>
        <v/>
      </c>
      <c r="D220" s="182">
        <f>SUM(D217:D219)</f>
        <v/>
      </c>
      <c r="E220" s="182">
        <f>SUM(E217:E219)</f>
        <v/>
      </c>
      <c r="F220" s="192">
        <f>SUM(F217:F219)</f>
        <v/>
      </c>
      <c r="G220" s="375" t="n"/>
      <c r="H220" s="921" t="n"/>
      <c r="I220" s="393" t="n"/>
      <c r="J220" s="393" t="n"/>
    </row>
    <row r="221">
      <c r="A221" s="198" t="inlineStr">
        <is>
          <t>Biến đổi Dòng tiền theo tính toán</t>
        </is>
      </c>
      <c r="B221" s="199" t="inlineStr">
        <is>
          <t>Sum(260,270)</t>
        </is>
      </c>
      <c r="C221" s="189">
        <f>SUM(C216,C220)</f>
        <v/>
      </c>
      <c r="D221" s="189">
        <f>SUM(D216,D220)</f>
        <v/>
      </c>
      <c r="E221" s="189">
        <f>SUM(E216,E220)</f>
        <v/>
      </c>
      <c r="F221" s="190">
        <f>SUM(F216,F220)</f>
        <v/>
      </c>
      <c r="G221" s="375" t="n"/>
      <c r="H221" s="918" t="n"/>
      <c r="I221" s="368" t="n"/>
      <c r="J221" s="368" t="n"/>
    </row>
    <row r="222">
      <c r="A222" s="175" t="inlineStr">
        <is>
          <t>Biến đổi Dòng tiền mặt</t>
        </is>
      </c>
      <c r="B222" s="176" t="inlineStr">
        <is>
          <t>(+)</t>
        </is>
      </c>
      <c r="C222" s="177">
        <f>C10-B10</f>
        <v/>
      </c>
      <c r="D222" s="177">
        <f>D10-C10</f>
        <v/>
      </c>
      <c r="E222" s="177">
        <f>G10-D10</f>
        <v/>
      </c>
      <c r="F222" s="177">
        <f>I10-G10</f>
        <v/>
      </c>
      <c r="G222" s="374" t="n"/>
      <c r="H222" s="918" t="n"/>
      <c r="I222" s="393" t="n"/>
      <c r="J222" s="393" t="n"/>
    </row>
    <row r="223">
      <c r="A223" s="175" t="inlineStr">
        <is>
          <t>Biến đổi Đầu tư chứng khoán ngắn hạn</t>
        </is>
      </c>
      <c r="B223" s="176" t="inlineStr">
        <is>
          <t>(+)</t>
        </is>
      </c>
      <c r="C223" s="177">
        <f>C11-B11</f>
        <v/>
      </c>
      <c r="D223" s="177">
        <f>D11-C11</f>
        <v/>
      </c>
      <c r="E223" s="177">
        <f>G11-D11</f>
        <v/>
      </c>
      <c r="F223" s="177">
        <f>I11-G11</f>
        <v/>
      </c>
      <c r="G223" s="374" t="n"/>
      <c r="H223" s="918" t="n"/>
      <c r="I223" s="393" t="n"/>
      <c r="J223" s="393" t="n"/>
    </row>
    <row r="224">
      <c r="A224" s="185" t="inlineStr">
        <is>
          <t>Biến đổi Dòng tiền thực tế</t>
        </is>
      </c>
      <c r="B224" s="181" t="inlineStr">
        <is>
          <t>Sum(281:282)</t>
        </is>
      </c>
      <c r="C224" s="182">
        <f>SUM(C222:C223)</f>
        <v/>
      </c>
      <c r="D224" s="182">
        <f>SUM(D222:D223)</f>
        <v/>
      </c>
      <c r="E224" s="182">
        <f>SUM(E222:E223)</f>
        <v/>
      </c>
      <c r="F224" s="192">
        <f>SUM(F222:F223)</f>
        <v/>
      </c>
      <c r="G224" s="375" t="n"/>
      <c r="H224" s="921" t="n"/>
      <c r="I224" s="393" t="n"/>
      <c r="J224" s="393" t="n"/>
    </row>
    <row r="225" ht="15.75" customHeight="1" s="782" thickBot="1">
      <c r="A225" s="207" t="inlineStr">
        <is>
          <t>Chênh lệch =Biến đổi theo tính toán - Biến đổi thực tế</t>
        </is>
      </c>
      <c r="B225" s="208" t="inlineStr">
        <is>
          <t>280-290</t>
        </is>
      </c>
      <c r="C225" s="209">
        <f>C221-C224</f>
        <v/>
      </c>
      <c r="D225" s="209">
        <f>D221-D224</f>
        <v/>
      </c>
      <c r="E225" s="209">
        <f>E221-E224</f>
        <v/>
      </c>
      <c r="F225" s="210">
        <f>F221-F224</f>
        <v/>
      </c>
      <c r="G225" s="380" t="n"/>
      <c r="H225" s="918" t="n"/>
      <c r="I225" s="368" t="n"/>
      <c r="J225" s="368" t="n"/>
    </row>
    <row r="226" ht="15.75" customHeight="1" s="782" thickTop="1">
      <c r="A226" s="393" t="n"/>
      <c r="B226" s="393" t="n"/>
      <c r="C226" s="393" t="n"/>
      <c r="D226" s="393" t="n"/>
      <c r="E226" s="393" t="n"/>
      <c r="F226" s="393" t="n"/>
      <c r="G226" s="393" t="n"/>
      <c r="H226" s="393" t="n"/>
      <c r="I226" s="393" t="n"/>
      <c r="J226" s="393" t="n"/>
    </row>
    <row r="227" ht="15.75" customHeight="1" s="782" thickBot="1">
      <c r="A227" s="393" t="n"/>
      <c r="B227" s="393" t="n"/>
      <c r="C227" s="393" t="n"/>
      <c r="D227" s="393" t="n"/>
      <c r="E227" s="393" t="n"/>
      <c r="F227" s="393" t="n"/>
      <c r="G227" s="393" t="n"/>
      <c r="H227" s="393" t="n"/>
      <c r="I227" s="393" t="n"/>
      <c r="J227" s="393" t="n"/>
    </row>
    <row r="228" ht="15.75" customHeight="1" s="782" thickTop="1">
      <c r="A228" s="166" t="inlineStr">
        <is>
          <t>Dòng tiền</t>
        </is>
      </c>
      <c r="B228" s="211" t="n"/>
      <c r="C228" s="212">
        <f>C167</f>
        <v/>
      </c>
      <c r="D228" s="212">
        <f>D167</f>
        <v/>
      </c>
      <c r="E228" s="169">
        <f>E167</f>
        <v/>
      </c>
      <c r="F228" s="213">
        <f>F167</f>
        <v/>
      </c>
      <c r="G228" s="393" t="n"/>
      <c r="H228" s="393" t="n"/>
      <c r="I228" s="393" t="n"/>
      <c r="J228" s="393" t="n"/>
    </row>
    <row r="229">
      <c r="A229" s="171" t="inlineStr">
        <is>
          <t>Chi phí khấu hao</t>
        </is>
      </c>
      <c r="B229" s="172" t="inlineStr">
        <is>
          <t>(+)</t>
        </is>
      </c>
      <c r="C229" s="173">
        <f>C65</f>
        <v/>
      </c>
      <c r="D229" s="173">
        <f>D65</f>
        <v/>
      </c>
      <c r="E229" s="173">
        <f>G65</f>
        <v/>
      </c>
      <c r="F229" s="174">
        <f>I65</f>
        <v/>
      </c>
      <c r="G229" s="393" t="n"/>
      <c r="H229" s="918" t="n"/>
      <c r="I229" s="393" t="n"/>
      <c r="J229" s="393" t="n"/>
    </row>
    <row r="230">
      <c r="A230" s="175" t="inlineStr">
        <is>
          <t>Lợi nhuận gộp</t>
        </is>
      </c>
      <c r="B230" s="176" t="inlineStr">
        <is>
          <t>(+)</t>
        </is>
      </c>
      <c r="C230" s="177">
        <f>C66</f>
        <v/>
      </c>
      <c r="D230" s="177">
        <f>D66</f>
        <v/>
      </c>
      <c r="E230" s="177">
        <f>G66</f>
        <v/>
      </c>
      <c r="F230" s="178">
        <f>I66</f>
        <v/>
      </c>
      <c r="G230" s="393" t="n"/>
      <c r="H230" s="918" t="n"/>
      <c r="I230" s="393" t="n"/>
      <c r="J230" s="393" t="n"/>
    </row>
    <row r="231">
      <c r="A231" s="919" t="inlineStr">
        <is>
          <t>Biến đổi Các khoản Phải thu từ người mua</t>
        </is>
      </c>
      <c r="B231" s="176" t="inlineStr">
        <is>
          <t>(-)</t>
        </is>
      </c>
      <c r="C231" s="177">
        <f>-(C17-B17)</f>
        <v/>
      </c>
      <c r="D231" s="177">
        <f>-(D17-C17)</f>
        <v/>
      </c>
      <c r="E231" s="177">
        <f>-(G17-D17)</f>
        <v/>
      </c>
      <c r="F231" s="177">
        <f>-(I17-D17)</f>
        <v/>
      </c>
      <c r="G231" s="393" t="n"/>
      <c r="H231" s="918" t="n"/>
      <c r="I231" s="393" t="n"/>
      <c r="J231" s="393" t="n"/>
    </row>
    <row r="232">
      <c r="A232" s="175" t="inlineStr">
        <is>
          <t>Biến đổi Hàng tồn kho</t>
        </is>
      </c>
      <c r="B232" s="176" t="inlineStr">
        <is>
          <t>(-)</t>
        </is>
      </c>
      <c r="C232" s="183">
        <f>-(C29-B29)</f>
        <v/>
      </c>
      <c r="D232" s="183">
        <f>-(D29-C29)</f>
        <v/>
      </c>
      <c r="E232" s="183">
        <f>-(G29-D29)</f>
        <v/>
      </c>
      <c r="F232" s="184">
        <f>-(I29-D29)</f>
        <v/>
      </c>
      <c r="G232" s="393" t="n"/>
      <c r="H232" s="918" t="n"/>
      <c r="I232" s="393" t="n"/>
      <c r="J232" s="393" t="n"/>
    </row>
    <row r="233">
      <c r="A233" s="175" t="inlineStr">
        <is>
          <t>Biến đổi Các khoản phải trả người bán</t>
        </is>
      </c>
      <c r="B233" s="176" t="inlineStr">
        <is>
          <t>(+)</t>
        </is>
      </c>
      <c r="C233" s="177">
        <f>(C38-B38)</f>
        <v/>
      </c>
      <c r="D233" s="177">
        <f>(D38-C38)</f>
        <v/>
      </c>
      <c r="E233" s="177">
        <f>(G38-D38)</f>
        <v/>
      </c>
      <c r="F233" s="177">
        <f>(I38-D38)</f>
        <v/>
      </c>
      <c r="G233" s="393" t="n"/>
      <c r="H233" s="918" t="n"/>
      <c r="I233" s="393" t="n"/>
      <c r="J233" s="393" t="n"/>
    </row>
    <row r="234">
      <c r="A234" s="198" t="inlineStr">
        <is>
          <t>Dòng tiền từ hoạt động bán hàng và cung cấp dịch vụ</t>
        </is>
      </c>
      <c r="B234" s="199" t="n"/>
      <c r="C234" s="214">
        <f>SUM(C229:C233)</f>
        <v/>
      </c>
      <c r="D234" s="214">
        <f>SUM(D229:D233)</f>
        <v/>
      </c>
      <c r="E234" s="214">
        <f>SUM(E229:E233)</f>
        <v/>
      </c>
      <c r="F234" s="215">
        <f>SUM(F229:F233)</f>
        <v/>
      </c>
      <c r="G234" s="393" t="n"/>
      <c r="H234" s="918" t="n"/>
      <c r="I234" s="393" t="n"/>
      <c r="J234" s="393" t="n"/>
    </row>
    <row r="235">
      <c r="A235" s="191" t="inlineStr">
        <is>
          <t>Dòng tiền Chi phí hoạt động</t>
        </is>
      </c>
      <c r="B235" s="176" t="n"/>
      <c r="C235" s="177">
        <f>C180</f>
        <v/>
      </c>
      <c r="D235" s="177">
        <f>D180</f>
        <v/>
      </c>
      <c r="E235" s="177">
        <f>E180</f>
        <v/>
      </c>
      <c r="F235" s="178">
        <f>F180</f>
        <v/>
      </c>
      <c r="G235" s="393" t="n"/>
      <c r="H235" s="918" t="n"/>
      <c r="I235" s="393" t="n"/>
      <c r="J235" s="393" t="n"/>
    </row>
    <row r="236">
      <c r="A236" s="187" t="inlineStr">
        <is>
          <t>Dòng tiền thuần từ hoạt động</t>
        </is>
      </c>
      <c r="B236" s="176" t="n"/>
      <c r="C236" s="189">
        <f>SUM(C234:C235)</f>
        <v/>
      </c>
      <c r="D236" s="189">
        <f>SUM(D234:D235)</f>
        <v/>
      </c>
      <c r="E236" s="189">
        <f>SUM(E234:E235)</f>
        <v/>
      </c>
      <c r="F236" s="190">
        <f>SUM(F234:F235)</f>
        <v/>
      </c>
      <c r="G236" s="393" t="n"/>
      <c r="H236" s="918" t="n"/>
      <c r="I236" s="393" t="n"/>
      <c r="J236" s="393" t="n"/>
    </row>
    <row r="237">
      <c r="A237" s="216" t="inlineStr">
        <is>
          <t>Biến đổi từ các hoạt động bất thường</t>
        </is>
      </c>
      <c r="B237" s="176" t="n"/>
      <c r="C237" s="217">
        <f>C190</f>
        <v/>
      </c>
      <c r="D237" s="217">
        <f>D190</f>
        <v/>
      </c>
      <c r="E237" s="217">
        <f>E190</f>
        <v/>
      </c>
      <c r="F237" s="218">
        <f>F190</f>
        <v/>
      </c>
      <c r="G237" s="393" t="n"/>
      <c r="H237" s="918" t="n"/>
      <c r="I237" s="393" t="n"/>
      <c r="J237" s="393" t="n"/>
    </row>
    <row r="238">
      <c r="A238" s="175" t="inlineStr">
        <is>
          <t>Dòng tiền thuế đã nộp trong kỳ</t>
        </is>
      </c>
      <c r="B238" s="176" t="n"/>
      <c r="C238" s="217">
        <f>C196</f>
        <v/>
      </c>
      <c r="D238" s="217">
        <f>D196</f>
        <v/>
      </c>
      <c r="E238" s="217">
        <f>E196</f>
        <v/>
      </c>
      <c r="F238" s="218">
        <f>F196</f>
        <v/>
      </c>
      <c r="G238" s="393" t="n"/>
      <c r="H238" s="918" t="n"/>
      <c r="I238" s="393" t="n"/>
      <c r="J238" s="393" t="n"/>
    </row>
    <row r="239">
      <c r="A239" s="175" t="inlineStr">
        <is>
          <t>Dòng tiền chi phí trong hoạt động tài chính</t>
        </is>
      </c>
      <c r="B239" s="176" t="n"/>
      <c r="C239" s="217">
        <f>C201</f>
        <v/>
      </c>
      <c r="D239" s="217">
        <f>D201</f>
        <v/>
      </c>
      <c r="E239" s="217">
        <f>E201</f>
        <v/>
      </c>
      <c r="F239" s="218">
        <f>F201</f>
        <v/>
      </c>
      <c r="G239" s="393" t="n"/>
      <c r="H239" s="918" t="n"/>
      <c r="I239" s="393" t="n"/>
      <c r="J239" s="393" t="n"/>
    </row>
    <row r="240">
      <c r="A240" s="198" t="inlineStr">
        <is>
          <t>Dòng tiền lợi nhuận ròng</t>
        </is>
      </c>
      <c r="B240" s="181" t="n"/>
      <c r="C240" s="189">
        <f>SUM(C236:C239)</f>
        <v/>
      </c>
      <c r="D240" s="189">
        <f>SUM(D236:D239)</f>
        <v/>
      </c>
      <c r="E240" s="189">
        <f>SUM(E236:E239)</f>
        <v/>
      </c>
      <c r="F240" s="190">
        <f>SUM(F236:F239)</f>
        <v/>
      </c>
      <c r="G240" s="393" t="n"/>
      <c r="H240" s="918" t="n"/>
      <c r="I240" s="393" t="n"/>
      <c r="J240" s="393" t="n"/>
    </row>
    <row r="241">
      <c r="A241" s="216" t="inlineStr">
        <is>
          <t>Dòng tiền chi phí tài sản vốn và đầu tư</t>
        </is>
      </c>
      <c r="B241" s="219" t="n"/>
      <c r="C241" s="220" t="n"/>
      <c r="D241" s="220" t="n"/>
      <c r="E241" s="220" t="n"/>
      <c r="F241" s="221" t="n"/>
      <c r="G241" s="393" t="n"/>
      <c r="H241" s="918" t="n"/>
      <c r="I241" s="393" t="n"/>
      <c r="J241" s="393" t="n"/>
    </row>
    <row r="242">
      <c r="A242" s="191" t="inlineStr">
        <is>
          <t>Dòng tiền tài trợ</t>
        </is>
      </c>
      <c r="B242" s="176" t="n"/>
      <c r="C242" s="217">
        <f>C220</f>
        <v/>
      </c>
      <c r="D242" s="217">
        <f>D220</f>
        <v/>
      </c>
      <c r="E242" s="217">
        <f>E220</f>
        <v/>
      </c>
      <c r="F242" s="218">
        <f>F220</f>
        <v/>
      </c>
      <c r="G242" s="393" t="n"/>
      <c r="H242" s="918" t="n"/>
      <c r="I242" s="393" t="n"/>
      <c r="J242" s="393" t="n"/>
    </row>
    <row r="243" ht="15.75" customHeight="1" s="782" thickBot="1">
      <c r="A243" s="222" t="inlineStr">
        <is>
          <t>Biến đổi Dòng tiền theo tính toán</t>
        </is>
      </c>
      <c r="B243" s="223" t="n"/>
      <c r="C243" s="224">
        <f>SUM(C240:C242)</f>
        <v/>
      </c>
      <c r="D243" s="224">
        <f>SUM(D240:D242)</f>
        <v/>
      </c>
      <c r="E243" s="224">
        <f>SUM(E240:E242)</f>
        <v/>
      </c>
      <c r="F243" s="225">
        <f>SUM(F240:F242)</f>
        <v/>
      </c>
      <c r="G243" s="393" t="n"/>
      <c r="H243" s="918" t="n"/>
      <c r="I243" s="393" t="n"/>
      <c r="J243" s="393" t="n"/>
    </row>
    <row r="244" ht="16.5" customHeight="1" s="782" thickBot="1" thickTop="1">
      <c r="A244" s="393" t="n"/>
      <c r="B244" s="393" t="n"/>
      <c r="C244" s="393" t="n"/>
      <c r="D244" s="393" t="n"/>
      <c r="E244" s="393" t="n"/>
      <c r="F244" s="393" t="n"/>
      <c r="G244" s="393" t="n"/>
      <c r="H244" s="393" t="n"/>
      <c r="I244" s="393" t="n"/>
      <c r="J244" s="393" t="n"/>
    </row>
    <row r="245" ht="15.75" customHeight="1" s="782" thickTop="1">
      <c r="A245" s="226" t="inlineStr">
        <is>
          <t>CÁC CHỈ SỐ PHÂN TÍCH DÒNG TIỀN</t>
        </is>
      </c>
      <c r="B245" s="227" t="n"/>
      <c r="C245" s="227">
        <f>C228</f>
        <v/>
      </c>
      <c r="D245" s="227">
        <f>D228</f>
        <v/>
      </c>
      <c r="E245" s="784">
        <f>E228</f>
        <v/>
      </c>
      <c r="F245" s="228">
        <f>F228</f>
        <v/>
      </c>
      <c r="G245" s="381" t="n"/>
      <c r="H245" s="393" t="n"/>
      <c r="I245" s="393" t="n"/>
      <c r="J245" s="393" t="n"/>
    </row>
    <row r="246" ht="38.25" customHeight="1" s="782">
      <c r="A246" s="765" t="inlineStr">
        <is>
          <t>Hệ số khả năng trả nợ gốc trung, dài hạn = (LN thuần sau thuế trong kỳ + khấu hao trong kỳ)/ Vốn vay đầu tư trung dài hạn</t>
        </is>
      </c>
      <c r="B246" s="230" t="n"/>
      <c r="C246" s="231" t="n"/>
      <c r="D246" s="231" t="n"/>
      <c r="E246" s="231" t="n"/>
      <c r="F246" s="232" t="n"/>
      <c r="G246" s="382" t="n"/>
      <c r="H246" s="383" t="n"/>
      <c r="I246" s="393" t="n"/>
      <c r="J246" s="393" t="n"/>
    </row>
    <row r="247">
      <c r="A247" s="233" t="inlineStr">
        <is>
          <t>Hệ số khả năng trả lãi = EBIT / Chi phí trả lãi hàng năm</t>
        </is>
      </c>
      <c r="B247" s="234" t="n"/>
      <c r="C247" s="235">
        <f>IF(C75="","",(C75+C69)/C69)</f>
        <v/>
      </c>
      <c r="D247" s="235">
        <f>(D75+D69)/D69</f>
        <v/>
      </c>
      <c r="E247" s="235">
        <f>(G75+G69)/G69</f>
        <v/>
      </c>
      <c r="F247" s="238">
        <f>(I75+I69)/I69</f>
        <v/>
      </c>
      <c r="G247" s="382" t="n"/>
      <c r="H247" s="383" t="n"/>
      <c r="I247" s="393" t="n"/>
      <c r="J247" s="393" t="n"/>
    </row>
    <row r="248" ht="25.5" customHeight="1" s="782">
      <c r="A248" s="233" t="inlineStr">
        <is>
          <t>Hệ số dòng tiền = Tiền phát sinh từ HDKD / LN sau thuế và lãi</t>
        </is>
      </c>
      <c r="B248" s="234" t="n"/>
      <c r="C248" s="236">
        <f>IF(C77="","",C197/C77)</f>
        <v/>
      </c>
      <c r="D248" s="236">
        <f>D197/D77</f>
        <v/>
      </c>
      <c r="E248" s="236">
        <f>E197/G77</f>
        <v/>
      </c>
      <c r="F248" s="237">
        <f>F197/I77</f>
        <v/>
      </c>
      <c r="G248" s="382" t="n"/>
      <c r="H248" s="383" t="n"/>
      <c r="I248" s="393" t="n"/>
      <c r="J248" s="393" t="n"/>
    </row>
    <row r="249" ht="38.25" customHeight="1" s="782">
      <c r="A249" s="766" t="inlineStr">
        <is>
          <t>Hệ số dòng tiền được dùng để tái đầu tư = (Biến đổi TSCD hữu hình + biến đổi từ TSLD thuần) / (LN sau thuần sau thuế + khấu hao)</t>
        </is>
      </c>
      <c r="B249" s="234" t="n"/>
      <c r="C249" s="235" t="n"/>
      <c r="D249" s="235" t="n"/>
      <c r="E249" s="235" t="n"/>
      <c r="F249" s="238" t="n"/>
      <c r="G249" s="382" t="n"/>
      <c r="H249" s="383" t="n"/>
      <c r="I249" s="393" t="n"/>
      <c r="J249" s="369" t="n"/>
    </row>
    <row r="250" ht="15.75" customHeight="1" s="782" thickBot="1">
      <c r="A250" s="767" t="inlineStr">
        <is>
          <t>Luồng tiền từ hoạt động kinh doanh/ nợ ngắn hạn</t>
        </is>
      </c>
      <c r="B250" s="240" t="n"/>
      <c r="C250" s="241" t="n"/>
      <c r="D250" s="241" t="n"/>
      <c r="E250" s="241" t="n"/>
      <c r="F250" s="242" t="n"/>
      <c r="G250" s="382" t="n"/>
      <c r="H250" s="383" t="n"/>
      <c r="I250" s="393" t="n"/>
      <c r="J250" s="393" t="n"/>
    </row>
    <row r="251" ht="16.5" customHeight="1" s="782" thickBot="1" thickTop="1">
      <c r="A251" s="393" t="n"/>
      <c r="B251" s="393" t="n"/>
      <c r="C251" s="393" t="n"/>
      <c r="D251" s="393" t="n"/>
      <c r="E251" s="393" t="n"/>
      <c r="F251" s="393" t="n"/>
      <c r="G251" s="393" t="n"/>
      <c r="H251" s="393" t="n"/>
      <c r="I251" s="393" t="n"/>
      <c r="J251" s="393" t="n"/>
    </row>
    <row r="252" ht="26.25" customHeight="1" s="782" thickTop="1">
      <c r="A252" s="226" t="inlineStr">
        <is>
          <t>CÁC CHỈ SỐ TÀI CHÍNH CHO CSC (THÔNG TIN THAM KHẢO)</t>
        </is>
      </c>
      <c r="B252" s="243">
        <f>B7</f>
        <v/>
      </c>
      <c r="C252" s="243">
        <f>C7</f>
        <v/>
      </c>
      <c r="D252" s="243">
        <f>D7</f>
        <v/>
      </c>
      <c r="E252" s="244">
        <f>G7</f>
        <v/>
      </c>
      <c r="F252" s="244" t="inlineStr">
        <is>
          <t>Dự tính 2023</t>
        </is>
      </c>
      <c r="G252" s="393" t="n"/>
      <c r="H252" s="393" t="n"/>
      <c r="I252" s="393" t="n"/>
      <c r="J252" s="393" t="n"/>
    </row>
    <row r="253">
      <c r="A253" s="759" t="inlineStr">
        <is>
          <t>Lợi nhuận trước chi phí tài chính và thuế (EBIT)</t>
        </is>
      </c>
      <c r="B253" s="760">
        <f>$B$75+$B$68</f>
        <v/>
      </c>
      <c r="C253" s="760">
        <f>IF(C75="","",C75+C68)</f>
        <v/>
      </c>
      <c r="D253" s="760">
        <f>IF(D75="","",D75+D68)</f>
        <v/>
      </c>
      <c r="E253" s="760">
        <f>$G$75+$G$68</f>
        <v/>
      </c>
      <c r="F253" s="761">
        <f>$I$75+$I$68</f>
        <v/>
      </c>
      <c r="G253" s="393" t="n"/>
      <c r="H253" s="393" t="n"/>
      <c r="I253" s="393" t="n"/>
      <c r="J253" s="245" t="inlineStr">
        <is>
          <t>Hướng dẫn:</t>
        </is>
      </c>
    </row>
    <row r="254">
      <c r="A254" s="759" t="inlineStr">
        <is>
          <t>Khấu hao</t>
        </is>
      </c>
      <c r="B254" s="760">
        <f>ABS(SUM(B28,B31)-SUM(A28,A31))</f>
        <v/>
      </c>
      <c r="C254" s="760">
        <f>ABS(SUM(C28,C31)-SUM(B28,B31))</f>
        <v/>
      </c>
      <c r="D254" s="760">
        <f>ABS(SUM(D28,D31)-SUM(C28,C31))</f>
        <v/>
      </c>
      <c r="E254" s="760">
        <f>ABS(SUM(G28,D28)-SUM(G31,D31))</f>
        <v/>
      </c>
      <c r="F254" s="762">
        <f>ABS(SUM(I28,G28)-SUM(I31,G31))</f>
        <v/>
      </c>
      <c r="G254" s="393" t="n"/>
      <c r="H254" s="393" t="n"/>
      <c r="I254" s="393" t="n"/>
      <c r="J254" s="829" t="inlineStr">
        <is>
          <t xml:space="preserve">Các chỉ số tại cột B, C,D,E từ dòng 274 đến 279 tại bảng "Các chỉ số tài chính cho CSC (Thông tin tham khảo)" là các chỉ số được tự động tính toán dựa trên dữ liệu thông tin từ báo cáo tài chính của Khách hàng và các thông tin này chỉ mang tính chất tham khảo hỗ trợ CA làm căn cứ ước tính các chỉ số của KH. </t>
        </is>
      </c>
    </row>
    <row r="255">
      <c r="A255" s="759" t="inlineStr">
        <is>
          <t>Chi phí tài chính</t>
        </is>
      </c>
      <c r="B255" s="760">
        <f>$B$68</f>
        <v/>
      </c>
      <c r="C255" s="760">
        <f>C68</f>
        <v/>
      </c>
      <c r="D255" s="760">
        <f>D68</f>
        <v/>
      </c>
      <c r="E255" s="760">
        <f>$G$68</f>
        <v/>
      </c>
      <c r="F255" s="760">
        <f>$I$68</f>
        <v/>
      </c>
      <c r="G255" s="393" t="n"/>
      <c r="H255" s="393" t="n"/>
      <c r="I255" s="393" t="n"/>
    </row>
    <row r="256">
      <c r="A256" s="759" t="inlineStr">
        <is>
          <t>Nợ phải trả</t>
        </is>
      </c>
      <c r="B256" s="760">
        <f>B37</f>
        <v/>
      </c>
      <c r="C256" s="760">
        <f>C37</f>
        <v/>
      </c>
      <c r="D256" s="760">
        <f>D37</f>
        <v/>
      </c>
      <c r="E256" s="760">
        <f>G37</f>
        <v/>
      </c>
      <c r="F256" s="762">
        <f>I37</f>
        <v/>
      </c>
      <c r="G256" s="393" t="n"/>
      <c r="H256" s="393" t="n"/>
      <c r="I256" s="393" t="n"/>
    </row>
    <row r="257">
      <c r="A257" s="759" t="inlineStr">
        <is>
          <t>DSCR</t>
        </is>
      </c>
      <c r="B257" s="763">
        <f>($B$253+$B$254)/($B$255+$B$256)</f>
        <v/>
      </c>
      <c r="C257" s="763">
        <f>IF(C253="","",(C$253+C$254)/(C$255+C$256))</f>
        <v/>
      </c>
      <c r="D257" s="760">
        <f>(D$253+D$254)/(D$255+D$256)</f>
        <v/>
      </c>
      <c r="E257" s="764">
        <f>($E$253+$E$254)/($E$255+$E$256)</f>
        <v/>
      </c>
      <c r="F257" s="763">
        <f>($F$253+$F$254)/($F$255+$F$256)</f>
        <v/>
      </c>
      <c r="G257" s="393" t="n"/>
      <c r="H257" s="393" t="n"/>
      <c r="I257" s="393" t="n"/>
    </row>
    <row r="258">
      <c r="A258" s="759" t="inlineStr">
        <is>
          <t>Operating profit</t>
        </is>
      </c>
      <c r="B258" s="760">
        <f>$B$63-$B$64-$B$70</f>
        <v/>
      </c>
      <c r="C258" s="760">
        <f>IF(C63="","",C63-C64-C70)</f>
        <v/>
      </c>
      <c r="D258" s="760">
        <f>D63-D64-D70</f>
        <v/>
      </c>
      <c r="E258" s="760">
        <f>$G$63-$G$64-$G$70</f>
        <v/>
      </c>
      <c r="F258" s="760">
        <f>$I$63-$I$64-$I$70</f>
        <v/>
      </c>
      <c r="G258" s="393" t="n"/>
      <c r="H258" s="393" t="n"/>
      <c r="I258" s="393" t="n"/>
    </row>
    <row r="259">
      <c r="A259" s="393" t="n"/>
      <c r="B259" s="254" t="n"/>
      <c r="C259" s="393" t="n"/>
      <c r="D259" s="393" t="n"/>
      <c r="E259" s="393" t="n"/>
      <c r="F259" s="393" t="n"/>
      <c r="G259" s="393" t="n"/>
      <c r="H259" s="393" t="n"/>
      <c r="I259" s="393" t="n"/>
    </row>
    <row r="260">
      <c r="I260" s="393" t="n"/>
    </row>
  </sheetData>
  <sheetProtection selectLockedCells="0" selectUnlockedCells="0" algorithmName="SHA-512" sheet="1" objects="1" insertRows="1" insertHyperlinks="1" autoFilter="1" scenarios="1" formatColumns="1" deleteColumns="1" insertColumns="1" pivotTables="1" deleteRows="1" formatCells="1" saltValue="kJcaQrPIbUc8nwhbJs1onw==" formatRows="1" sort="1" spinCount="100000" hashValue="sh/L3GYcuPBt3AFl6ZS/rcTO1P8PP84dS1IEAPVSRPsmgg1hlNOeoyuAtmpwC9SGqH+y/o7da/9hYoDUBitJ7Q=="/>
  <mergeCells count="26">
    <mergeCell ref="A5:J5"/>
    <mergeCell ref="I81:J81"/>
    <mergeCell ref="J118:J120"/>
    <mergeCell ref="E82:E83"/>
    <mergeCell ref="I80:J80"/>
    <mergeCell ref="A4:J4"/>
    <mergeCell ref="A165:G165"/>
    <mergeCell ref="D7:F7"/>
    <mergeCell ref="B82:B83"/>
    <mergeCell ref="F95:G95"/>
    <mergeCell ref="G7:H7"/>
    <mergeCell ref="J122:J124"/>
    <mergeCell ref="J160:J162"/>
    <mergeCell ref="J57:J59"/>
    <mergeCell ref="J47:J48"/>
    <mergeCell ref="C82:C83"/>
    <mergeCell ref="G80:H80"/>
    <mergeCell ref="F115:G115"/>
    <mergeCell ref="F82:F83"/>
    <mergeCell ref="D56:E56"/>
    <mergeCell ref="J8:J9"/>
    <mergeCell ref="D82:D83"/>
    <mergeCell ref="J254:J260"/>
    <mergeCell ref="J29:J30"/>
    <mergeCell ref="A82:A83"/>
    <mergeCell ref="G56:H56"/>
  </mergeCells>
  <dataValidations count="1">
    <dataValidation sqref="D252" showDropDown="0" showInputMessage="1" showErrorMessage="1" allowBlank="1" promptTitle="Hướng dẫn" prompt="Số liệu năm tài chính gần nhất. Số liệu chỉ mang tính chất tham khảo"/>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8.xml><?xml version="1.0" encoding="utf-8"?>
<worksheet xmlns="http://schemas.openxmlformats.org/spreadsheetml/2006/main">
  <sheetPr codeName="Sheet13">
    <outlinePr summaryBelow="1" summaryRight="1"/>
    <pageSetUpPr/>
  </sheetPr>
  <dimension ref="A1:P155"/>
  <sheetViews>
    <sheetView view="pageBreakPreview" zoomScale="70" zoomScaleNormal="100" zoomScaleSheetLayoutView="70" workbookViewId="0">
      <selection activeCell="C14" sqref="C14"/>
    </sheetView>
  </sheetViews>
  <sheetFormatPr baseColWidth="8" defaultRowHeight="15"/>
  <cols>
    <col width="15.7109375" customWidth="1" style="782" min="1" max="1"/>
    <col width="57.5703125" customWidth="1" style="782" min="2" max="2"/>
    <col width="18.140625" customWidth="1" style="782" min="3" max="3"/>
    <col width="22.42578125" customWidth="1" style="782" min="4" max="7"/>
    <col width="16.5703125" bestFit="1" customWidth="1" style="782" min="8" max="8"/>
    <col width="17" customWidth="1" style="782" min="15" max="15"/>
  </cols>
  <sheetData>
    <row r="1">
      <c r="B1" s="815" t="inlineStr">
        <is>
          <t>NHẬP SỐ LIỆU VỀ TÀI CHÍNH CỦA KHÁCH HÀNG</t>
        </is>
      </c>
      <c r="C1" s="867" t="n"/>
      <c r="D1" s="867" t="n"/>
      <c r="E1" s="867" t="n"/>
      <c r="F1" s="867" t="n"/>
      <c r="G1" s="867" t="n"/>
      <c r="H1" s="867" t="n"/>
      <c r="I1" s="868" t="inlineStr">
        <is>
          <t>Check thông tin báo cáo tài chính</t>
        </is>
      </c>
      <c r="J1" s="869" t="n"/>
      <c r="K1" s="869" t="n"/>
      <c r="L1" s="869" t="n"/>
      <c r="M1" s="870" t="n"/>
      <c r="P1" s="871" t="n"/>
    </row>
    <row r="2">
      <c r="B2" s="7" t="n"/>
      <c r="C2" s="8" t="inlineStr">
        <is>
          <t xml:space="preserve"> </t>
        </is>
      </c>
      <c r="D2" s="824" t="inlineStr">
        <is>
          <t>Lưu ý: bắt buộc điền sheet 01. Thông tin chung</t>
        </is>
      </c>
      <c r="E2" s="867" t="n"/>
      <c r="F2" s="9" t="inlineStr">
        <is>
          <t xml:space="preserve">Đơn vị:  </t>
        </is>
      </c>
      <c r="G2" s="298">
        <f>IF('01. Thong tin chung'!B6="","",'01. Thong tin chung'!B6)</f>
        <v/>
      </c>
      <c r="H2" s="18" t="n"/>
      <c r="I2" s="872" t="n"/>
      <c r="J2" s="867" t="n"/>
      <c r="K2" s="867" t="n"/>
      <c r="L2" s="867" t="n"/>
      <c r="M2" s="873" t="n"/>
      <c r="O2" t="inlineStr">
        <is>
          <t>CountNegProvision</t>
        </is>
      </c>
      <c r="P2" s="299">
        <f>COUNTIF(D22:H22,"&gt;0")+COUNTIF(D30:H30,"&gt;0")+COUNTIF(D41:H41,"&gt;0")+COUNTIF(D55:H55,"&gt;0")+COUNTIF(D59:H59,"&gt;0")+COUNTIF(D62:H62,"&gt;0")+COUNTIF(D65:H65,"&gt;0")+COUNTIF(D69:H69,"&gt;0")+COUNTIF(D74:H74,"&gt;0")</f>
        <v/>
      </c>
    </row>
    <row r="3" ht="16.5" customHeight="1" s="782">
      <c r="B3" s="11" t="inlineStr">
        <is>
          <t>I. Bảng cân đối kế toán</t>
        </is>
      </c>
      <c r="C3" s="12" t="n"/>
      <c r="D3" s="13" t="n"/>
      <c r="E3" s="14" t="n"/>
      <c r="F3" s="14" t="n"/>
      <c r="G3" s="15" t="n"/>
      <c r="H3" s="16" t="n"/>
      <c r="I3" s="872" t="n"/>
      <c r="J3" s="867" t="n"/>
      <c r="K3" s="867" t="n"/>
      <c r="L3" s="867" t="n"/>
      <c r="M3" s="873" t="n"/>
    </row>
    <row r="4" ht="15.75" customHeight="1" s="782" thickBot="1">
      <c r="B4" s="17" t="n"/>
      <c r="C4" s="18" t="n"/>
      <c r="D4" s="19">
        <f>IF(D11&lt;&gt;D83,"Chưa cân số","")</f>
        <v/>
      </c>
      <c r="E4" s="19">
        <f>IF(E11&lt;&gt;E83,"Chưa cân số","")</f>
        <v/>
      </c>
      <c r="F4" s="19">
        <f>IF(F11&lt;&gt;F83,"Chưa cân số","")</f>
        <v/>
      </c>
      <c r="G4" s="19">
        <f>IF(G11&lt;&gt;G83,"Chưa cân số","")</f>
        <v/>
      </c>
      <c r="H4" s="19">
        <f>IF(H11&lt;&gt;H83,"Chưa cân số","")</f>
        <v/>
      </c>
      <c r="I4" s="872" t="n"/>
      <c r="J4" s="867" t="n"/>
      <c r="K4" s="867" t="n"/>
      <c r="L4" s="867" t="n"/>
      <c r="M4" s="873" t="n"/>
    </row>
    <row r="5" ht="17.25" customHeight="1" s="782" thickTop="1">
      <c r="B5" s="271" t="inlineStr">
        <is>
          <t>Chỉ tiêu</t>
        </is>
      </c>
      <c r="C5" s="20" t="inlineStr">
        <is>
          <t>Mã số</t>
        </is>
      </c>
      <c r="D5" s="272" t="inlineStr">
        <is>
          <t>N-3</t>
        </is>
      </c>
      <c r="E5" s="273" t="inlineStr">
        <is>
          <t>N-2</t>
        </is>
      </c>
      <c r="F5" s="274" t="inlineStr">
        <is>
          <t>N-1</t>
        </is>
      </c>
      <c r="G5" s="275" t="inlineStr">
        <is>
          <t>Thời điểm hiện tại</t>
        </is>
      </c>
      <c r="H5" s="276" t="inlineStr">
        <is>
          <t>Dự tính N</t>
        </is>
      </c>
      <c r="I5" s="874" t="n"/>
      <c r="J5" s="875" t="n"/>
      <c r="K5" s="875" t="n"/>
      <c r="L5" s="875" t="n"/>
      <c r="M5" s="876" t="n"/>
    </row>
    <row r="6">
      <c r="B6" s="277" t="inlineStr">
        <is>
          <t>Mã số thuế</t>
        </is>
      </c>
      <c r="C6" s="21" t="n"/>
      <c r="D6" s="296">
        <f>'01. Thong tin chung'!$B$4</f>
        <v/>
      </c>
      <c r="E6" s="296">
        <f>'01. Thong tin chung'!$B$4</f>
        <v/>
      </c>
      <c r="F6" s="296">
        <f>'01. Thong tin chung'!$B$4</f>
        <v/>
      </c>
      <c r="G6" s="296">
        <f>'01. Thong tin chung'!$B$4</f>
        <v/>
      </c>
      <c r="H6" s="303">
        <f>'01. Thong tin chung'!$B$4</f>
        <v/>
      </c>
      <c r="I6" s="270">
        <f>D6='03. Dulieutaichinhlamsach_DD'!D6</f>
        <v/>
      </c>
      <c r="J6" s="25">
        <f>E6='03. Dulieutaichinhlamsach_DD'!E6</f>
        <v/>
      </c>
      <c r="K6" s="25">
        <f>F6='03. Dulieutaichinhlamsach_DD'!F6</f>
        <v/>
      </c>
      <c r="L6" s="25">
        <f>G6='03. Dulieutaichinhlamsach_DD'!G6</f>
        <v/>
      </c>
      <c r="M6" s="523">
        <f>H6='03. Dulieutaichinhlamsach_DD'!H6</f>
        <v/>
      </c>
    </row>
    <row r="7">
      <c r="B7" s="277" t="inlineStr">
        <is>
          <t>Năm</t>
        </is>
      </c>
      <c r="C7" s="21" t="n"/>
      <c r="D7" s="22" t="n"/>
      <c r="E7" s="22" t="n"/>
      <c r="F7" s="23" t="n"/>
      <c r="G7" s="24" t="n"/>
      <c r="H7" s="278" t="n"/>
      <c r="I7" s="270">
        <f>D7='03. Dulieutaichinhlamsach_DD'!D7</f>
        <v/>
      </c>
      <c r="J7" s="25">
        <f>E7='03. Dulieutaichinhlamsach_DD'!E7</f>
        <v/>
      </c>
      <c r="K7" s="25">
        <f>F7='03. Dulieutaichinhlamsach_DD'!F7</f>
        <v/>
      </c>
      <c r="L7" s="25">
        <f>G7='03. Dulieutaichinhlamsach_DD'!G7</f>
        <v/>
      </c>
      <c r="M7" s="523">
        <f>H7='03. Dulieutaichinhlamsach_DD'!H7</f>
        <v/>
      </c>
    </row>
    <row r="8">
      <c r="B8" s="277" t="inlineStr">
        <is>
          <t>Quý</t>
        </is>
      </c>
      <c r="C8" s="21" t="n"/>
      <c r="D8" s="22" t="n"/>
      <c r="E8" s="22" t="n"/>
      <c r="F8" s="23" t="n"/>
      <c r="G8" s="21" t="n"/>
      <c r="H8" s="278" t="n"/>
      <c r="I8" s="270">
        <f>D8='03. Dulieutaichinhlamsach_DD'!D8</f>
        <v/>
      </c>
      <c r="J8" s="25">
        <f>E8='03. Dulieutaichinhlamsach_DD'!E8</f>
        <v/>
      </c>
      <c r="K8" s="25">
        <f>F8='03. Dulieutaichinhlamsach_DD'!F8</f>
        <v/>
      </c>
      <c r="L8" s="25">
        <f>G8='03. Dulieutaichinhlamsach_DD'!G8</f>
        <v/>
      </c>
      <c r="M8" s="523">
        <f>H8='03. Dulieutaichinhlamsach_DD'!H8</f>
        <v/>
      </c>
    </row>
    <row r="9">
      <c r="B9" s="277" t="inlineStr">
        <is>
          <t>Tháng</t>
        </is>
      </c>
      <c r="C9" s="21" t="n"/>
      <c r="D9" s="22" t="n"/>
      <c r="E9" s="22" t="n"/>
      <c r="F9" s="23" t="n"/>
      <c r="G9" s="21" t="n"/>
      <c r="H9" s="278" t="n"/>
      <c r="I9" s="270">
        <f>D9='03. Dulieutaichinhlamsach_DD'!D9</f>
        <v/>
      </c>
      <c r="J9" s="25">
        <f>E9='03. Dulieutaichinhlamsach_DD'!E9</f>
        <v/>
      </c>
      <c r="K9" s="25">
        <f>F9='03. Dulieutaichinhlamsach_DD'!F9</f>
        <v/>
      </c>
      <c r="L9" s="25">
        <f>G9='03. Dulieutaichinhlamsach_DD'!G9</f>
        <v/>
      </c>
      <c r="M9" s="523">
        <f>H9='03. Dulieutaichinhlamsach_DD'!H9</f>
        <v/>
      </c>
    </row>
    <row r="10">
      <c r="B10" s="277" t="inlineStr">
        <is>
          <t>Đơn vị tính</t>
        </is>
      </c>
      <c r="C10" s="21" t="n"/>
      <c r="D10" s="297">
        <f>$G$2</f>
        <v/>
      </c>
      <c r="E10" s="297">
        <f>$G$2</f>
        <v/>
      </c>
      <c r="F10" s="297">
        <f>$G$2</f>
        <v/>
      </c>
      <c r="G10" s="297">
        <f>$G$2</f>
        <v/>
      </c>
      <c r="H10" s="301">
        <f>$G$2</f>
        <v/>
      </c>
      <c r="I10" s="270">
        <f>D10='03. Dulieutaichinhlamsach_DD'!D10</f>
        <v/>
      </c>
      <c r="J10" s="25">
        <f>E10='03. Dulieutaichinhlamsach_DD'!E10</f>
        <v/>
      </c>
      <c r="K10" s="25">
        <f>F10='03. Dulieutaichinhlamsach_DD'!F10</f>
        <v/>
      </c>
      <c r="L10" s="25">
        <f>G10='03. Dulieutaichinhlamsach_DD'!G10</f>
        <v/>
      </c>
      <c r="M10" s="523">
        <f>H10='03. Dulieutaichinhlamsach_DD'!H10</f>
        <v/>
      </c>
    </row>
    <row r="11">
      <c r="B11" s="524" t="inlineStr">
        <is>
          <t>TỔNG TÀI SẢN</t>
        </is>
      </c>
      <c r="C11" s="26" t="n"/>
      <c r="D11" s="27" t="n"/>
      <c r="E11" s="27" t="n"/>
      <c r="F11" s="27" t="n"/>
      <c r="G11" s="27" t="n"/>
      <c r="H11" s="302" t="n"/>
      <c r="I11" s="270">
        <f>D11='03. Dulieutaichinhlamsach_DD'!D11</f>
        <v/>
      </c>
      <c r="J11" s="25">
        <f>E11='03. Dulieutaichinhlamsach_DD'!E11</f>
        <v/>
      </c>
      <c r="K11" s="25">
        <f>F11='03. Dulieutaichinhlamsach_DD'!F11</f>
        <v/>
      </c>
      <c r="L11" s="25">
        <f>G11='03. Dulieutaichinhlamsach_DD'!G11</f>
        <v/>
      </c>
      <c r="M11" s="523">
        <f>H11='03. Dulieutaichinhlamsach_DD'!H11</f>
        <v/>
      </c>
    </row>
    <row r="12">
      <c r="B12" s="525" t="inlineStr">
        <is>
          <t>A. TÀI SẢN NGẮN HẠN</t>
        </is>
      </c>
      <c r="C12" s="526" t="n"/>
      <c r="D12" s="527" t="n"/>
      <c r="E12" s="528" t="n"/>
      <c r="F12" s="528" t="n"/>
      <c r="G12" s="528" t="n"/>
      <c r="H12" s="529" t="n"/>
      <c r="I12" s="270">
        <f>D12='03. Dulieutaichinhlamsach_DD'!D12</f>
        <v/>
      </c>
      <c r="J12" s="25">
        <f>E12='03. Dulieutaichinhlamsach_DD'!E12</f>
        <v/>
      </c>
      <c r="K12" s="25">
        <f>F12='03. Dulieutaichinhlamsach_DD'!F12</f>
        <v/>
      </c>
      <c r="L12" s="25">
        <f>G12='03. Dulieutaichinhlamsach_DD'!G12</f>
        <v/>
      </c>
      <c r="M12" s="523">
        <f>H12='03. Dulieutaichinhlamsach_DD'!H12</f>
        <v/>
      </c>
    </row>
    <row r="13">
      <c r="B13" s="530" t="inlineStr">
        <is>
          <t xml:space="preserve">    I. Tiền và các khoản tương đương tiền</t>
        </is>
      </c>
      <c r="C13" s="531" t="n"/>
      <c r="D13" s="28" t="n"/>
      <c r="E13" s="29" t="n"/>
      <c r="F13" s="29" t="n"/>
      <c r="G13" s="29" t="n"/>
      <c r="H13" s="279" t="n"/>
      <c r="I13" s="270">
        <f>D13='03. Dulieutaichinhlamsach_DD'!D13</f>
        <v/>
      </c>
      <c r="J13" s="25">
        <f>E13='03. Dulieutaichinhlamsach_DD'!E13</f>
        <v/>
      </c>
      <c r="K13" s="25">
        <f>F13='03. Dulieutaichinhlamsach_DD'!F13</f>
        <v/>
      </c>
      <c r="L13" s="25">
        <f>G13='03. Dulieutaichinhlamsach_DD'!G13</f>
        <v/>
      </c>
      <c r="M13" s="523">
        <f>H13='03. Dulieutaichinhlamsach_DD'!H13</f>
        <v/>
      </c>
    </row>
    <row r="14">
      <c r="B14" s="280" t="inlineStr">
        <is>
          <t xml:space="preserve">          1. Tiền mặt</t>
        </is>
      </c>
      <c r="C14" s="532" t="n"/>
      <c r="D14" s="30" t="n"/>
      <c r="E14" s="30" t="n"/>
      <c r="F14" s="30" t="n"/>
      <c r="G14" s="30" t="n"/>
      <c r="H14" s="281" t="n"/>
      <c r="I14" s="270">
        <f>D14='03. Dulieutaichinhlamsach_DD'!D14</f>
        <v/>
      </c>
      <c r="J14" s="25">
        <f>E14='03. Dulieutaichinhlamsach_DD'!E14</f>
        <v/>
      </c>
      <c r="K14" s="25">
        <f>F14='03. Dulieutaichinhlamsach_DD'!F14</f>
        <v/>
      </c>
      <c r="L14" s="25">
        <f>G14='03. Dulieutaichinhlamsach_DD'!G14</f>
        <v/>
      </c>
      <c r="M14" s="523">
        <f>H14='03. Dulieutaichinhlamsach_DD'!H14</f>
        <v/>
      </c>
    </row>
    <row r="15">
      <c r="B15" s="280" t="inlineStr">
        <is>
          <t xml:space="preserve">          2. Tiền gửi ngân hàng</t>
        </is>
      </c>
      <c r="C15" s="532" t="n"/>
      <c r="D15" s="30" t="n"/>
      <c r="E15" s="30" t="n"/>
      <c r="F15" s="30" t="n"/>
      <c r="G15" s="30" t="n"/>
      <c r="H15" s="281" t="n"/>
      <c r="I15" s="270">
        <f>D15='03. Dulieutaichinhlamsach_DD'!D15</f>
        <v/>
      </c>
      <c r="J15" s="25">
        <f>E15='03. Dulieutaichinhlamsach_DD'!E15</f>
        <v/>
      </c>
      <c r="K15" s="25">
        <f>F15='03. Dulieutaichinhlamsach_DD'!F15</f>
        <v/>
      </c>
      <c r="L15" s="25">
        <f>G15='03. Dulieutaichinhlamsach_DD'!G15</f>
        <v/>
      </c>
      <c r="M15" s="523">
        <f>H15='03. Dulieutaichinhlamsach_DD'!H15</f>
        <v/>
      </c>
    </row>
    <row r="16" ht="15.75" customHeight="1" s="782" thickBot="1">
      <c r="B16" s="280" t="inlineStr">
        <is>
          <t xml:space="preserve">          3. Tiền đang chuyển</t>
        </is>
      </c>
      <c r="C16" s="532" t="n"/>
      <c r="D16" s="30" t="n"/>
      <c r="E16" s="30" t="n"/>
      <c r="F16" s="30" t="n"/>
      <c r="G16" s="31" t="n"/>
      <c r="H16" s="281" t="n"/>
      <c r="I16" s="270">
        <f>D16='03. Dulieutaichinhlamsach_DD'!D16</f>
        <v/>
      </c>
      <c r="J16" s="25">
        <f>E16='03. Dulieutaichinhlamsach_DD'!E16</f>
        <v/>
      </c>
      <c r="K16" s="25">
        <f>F16='03. Dulieutaichinhlamsach_DD'!F16</f>
        <v/>
      </c>
      <c r="L16" s="25">
        <f>G16='03. Dulieutaichinhlamsach_DD'!G16</f>
        <v/>
      </c>
      <c r="M16" s="523">
        <f>H16='03. Dulieutaichinhlamsach_DD'!H16</f>
        <v/>
      </c>
    </row>
    <row r="17" ht="30.75" customHeight="1" s="782" thickBot="1">
      <c r="B17" s="280" t="inlineStr">
        <is>
          <t xml:space="preserve">          4. Tiền (trong trường hợp Báo cáo không có 3 thông tin trên)</t>
        </is>
      </c>
      <c r="C17" s="532" t="n"/>
      <c r="D17" s="922" t="n">
        <v>5906481705</v>
      </c>
      <c r="E17" s="922" t="n">
        <v>3391437136</v>
      </c>
      <c r="F17" s="923" t="n">
        <v>1931416104</v>
      </c>
      <c r="G17" s="31" t="n"/>
      <c r="H17" s="281" t="n"/>
      <c r="I17" s="270">
        <f>D17='03. Dulieutaichinhlamsach_DD'!D17</f>
        <v/>
      </c>
      <c r="J17" s="25">
        <f>E17='03. Dulieutaichinhlamsach_DD'!E17</f>
        <v/>
      </c>
      <c r="K17" s="25">
        <f>F17='03. Dulieutaichinhlamsach_DD'!F17</f>
        <v/>
      </c>
      <c r="L17" s="25">
        <f>G17='03. Dulieutaichinhlamsach_DD'!G17</f>
        <v/>
      </c>
      <c r="M17" s="523">
        <f>H17='03. Dulieutaichinhlamsach_DD'!H17</f>
        <v/>
      </c>
    </row>
    <row r="18">
      <c r="B18" s="280" t="inlineStr">
        <is>
          <t xml:space="preserve">          5. Các khoản tương đương tiền</t>
        </is>
      </c>
      <c r="C18" s="532" t="n"/>
      <c r="D18" s="30" t="n"/>
      <c r="E18" s="30" t="n"/>
      <c r="F18" s="30" t="n"/>
      <c r="G18" s="31" t="n"/>
      <c r="H18" s="281" t="n"/>
      <c r="I18" s="270">
        <f>D18='03. Dulieutaichinhlamsach_DD'!D18</f>
        <v/>
      </c>
      <c r="J18" s="25">
        <f>E18='03. Dulieutaichinhlamsach_DD'!E18</f>
        <v/>
      </c>
      <c r="K18" s="25">
        <f>F18='03. Dulieutaichinhlamsach_DD'!F18</f>
        <v/>
      </c>
      <c r="L18" s="25">
        <f>G18='03. Dulieutaichinhlamsach_DD'!G18</f>
        <v/>
      </c>
      <c r="M18" s="523">
        <f>H18='03. Dulieutaichinhlamsach_DD'!H18</f>
        <v/>
      </c>
    </row>
    <row r="19" ht="15.75" customHeight="1" s="782" thickBot="1">
      <c r="B19" s="530" t="inlineStr">
        <is>
          <t xml:space="preserve">    II. Các khoản đầu tư tài chính ngắn hạn</t>
        </is>
      </c>
      <c r="C19" s="531" t="n"/>
      <c r="D19" s="30" t="n"/>
      <c r="E19" s="30" t="n"/>
      <c r="F19" s="30" t="n"/>
      <c r="G19" s="29" t="n"/>
      <c r="H19" s="279" t="n"/>
      <c r="I19" s="270">
        <f>D19='03. Dulieutaichinhlamsach_DD'!D19</f>
        <v/>
      </c>
      <c r="J19" s="25">
        <f>E19='03. Dulieutaichinhlamsach_DD'!E19</f>
        <v/>
      </c>
      <c r="K19" s="25">
        <f>F19='03. Dulieutaichinhlamsach_DD'!F19</f>
        <v/>
      </c>
      <c r="L19" s="25">
        <f>G19='03. Dulieutaichinhlamsach_DD'!G19</f>
        <v/>
      </c>
      <c r="M19" s="523">
        <f>H19='03. Dulieutaichinhlamsach_DD'!H19</f>
        <v/>
      </c>
    </row>
    <row r="20" ht="16.5" customHeight="1" s="782" thickBot="1">
      <c r="B20" s="280" t="inlineStr">
        <is>
          <t xml:space="preserve">          1. Chứng khoán đầu tư ngắn hạn</t>
        </is>
      </c>
      <c r="C20" s="532" t="n"/>
      <c r="D20" s="922" t="n">
        <v>0</v>
      </c>
      <c r="E20" s="922" t="n">
        <v>2376983000</v>
      </c>
      <c r="F20" s="923" t="n">
        <v>1554000000</v>
      </c>
      <c r="G20" s="30" t="n"/>
      <c r="H20" s="281" t="n"/>
      <c r="I20" s="270">
        <f>D20='03. Dulieutaichinhlamsach_DD'!D20</f>
        <v/>
      </c>
      <c r="J20" s="25">
        <f>E20='03. Dulieutaichinhlamsach_DD'!E20</f>
        <v/>
      </c>
      <c r="K20" s="25">
        <f>F20='03. Dulieutaichinhlamsach_DD'!F20</f>
        <v/>
      </c>
      <c r="L20" s="25">
        <f>G20='03. Dulieutaichinhlamsach_DD'!G20</f>
        <v/>
      </c>
      <c r="M20" s="523">
        <f>H20='03. Dulieutaichinhlamsach_DD'!H20</f>
        <v/>
      </c>
    </row>
    <row r="21">
      <c r="B21" s="280" t="inlineStr">
        <is>
          <t xml:space="preserve">          2. Đầu tư ngắn hạn khác</t>
        </is>
      </c>
      <c r="C21" s="532" t="n"/>
      <c r="D21" s="30" t="n"/>
      <c r="E21" s="30" t="n"/>
      <c r="F21" s="30" t="n"/>
      <c r="G21" s="31" t="n"/>
      <c r="H21" s="281" t="n"/>
      <c r="I21" s="270">
        <f>D21='03. Dulieutaichinhlamsach_DD'!D21</f>
        <v/>
      </c>
      <c r="J21" s="25">
        <f>E21='03. Dulieutaichinhlamsach_DD'!E21</f>
        <v/>
      </c>
      <c r="K21" s="25">
        <f>F21='03. Dulieutaichinhlamsach_DD'!F21</f>
        <v/>
      </c>
      <c r="L21" s="25">
        <f>G21='03. Dulieutaichinhlamsach_DD'!G21</f>
        <v/>
      </c>
      <c r="M21" s="523">
        <f>H21='03. Dulieutaichinhlamsach_DD'!H21</f>
        <v/>
      </c>
    </row>
    <row r="22">
      <c r="B22" s="533" t="inlineStr">
        <is>
          <t xml:space="preserve">          3. Dự phòng giảm giá đầu tư ngắn hạn</t>
        </is>
      </c>
      <c r="C22" s="532" t="n"/>
      <c r="D22" s="30" t="n"/>
      <c r="E22" s="30" t="n"/>
      <c r="F22" s="30" t="n"/>
      <c r="G22" s="31" t="n"/>
      <c r="H22" s="281" t="n"/>
      <c r="I22" s="270">
        <f>D22='03. Dulieutaichinhlamsach_DD'!D22</f>
        <v/>
      </c>
      <c r="J22" s="25">
        <f>E22='03. Dulieutaichinhlamsach_DD'!E22</f>
        <v/>
      </c>
      <c r="K22" s="25">
        <f>F22='03. Dulieutaichinhlamsach_DD'!F22</f>
        <v/>
      </c>
      <c r="L22" s="25">
        <f>G22='03. Dulieutaichinhlamsach_DD'!G22</f>
        <v/>
      </c>
      <c r="M22" s="523">
        <f>H22='03. Dulieutaichinhlamsach_DD'!H22</f>
        <v/>
      </c>
    </row>
    <row r="23" ht="30" customHeight="1" s="782">
      <c r="B23" s="533" t="inlineStr">
        <is>
          <t xml:space="preserve">          4. Đầu tư tài chính ngắn hạn (trong trường hợp báo cáo không có thông tin)</t>
        </is>
      </c>
      <c r="C23" s="532" t="n"/>
      <c r="D23" s="30" t="n"/>
      <c r="E23" s="30" t="n"/>
      <c r="F23" s="30" t="n"/>
      <c r="G23" s="31" t="n"/>
      <c r="H23" s="281" t="n"/>
      <c r="I23" s="270">
        <f>D23='03. Dulieutaichinhlamsach_DD'!D23</f>
        <v/>
      </c>
      <c r="J23" s="25">
        <f>E23='03. Dulieutaichinhlamsach_DD'!E23</f>
        <v/>
      </c>
      <c r="K23" s="25">
        <f>F23='03. Dulieutaichinhlamsach_DD'!F23</f>
        <v/>
      </c>
      <c r="L23" s="25">
        <f>G23='03. Dulieutaichinhlamsach_DD'!G23</f>
        <v/>
      </c>
      <c r="M23" s="523">
        <f>H23='03. Dulieutaichinhlamsach_DD'!H23</f>
        <v/>
      </c>
    </row>
    <row r="24" ht="15.75" customHeight="1" s="782" thickBot="1">
      <c r="B24" s="530" t="inlineStr">
        <is>
          <t xml:space="preserve">    II. Các khoản phải thu ngắn hạn</t>
        </is>
      </c>
      <c r="C24" s="531" t="n"/>
      <c r="D24" s="30" t="n"/>
      <c r="E24" s="30" t="n"/>
      <c r="F24" s="30" t="n"/>
      <c r="G24" s="29" t="n"/>
      <c r="H24" s="279" t="n"/>
      <c r="I24" s="270">
        <f>D24='03. Dulieutaichinhlamsach_DD'!D24</f>
        <v/>
      </c>
      <c r="J24" s="25">
        <f>E24='03. Dulieutaichinhlamsach_DD'!E24</f>
        <v/>
      </c>
      <c r="K24" s="25">
        <f>F24='03. Dulieutaichinhlamsach_DD'!F24</f>
        <v/>
      </c>
      <c r="L24" s="25">
        <f>G24='03. Dulieutaichinhlamsach_DD'!G24</f>
        <v/>
      </c>
      <c r="M24" s="523">
        <f>H24='03. Dulieutaichinhlamsach_DD'!H24</f>
        <v/>
      </c>
    </row>
    <row r="25" ht="16.5" customHeight="1" s="782" thickBot="1">
      <c r="B25" s="280" t="inlineStr">
        <is>
          <t xml:space="preserve">          1. Phải thu khách hàng</t>
        </is>
      </c>
      <c r="C25" s="532" t="n"/>
      <c r="D25" s="922" t="n">
        <v>3934341244</v>
      </c>
      <c r="E25" s="922" t="n">
        <v>6534405546</v>
      </c>
      <c r="F25" s="923" t="n">
        <v>60075246323</v>
      </c>
      <c r="G25" s="31" t="n"/>
      <c r="H25" s="281" t="n"/>
      <c r="I25" s="270">
        <f>D25='03. Dulieutaichinhlamsach_DD'!D25</f>
        <v/>
      </c>
      <c r="J25" s="25">
        <f>E25='03. Dulieutaichinhlamsach_DD'!E25</f>
        <v/>
      </c>
      <c r="K25" s="25">
        <f>F25='03. Dulieutaichinhlamsach_DD'!F25</f>
        <v/>
      </c>
      <c r="L25" s="25">
        <f>G25='03. Dulieutaichinhlamsach_DD'!G25</f>
        <v/>
      </c>
      <c r="M25" s="523">
        <f>H25='03. Dulieutaichinhlamsach_DD'!H25</f>
        <v/>
      </c>
    </row>
    <row r="26" ht="16.5" customHeight="1" s="782" thickBot="1">
      <c r="B26" s="280" t="inlineStr">
        <is>
          <t xml:space="preserve">          2. Trả trước cho người bán</t>
        </is>
      </c>
      <c r="C26" s="532" t="n"/>
      <c r="D26" s="922" t="n">
        <v>926771100</v>
      </c>
      <c r="E26" s="922" t="n">
        <v>19024451267</v>
      </c>
      <c r="F26" s="923" t="n">
        <v>29725842988</v>
      </c>
      <c r="G26" s="30" t="n"/>
      <c r="H26" s="281" t="n"/>
      <c r="I26" s="270">
        <f>D26='03. Dulieutaichinhlamsach_DD'!D26</f>
        <v/>
      </c>
      <c r="J26" s="25">
        <f>E26='03. Dulieutaichinhlamsach_DD'!E26</f>
        <v/>
      </c>
      <c r="K26" s="25">
        <f>F26='03. Dulieutaichinhlamsach_DD'!F26</f>
        <v/>
      </c>
      <c r="L26" s="25">
        <f>G26='03. Dulieutaichinhlamsach_DD'!G26</f>
        <v/>
      </c>
      <c r="M26" s="523">
        <f>H26='03. Dulieutaichinhlamsach_DD'!H26</f>
        <v/>
      </c>
    </row>
    <row r="27" ht="16.5" customHeight="1" s="782" thickBot="1">
      <c r="B27" s="280" t="inlineStr">
        <is>
          <t xml:space="preserve">          3. Phải thu nội bộ ngắn hạn</t>
        </is>
      </c>
      <c r="C27" s="532" t="n"/>
      <c r="D27" s="922" t="n">
        <v>0</v>
      </c>
      <c r="E27" s="922" t="n">
        <v>0</v>
      </c>
      <c r="F27" s="923" t="n">
        <v>6150000000</v>
      </c>
      <c r="G27" s="31" t="n"/>
      <c r="H27" s="281" t="n"/>
      <c r="I27" s="270">
        <f>D27='03. Dulieutaichinhlamsach_DD'!D27</f>
        <v/>
      </c>
      <c r="J27" s="25">
        <f>E27='03. Dulieutaichinhlamsach_DD'!E27</f>
        <v/>
      </c>
      <c r="K27" s="25">
        <f>F27='03. Dulieutaichinhlamsach_DD'!F27</f>
        <v/>
      </c>
      <c r="L27" s="25">
        <f>G27='03. Dulieutaichinhlamsach_DD'!G27</f>
        <v/>
      </c>
      <c r="M27" s="523">
        <f>H27='03. Dulieutaichinhlamsach_DD'!H27</f>
        <v/>
      </c>
    </row>
    <row r="28" ht="15.75" customHeight="1" s="782" thickBot="1">
      <c r="B28" s="280" t="inlineStr">
        <is>
          <t xml:space="preserve">          4. Phải thu theo tiến độ kế hoạch hợp đồng xây dựng</t>
        </is>
      </c>
      <c r="C28" s="532" t="n"/>
      <c r="D28" s="30" t="n"/>
      <c r="E28" s="30" t="n"/>
      <c r="F28" s="30" t="n"/>
      <c r="G28" s="31" t="n"/>
      <c r="H28" s="281" t="n"/>
      <c r="I28" s="270">
        <f>D28='03. Dulieutaichinhlamsach_DD'!D28</f>
        <v/>
      </c>
      <c r="J28" s="25">
        <f>E28='03. Dulieutaichinhlamsach_DD'!E28</f>
        <v/>
      </c>
      <c r="K28" s="25">
        <f>F28='03. Dulieutaichinhlamsach_DD'!F28</f>
        <v/>
      </c>
      <c r="L28" s="25">
        <f>G28='03. Dulieutaichinhlamsach_DD'!G28</f>
        <v/>
      </c>
      <c r="M28" s="523">
        <f>H28='03. Dulieutaichinhlamsach_DD'!H28</f>
        <v/>
      </c>
    </row>
    <row r="29" ht="16.5" customHeight="1" s="782" thickBot="1">
      <c r="B29" s="280" t="inlineStr">
        <is>
          <t xml:space="preserve">          5. Các khoản phải thu khác</t>
        </is>
      </c>
      <c r="C29" s="532" t="n"/>
      <c r="D29" s="922" t="n">
        <v>5000000</v>
      </c>
      <c r="E29" s="922" t="n">
        <v>17089489834</v>
      </c>
      <c r="F29" s="923" t="n">
        <v>32205108687</v>
      </c>
      <c r="G29" s="31" t="n"/>
      <c r="H29" s="281" t="n"/>
      <c r="I29" s="270">
        <f>D29='03. Dulieutaichinhlamsach_DD'!D29</f>
        <v/>
      </c>
      <c r="J29" s="25">
        <f>E29='03. Dulieutaichinhlamsach_DD'!E29</f>
        <v/>
      </c>
      <c r="K29" s="25">
        <f>F29='03. Dulieutaichinhlamsach_DD'!F29</f>
        <v/>
      </c>
      <c r="L29" s="25">
        <f>G29='03. Dulieutaichinhlamsach_DD'!G29</f>
        <v/>
      </c>
      <c r="M29" s="523">
        <f>H29='03. Dulieutaichinhlamsach_DD'!H29</f>
        <v/>
      </c>
    </row>
    <row r="30" ht="16.5" customHeight="1" s="782" thickBot="1">
      <c r="B30" s="533" t="inlineStr">
        <is>
          <t xml:space="preserve">          6. Dự phòng phải thu ngắn hạn khó đòi</t>
        </is>
      </c>
      <c r="C30" s="532" t="n"/>
      <c r="D30" s="922" t="n">
        <v>0</v>
      </c>
      <c r="E30" s="922" t="n">
        <v>0</v>
      </c>
      <c r="F30" s="923" t="n">
        <v>-2192564099</v>
      </c>
      <c r="G30" s="31" t="n"/>
      <c r="H30" s="281" t="n"/>
      <c r="I30" s="270">
        <f>D30='03. Dulieutaichinhlamsach_DD'!D30</f>
        <v/>
      </c>
      <c r="J30" s="25">
        <f>E30='03. Dulieutaichinhlamsach_DD'!E30</f>
        <v/>
      </c>
      <c r="K30" s="25">
        <f>F30='03. Dulieutaichinhlamsach_DD'!F30</f>
        <v/>
      </c>
      <c r="L30" s="25">
        <f>G30='03. Dulieutaichinhlamsach_DD'!G30</f>
        <v/>
      </c>
      <c r="M30" s="523">
        <f>H30='03. Dulieutaichinhlamsach_DD'!H30</f>
        <v/>
      </c>
    </row>
    <row r="31">
      <c r="B31" s="530" t="inlineStr">
        <is>
          <t xml:space="preserve">    IV. Hàng tồn kho</t>
        </is>
      </c>
      <c r="C31" s="531" t="n"/>
      <c r="D31" s="30" t="n"/>
      <c r="E31" s="30" t="n"/>
      <c r="F31" s="30" t="n"/>
      <c r="G31" s="29" t="n"/>
      <c r="H31" s="279" t="n"/>
      <c r="I31" s="270">
        <f>D31='03. Dulieutaichinhlamsach_DD'!D31</f>
        <v/>
      </c>
      <c r="J31" s="25">
        <f>E31='03. Dulieutaichinhlamsach_DD'!E31</f>
        <v/>
      </c>
      <c r="K31" s="25">
        <f>F31='03. Dulieutaichinhlamsach_DD'!F31</f>
        <v/>
      </c>
      <c r="L31" s="25">
        <f>G31='03. Dulieutaichinhlamsach_DD'!G31</f>
        <v/>
      </c>
      <c r="M31" s="523">
        <f>H31='03. Dulieutaichinhlamsach_DD'!H31</f>
        <v/>
      </c>
    </row>
    <row r="32">
      <c r="B32" s="280" t="inlineStr">
        <is>
          <t xml:space="preserve">          1. Hàng mua đang đi đường</t>
        </is>
      </c>
      <c r="C32" s="532" t="n"/>
      <c r="D32" s="30" t="n"/>
      <c r="E32" s="30" t="n"/>
      <c r="F32" s="30" t="n"/>
      <c r="G32" s="31" t="n"/>
      <c r="H32" s="281" t="n"/>
      <c r="I32" s="270">
        <f>D32='03. Dulieutaichinhlamsach_DD'!D32</f>
        <v/>
      </c>
      <c r="J32" s="25">
        <f>E32='03. Dulieutaichinhlamsach_DD'!E32</f>
        <v/>
      </c>
      <c r="K32" s="25">
        <f>F32='03. Dulieutaichinhlamsach_DD'!F32</f>
        <v/>
      </c>
      <c r="L32" s="25">
        <f>G32='03. Dulieutaichinhlamsach_DD'!G32</f>
        <v/>
      </c>
      <c r="M32" s="523">
        <f>H32='03. Dulieutaichinhlamsach_DD'!H32</f>
        <v/>
      </c>
    </row>
    <row r="33">
      <c r="B33" s="280" t="inlineStr">
        <is>
          <t xml:space="preserve">          2. Nguyên liệu, vật liệu</t>
        </is>
      </c>
      <c r="C33" s="532" t="n"/>
      <c r="D33" s="30" t="n"/>
      <c r="E33" s="30" t="n"/>
      <c r="F33" s="30" t="n"/>
      <c r="G33" s="30" t="n"/>
      <c r="H33" s="281" t="n"/>
      <c r="I33" s="270">
        <f>D33='03. Dulieutaichinhlamsach_DD'!D33</f>
        <v/>
      </c>
      <c r="J33" s="25">
        <f>E33='03. Dulieutaichinhlamsach_DD'!E33</f>
        <v/>
      </c>
      <c r="K33" s="25">
        <f>F33='03. Dulieutaichinhlamsach_DD'!F33</f>
        <v/>
      </c>
      <c r="L33" s="25">
        <f>G33='03. Dulieutaichinhlamsach_DD'!G33</f>
        <v/>
      </c>
      <c r="M33" s="523">
        <f>H33='03. Dulieutaichinhlamsach_DD'!H33</f>
        <v/>
      </c>
    </row>
    <row r="34">
      <c r="B34" s="280" t="inlineStr">
        <is>
          <t xml:space="preserve">          3. Công cụ, dụng cụ</t>
        </is>
      </c>
      <c r="C34" s="532" t="n"/>
      <c r="D34" s="30" t="n"/>
      <c r="E34" s="30" t="n"/>
      <c r="F34" s="30" t="n"/>
      <c r="G34" s="30" t="n"/>
      <c r="H34" s="281" t="n"/>
      <c r="I34" s="270">
        <f>D34='03. Dulieutaichinhlamsach_DD'!D34</f>
        <v/>
      </c>
      <c r="J34" s="25">
        <f>E34='03. Dulieutaichinhlamsach_DD'!E34</f>
        <v/>
      </c>
      <c r="K34" s="25">
        <f>F34='03. Dulieutaichinhlamsach_DD'!F34</f>
        <v/>
      </c>
      <c r="L34" s="25">
        <f>G34='03. Dulieutaichinhlamsach_DD'!G34</f>
        <v/>
      </c>
      <c r="M34" s="523">
        <f>H34='03. Dulieutaichinhlamsach_DD'!H34</f>
        <v/>
      </c>
    </row>
    <row r="35">
      <c r="B35" s="280" t="inlineStr">
        <is>
          <t xml:space="preserve">          4. Chi phí SX, KD dở dang</t>
        </is>
      </c>
      <c r="C35" s="532" t="n"/>
      <c r="D35" s="30" t="n"/>
      <c r="E35" s="30" t="n"/>
      <c r="F35" s="30" t="n"/>
      <c r="G35" s="30" t="n"/>
      <c r="H35" s="281" t="n"/>
      <c r="I35" s="270">
        <f>D35='03. Dulieutaichinhlamsach_DD'!D35</f>
        <v/>
      </c>
      <c r="J35" s="25">
        <f>E35='03. Dulieutaichinhlamsach_DD'!E35</f>
        <v/>
      </c>
      <c r="K35" s="25">
        <f>F35='03. Dulieutaichinhlamsach_DD'!F35</f>
        <v/>
      </c>
      <c r="L35" s="25">
        <f>G35='03. Dulieutaichinhlamsach_DD'!G35</f>
        <v/>
      </c>
      <c r="M35" s="523">
        <f>H35='03. Dulieutaichinhlamsach_DD'!H35</f>
        <v/>
      </c>
    </row>
    <row r="36">
      <c r="B36" s="280" t="inlineStr">
        <is>
          <t xml:space="preserve">          5. Thành phẩm</t>
        </is>
      </c>
      <c r="C36" s="532" t="n"/>
      <c r="D36" s="30" t="n"/>
      <c r="E36" s="30" t="n"/>
      <c r="F36" s="30" t="n"/>
      <c r="G36" s="31" t="n"/>
      <c r="H36" s="281" t="n"/>
      <c r="I36" s="270">
        <f>D36='03. Dulieutaichinhlamsach_DD'!D36</f>
        <v/>
      </c>
      <c r="J36" s="25">
        <f>E36='03. Dulieutaichinhlamsach_DD'!E36</f>
        <v/>
      </c>
      <c r="K36" s="25">
        <f>F36='03. Dulieutaichinhlamsach_DD'!F36</f>
        <v/>
      </c>
      <c r="L36" s="25">
        <f>G36='03. Dulieutaichinhlamsach_DD'!G36</f>
        <v/>
      </c>
      <c r="M36" s="523">
        <f>H36='03. Dulieutaichinhlamsach_DD'!H36</f>
        <v/>
      </c>
    </row>
    <row r="37">
      <c r="B37" s="280" t="inlineStr">
        <is>
          <t xml:space="preserve">          6. Hàng hóa</t>
        </is>
      </c>
      <c r="C37" s="532" t="n"/>
      <c r="D37" s="30" t="n"/>
      <c r="E37" s="30" t="n"/>
      <c r="F37" s="30" t="n"/>
      <c r="G37" s="31" t="n"/>
      <c r="H37" s="281" t="n"/>
      <c r="I37" s="270">
        <f>D37='03. Dulieutaichinhlamsach_DD'!D37</f>
        <v/>
      </c>
      <c r="J37" s="25">
        <f>E37='03. Dulieutaichinhlamsach_DD'!E37</f>
        <v/>
      </c>
      <c r="K37" s="25">
        <f>F37='03. Dulieutaichinhlamsach_DD'!F37</f>
        <v/>
      </c>
      <c r="L37" s="25">
        <f>G37='03. Dulieutaichinhlamsach_DD'!G37</f>
        <v/>
      </c>
      <c r="M37" s="523">
        <f>H37='03. Dulieutaichinhlamsach_DD'!H37</f>
        <v/>
      </c>
    </row>
    <row r="38">
      <c r="B38" s="280" t="inlineStr">
        <is>
          <t xml:space="preserve">          7. Hàng gửi đi bán</t>
        </is>
      </c>
      <c r="C38" s="532" t="n"/>
      <c r="D38" s="30" t="n"/>
      <c r="E38" s="30" t="n"/>
      <c r="F38" s="30" t="n"/>
      <c r="G38" s="31" t="n"/>
      <c r="H38" s="281" t="n"/>
      <c r="I38" s="270">
        <f>D38='03. Dulieutaichinhlamsach_DD'!D38</f>
        <v/>
      </c>
      <c r="J38" s="25">
        <f>E38='03. Dulieutaichinhlamsach_DD'!E38</f>
        <v/>
      </c>
      <c r="K38" s="25">
        <f>F38='03. Dulieutaichinhlamsach_DD'!F38</f>
        <v/>
      </c>
      <c r="L38" s="25">
        <f>G38='03. Dulieutaichinhlamsach_DD'!G38</f>
        <v/>
      </c>
      <c r="M38" s="523">
        <f>H38='03. Dulieutaichinhlamsach_DD'!H38</f>
        <v/>
      </c>
    </row>
    <row r="39">
      <c r="B39" s="280" t="inlineStr">
        <is>
          <t xml:space="preserve">          8. Hàng hóa kho bảo thuế</t>
        </is>
      </c>
      <c r="C39" s="532" t="n"/>
      <c r="D39" s="30" t="n"/>
      <c r="E39" s="30" t="n"/>
      <c r="F39" s="30" t="n"/>
      <c r="G39" s="31" t="n"/>
      <c r="H39" s="281" t="n"/>
      <c r="I39" s="270">
        <f>D39='03. Dulieutaichinhlamsach_DD'!D39</f>
        <v/>
      </c>
      <c r="J39" s="25">
        <f>E39='03. Dulieutaichinhlamsach_DD'!E39</f>
        <v/>
      </c>
      <c r="K39" s="25">
        <f>F39='03. Dulieutaichinhlamsach_DD'!F39</f>
        <v/>
      </c>
      <c r="L39" s="25">
        <f>G39='03. Dulieutaichinhlamsach_DD'!G39</f>
        <v/>
      </c>
      <c r="M39" s="523">
        <f>H39='03. Dulieutaichinhlamsach_DD'!H39</f>
        <v/>
      </c>
    </row>
    <row r="40">
      <c r="B40" s="280" t="inlineStr">
        <is>
          <t xml:space="preserve">          9. Hàng hóa bất động sản</t>
        </is>
      </c>
      <c r="C40" s="532" t="n"/>
      <c r="D40" s="30" t="n"/>
      <c r="E40" s="30" t="n"/>
      <c r="F40" s="30" t="n"/>
      <c r="G40" s="31" t="n"/>
      <c r="H40" s="281" t="n"/>
      <c r="I40" s="270">
        <f>D40='03. Dulieutaichinhlamsach_DD'!D40</f>
        <v/>
      </c>
      <c r="J40" s="25">
        <f>E40='03. Dulieutaichinhlamsach_DD'!E40</f>
        <v/>
      </c>
      <c r="K40" s="25">
        <f>F40='03. Dulieutaichinhlamsach_DD'!F40</f>
        <v/>
      </c>
      <c r="L40" s="25">
        <f>G40='03. Dulieutaichinhlamsach_DD'!G40</f>
        <v/>
      </c>
      <c r="M40" s="523">
        <f>H40='03. Dulieutaichinhlamsach_DD'!H40</f>
        <v/>
      </c>
    </row>
    <row r="41" ht="15.75" customHeight="1" s="782" thickBot="1">
      <c r="B41" s="533" t="inlineStr">
        <is>
          <t xml:space="preserve">          10. Dự phòng giảm giá hàng tồn kho</t>
        </is>
      </c>
      <c r="C41" s="532" t="n"/>
      <c r="D41" s="30" t="n"/>
      <c r="E41" s="30" t="n"/>
      <c r="F41" s="30" t="n"/>
      <c r="G41" s="31" t="n"/>
      <c r="H41" s="281" t="n"/>
      <c r="I41" s="270">
        <f>D41='03. Dulieutaichinhlamsach_DD'!D41</f>
        <v/>
      </c>
      <c r="J41" s="25">
        <f>E41='03. Dulieutaichinhlamsach_DD'!E41</f>
        <v/>
      </c>
      <c r="K41" s="25">
        <f>F41='03. Dulieutaichinhlamsach_DD'!F41</f>
        <v/>
      </c>
      <c r="L41" s="25">
        <f>G41='03. Dulieutaichinhlamsach_DD'!G41</f>
        <v/>
      </c>
      <c r="M41" s="523">
        <f>H41='03. Dulieutaichinhlamsach_DD'!H41</f>
        <v/>
      </c>
    </row>
    <row r="42" ht="30.75" customHeight="1" s="782" thickBot="1">
      <c r="B42" s="533" t="inlineStr">
        <is>
          <t xml:space="preserve">          11. Hàng tồn kho (trong trường hợp báo cáo không có thông tin chi tiết)</t>
        </is>
      </c>
      <c r="C42" s="532" t="n"/>
      <c r="D42" s="922" t="n">
        <v>3531140741</v>
      </c>
      <c r="E42" s="922" t="n">
        <v>6071337045</v>
      </c>
      <c r="F42" s="923" t="n">
        <v>1471492473</v>
      </c>
      <c r="G42" s="31" t="n"/>
      <c r="H42" s="281" t="n"/>
      <c r="I42" s="270">
        <f>D42='03. Dulieutaichinhlamsach_DD'!D42</f>
        <v/>
      </c>
      <c r="J42" s="25">
        <f>E42='03. Dulieutaichinhlamsach_DD'!E42</f>
        <v/>
      </c>
      <c r="K42" s="25">
        <f>F42='03. Dulieutaichinhlamsach_DD'!F42</f>
        <v/>
      </c>
      <c r="L42" s="25">
        <f>G42='03. Dulieutaichinhlamsach_DD'!G42</f>
        <v/>
      </c>
      <c r="M42" s="523">
        <f>H42='03. Dulieutaichinhlamsach_DD'!H42</f>
        <v/>
      </c>
    </row>
    <row r="43" ht="15.75" customHeight="1" s="782" thickBot="1">
      <c r="B43" s="530" t="inlineStr">
        <is>
          <t xml:space="preserve">    V. Tài sản ngắn hạn khác </t>
        </is>
      </c>
      <c r="C43" s="531" t="n"/>
      <c r="D43" s="30" t="n"/>
      <c r="E43" s="30" t="n"/>
      <c r="F43" s="30" t="n"/>
      <c r="G43" s="29" t="n"/>
      <c r="H43" s="279" t="n"/>
      <c r="I43" s="270">
        <f>D43='03. Dulieutaichinhlamsach_DD'!D43</f>
        <v/>
      </c>
      <c r="J43" s="25">
        <f>E43='03. Dulieutaichinhlamsach_DD'!E43</f>
        <v/>
      </c>
      <c r="K43" s="25">
        <f>F43='03. Dulieutaichinhlamsach_DD'!F43</f>
        <v/>
      </c>
      <c r="L43" s="25">
        <f>G43='03. Dulieutaichinhlamsach_DD'!G43</f>
        <v/>
      </c>
      <c r="M43" s="523">
        <f>H43='03. Dulieutaichinhlamsach_DD'!H43</f>
        <v/>
      </c>
    </row>
    <row r="44" ht="16.5" customHeight="1" s="782" thickBot="1">
      <c r="B44" s="280" t="inlineStr">
        <is>
          <t xml:space="preserve">          1. Chi phí trả trước ngắn hạn</t>
        </is>
      </c>
      <c r="C44" s="532" t="n"/>
      <c r="D44" s="922" t="n">
        <v>0</v>
      </c>
      <c r="E44" s="922" t="n">
        <v>0</v>
      </c>
      <c r="F44" s="923" t="n">
        <v>593497916</v>
      </c>
      <c r="G44" s="31" t="n"/>
      <c r="H44" s="281" t="n"/>
      <c r="I44" s="270">
        <f>D44='03. Dulieutaichinhlamsach_DD'!D44</f>
        <v/>
      </c>
      <c r="J44" s="25">
        <f>E44='03. Dulieutaichinhlamsach_DD'!E44</f>
        <v/>
      </c>
      <c r="K44" s="25">
        <f>F44='03. Dulieutaichinhlamsach_DD'!F44</f>
        <v/>
      </c>
      <c r="L44" s="25">
        <f>G44='03. Dulieutaichinhlamsach_DD'!G44</f>
        <v/>
      </c>
      <c r="M44" s="523">
        <f>H44='03. Dulieutaichinhlamsach_DD'!H44</f>
        <v/>
      </c>
    </row>
    <row r="45" ht="16.5" customHeight="1" s="782" thickBot="1">
      <c r="B45" s="280" t="inlineStr">
        <is>
          <t xml:space="preserve">          2. Thuế GTGT được khấu trừ</t>
        </is>
      </c>
      <c r="C45" s="532" t="n"/>
      <c r="D45" s="922" t="n">
        <v>2749046708</v>
      </c>
      <c r="E45" s="922" t="n">
        <v>1144174156</v>
      </c>
      <c r="F45" s="923" t="n">
        <v>12518378703</v>
      </c>
      <c r="G45" s="31" t="n"/>
      <c r="H45" s="281" t="n"/>
      <c r="I45" s="270">
        <f>D45='03. Dulieutaichinhlamsach_DD'!D45</f>
        <v/>
      </c>
      <c r="J45" s="25">
        <f>E45='03. Dulieutaichinhlamsach_DD'!E45</f>
        <v/>
      </c>
      <c r="K45" s="25">
        <f>F45='03. Dulieutaichinhlamsach_DD'!F45</f>
        <v/>
      </c>
      <c r="L45" s="25">
        <f>G45='03. Dulieutaichinhlamsach_DD'!G45</f>
        <v/>
      </c>
      <c r="M45" s="523">
        <f>H45='03. Dulieutaichinhlamsach_DD'!H45</f>
        <v/>
      </c>
    </row>
    <row r="46">
      <c r="B46" s="280" t="inlineStr">
        <is>
          <t xml:space="preserve">          3. Thuế và các khoản khác phải thu Nhà nước</t>
        </is>
      </c>
      <c r="C46" s="532" t="n"/>
      <c r="D46" s="31" t="n"/>
      <c r="E46" s="31" t="n"/>
      <c r="F46" s="31" t="n"/>
      <c r="G46" s="31" t="n"/>
      <c r="H46" s="281" t="n"/>
      <c r="I46" s="270">
        <f>D46='03. Dulieutaichinhlamsach_DD'!D46</f>
        <v/>
      </c>
      <c r="J46" s="25">
        <f>E46='03. Dulieutaichinhlamsach_DD'!E46</f>
        <v/>
      </c>
      <c r="K46" s="25">
        <f>F46='03. Dulieutaichinhlamsach_DD'!F46</f>
        <v/>
      </c>
      <c r="L46" s="25">
        <f>G46='03. Dulieutaichinhlamsach_DD'!G46</f>
        <v/>
      </c>
      <c r="M46" s="523">
        <f>H46='03. Dulieutaichinhlamsach_DD'!H46</f>
        <v/>
      </c>
    </row>
    <row r="47" ht="15.75" customHeight="1" s="782" thickBot="1">
      <c r="B47" s="280" t="inlineStr">
        <is>
          <t xml:space="preserve">          4. Giao dịch mua bán lại trái phiếu chính phủ</t>
        </is>
      </c>
      <c r="C47" s="532" t="n"/>
      <c r="D47" s="31" t="n"/>
      <c r="E47" s="31" t="n"/>
      <c r="F47" s="31" t="n"/>
      <c r="G47" s="31" t="n"/>
      <c r="H47" s="281" t="n"/>
      <c r="I47" s="270">
        <f>D47='03. Dulieutaichinhlamsach_DD'!D47</f>
        <v/>
      </c>
      <c r="J47" s="25">
        <f>E47='03. Dulieutaichinhlamsach_DD'!E47</f>
        <v/>
      </c>
      <c r="K47" s="25">
        <f>F47='03. Dulieutaichinhlamsach_DD'!F47</f>
        <v/>
      </c>
      <c r="L47" s="25">
        <f>G47='03. Dulieutaichinhlamsach_DD'!G47</f>
        <v/>
      </c>
      <c r="M47" s="523">
        <f>H47='03. Dulieutaichinhlamsach_DD'!H47</f>
        <v/>
      </c>
    </row>
    <row r="48" ht="16.5" customHeight="1" s="782" thickBot="1">
      <c r="B48" s="280" t="inlineStr">
        <is>
          <t xml:space="preserve">          5. Tài sản ngắn hạn khác</t>
        </is>
      </c>
      <c r="C48" s="532" t="n"/>
      <c r="D48" s="922" t="n"/>
      <c r="E48" s="922" t="n"/>
      <c r="F48" s="923" t="n"/>
      <c r="G48" s="31" t="n"/>
      <c r="H48" s="281" t="n"/>
      <c r="I48" s="270">
        <f>D48='03. Dulieutaichinhlamsach_DD'!D48</f>
        <v/>
      </c>
      <c r="J48" s="25">
        <f>E48='03. Dulieutaichinhlamsach_DD'!E48</f>
        <v/>
      </c>
      <c r="K48" s="25">
        <f>F48='03. Dulieutaichinhlamsach_DD'!F48</f>
        <v/>
      </c>
      <c r="L48" s="25">
        <f>G48='03. Dulieutaichinhlamsach_DD'!G48</f>
        <v/>
      </c>
      <c r="M48" s="523">
        <f>H48='03. Dulieutaichinhlamsach_DD'!H48</f>
        <v/>
      </c>
    </row>
    <row r="49">
      <c r="B49" s="530" t="inlineStr">
        <is>
          <t>B. TÀI SẢN DÀI HẠN</t>
        </is>
      </c>
      <c r="C49" s="534" t="n"/>
      <c r="D49" s="30" t="n"/>
      <c r="E49" s="30" t="n"/>
      <c r="F49" s="30" t="n"/>
      <c r="G49" s="29" t="n"/>
      <c r="H49" s="279" t="n"/>
      <c r="I49" s="270">
        <f>D49='03. Dulieutaichinhlamsach_DD'!D49</f>
        <v/>
      </c>
      <c r="J49" s="25">
        <f>E49='03. Dulieutaichinhlamsach_DD'!E49</f>
        <v/>
      </c>
      <c r="K49" s="25">
        <f>F49='03. Dulieutaichinhlamsach_DD'!F49</f>
        <v/>
      </c>
      <c r="L49" s="25">
        <f>G49='03. Dulieutaichinhlamsach_DD'!G49</f>
        <v/>
      </c>
      <c r="M49" s="523">
        <f>H49='03. Dulieutaichinhlamsach_DD'!H49</f>
        <v/>
      </c>
    </row>
    <row r="50">
      <c r="B50" s="530" t="inlineStr">
        <is>
          <t xml:space="preserve">    I. Các khoản phải thu dài hạn</t>
        </is>
      </c>
      <c r="C50" s="531" t="n"/>
      <c r="D50" s="30" t="n"/>
      <c r="E50" s="30" t="n"/>
      <c r="F50" s="30" t="n"/>
      <c r="G50" s="29" t="n"/>
      <c r="H50" s="279" t="n"/>
      <c r="I50" s="270">
        <f>D50='03. Dulieutaichinhlamsach_DD'!D50</f>
        <v/>
      </c>
      <c r="J50" s="25">
        <f>E50='03. Dulieutaichinhlamsach_DD'!E50</f>
        <v/>
      </c>
      <c r="K50" s="25">
        <f>F50='03. Dulieutaichinhlamsach_DD'!F50</f>
        <v/>
      </c>
      <c r="L50" s="25">
        <f>G50='03. Dulieutaichinhlamsach_DD'!G50</f>
        <v/>
      </c>
      <c r="M50" s="523">
        <f>H50='03. Dulieutaichinhlamsach_DD'!H50</f>
        <v/>
      </c>
    </row>
    <row r="51">
      <c r="B51" s="280" t="inlineStr">
        <is>
          <t xml:space="preserve">          1. Phải thu dài hạn của khách hàng</t>
        </is>
      </c>
      <c r="C51" s="532" t="n"/>
      <c r="D51" s="30" t="n"/>
      <c r="E51" s="30" t="n"/>
      <c r="F51" s="30" t="n"/>
      <c r="G51" s="32" t="n"/>
      <c r="H51" s="282" t="n"/>
      <c r="I51" s="270">
        <f>D51='03. Dulieutaichinhlamsach_DD'!D51</f>
        <v/>
      </c>
      <c r="J51" s="25">
        <f>E51='03. Dulieutaichinhlamsach_DD'!E51</f>
        <v/>
      </c>
      <c r="K51" s="25">
        <f>F51='03. Dulieutaichinhlamsach_DD'!F51</f>
        <v/>
      </c>
      <c r="L51" s="25">
        <f>G51='03. Dulieutaichinhlamsach_DD'!G51</f>
        <v/>
      </c>
      <c r="M51" s="523">
        <f>H51='03. Dulieutaichinhlamsach_DD'!H51</f>
        <v/>
      </c>
    </row>
    <row r="52">
      <c r="B52" s="280" t="inlineStr">
        <is>
          <t xml:space="preserve">          2. Vốn kinh doanh ở đơn vị trực thuộc</t>
        </is>
      </c>
      <c r="C52" s="532" t="n"/>
      <c r="D52" s="30" t="n"/>
      <c r="E52" s="30" t="n"/>
      <c r="F52" s="30" t="n"/>
      <c r="G52" s="32" t="n"/>
      <c r="H52" s="282" t="n"/>
      <c r="I52" s="270">
        <f>D52='03. Dulieutaichinhlamsach_DD'!D52</f>
        <v/>
      </c>
      <c r="J52" s="25">
        <f>E52='03. Dulieutaichinhlamsach_DD'!E52</f>
        <v/>
      </c>
      <c r="K52" s="25">
        <f>F52='03. Dulieutaichinhlamsach_DD'!F52</f>
        <v/>
      </c>
      <c r="L52" s="25">
        <f>G52='03. Dulieutaichinhlamsach_DD'!G52</f>
        <v/>
      </c>
      <c r="M52" s="523">
        <f>H52='03. Dulieutaichinhlamsach_DD'!H52</f>
        <v/>
      </c>
    </row>
    <row r="53" ht="15.75" customHeight="1" s="782" thickBot="1">
      <c r="B53" s="280" t="inlineStr">
        <is>
          <t xml:space="preserve">          3. Phải thu dài hạn nội bộ</t>
        </is>
      </c>
      <c r="C53" s="532" t="n"/>
      <c r="D53" s="30" t="n"/>
      <c r="E53" s="30" t="n"/>
      <c r="F53" s="30" t="n"/>
      <c r="G53" s="32" t="n"/>
      <c r="H53" s="282" t="n"/>
      <c r="I53" s="270">
        <f>D53='03. Dulieutaichinhlamsach_DD'!D53</f>
        <v/>
      </c>
      <c r="J53" s="25">
        <f>E53='03. Dulieutaichinhlamsach_DD'!E53</f>
        <v/>
      </c>
      <c r="K53" s="25">
        <f>F53='03. Dulieutaichinhlamsach_DD'!F53</f>
        <v/>
      </c>
      <c r="L53" s="25">
        <f>G53='03. Dulieutaichinhlamsach_DD'!G53</f>
        <v/>
      </c>
      <c r="M53" s="523">
        <f>H53='03. Dulieutaichinhlamsach_DD'!H53</f>
        <v/>
      </c>
    </row>
    <row r="54" ht="16.5" customHeight="1" s="782" thickBot="1">
      <c r="B54" s="280" t="inlineStr">
        <is>
          <t xml:space="preserve">          4. Phải thu dài hạn khác</t>
        </is>
      </c>
      <c r="C54" s="532" t="n"/>
      <c r="D54" s="922" t="n">
        <v>57343200</v>
      </c>
      <c r="E54" s="922" t="n">
        <v>57343200</v>
      </c>
      <c r="F54" s="923" t="n">
        <v>100000000</v>
      </c>
      <c r="G54" s="32" t="n"/>
      <c r="H54" s="282" t="n"/>
      <c r="I54" s="270">
        <f>D54='03. Dulieutaichinhlamsach_DD'!D54</f>
        <v/>
      </c>
      <c r="J54" s="25">
        <f>E54='03. Dulieutaichinhlamsach_DD'!E54</f>
        <v/>
      </c>
      <c r="K54" s="25">
        <f>F54='03. Dulieutaichinhlamsach_DD'!F54</f>
        <v/>
      </c>
      <c r="L54" s="25">
        <f>G54='03. Dulieutaichinhlamsach_DD'!G54</f>
        <v/>
      </c>
      <c r="M54" s="523">
        <f>H54='03. Dulieutaichinhlamsach_DD'!H54</f>
        <v/>
      </c>
    </row>
    <row r="55">
      <c r="B55" s="533" t="inlineStr">
        <is>
          <t xml:space="preserve">          5. Dự phòng phải thu dài hạn khó đòi</t>
        </is>
      </c>
      <c r="C55" s="532" t="n"/>
      <c r="D55" s="30" t="n"/>
      <c r="E55" s="30" t="n"/>
      <c r="F55" s="30" t="n"/>
      <c r="G55" s="31" t="n"/>
      <c r="H55" s="281" t="n"/>
      <c r="I55" s="270">
        <f>D55='03. Dulieutaichinhlamsach_DD'!D55</f>
        <v/>
      </c>
      <c r="J55" s="25">
        <f>E55='03. Dulieutaichinhlamsach_DD'!E55</f>
        <v/>
      </c>
      <c r="K55" s="25">
        <f>F55='03. Dulieutaichinhlamsach_DD'!F55</f>
        <v/>
      </c>
      <c r="L55" s="25">
        <f>G55='03. Dulieutaichinhlamsach_DD'!G55</f>
        <v/>
      </c>
      <c r="M55" s="523">
        <f>H55='03. Dulieutaichinhlamsach_DD'!H55</f>
        <v/>
      </c>
    </row>
    <row r="56">
      <c r="B56" s="530" t="inlineStr">
        <is>
          <t xml:space="preserve">    II. Tài sản cố định</t>
        </is>
      </c>
      <c r="C56" s="532" t="n"/>
      <c r="D56" s="30" t="n"/>
      <c r="E56" s="30" t="n"/>
      <c r="F56" s="30" t="n"/>
      <c r="G56" s="29" t="n"/>
      <c r="H56" s="279" t="n"/>
      <c r="I56" s="270">
        <f>D56='03. Dulieutaichinhlamsach_DD'!D56</f>
        <v/>
      </c>
      <c r="J56" s="25">
        <f>E56='03. Dulieutaichinhlamsach_DD'!E56</f>
        <v/>
      </c>
      <c r="K56" s="25">
        <f>F56='03. Dulieutaichinhlamsach_DD'!F56</f>
        <v/>
      </c>
      <c r="L56" s="25">
        <f>G56='03. Dulieutaichinhlamsach_DD'!G56</f>
        <v/>
      </c>
      <c r="M56" s="523">
        <f>H56='03. Dulieutaichinhlamsach_DD'!H56</f>
        <v/>
      </c>
    </row>
    <row r="57" ht="15.75" customHeight="1" s="782" thickBot="1">
      <c r="B57" s="280" t="inlineStr">
        <is>
          <t xml:space="preserve">          1. Tài sản cố định hữu hình</t>
        </is>
      </c>
      <c r="C57" s="532" t="n"/>
      <c r="D57" s="31" t="n"/>
      <c r="E57" s="31" t="n"/>
      <c r="F57" s="31" t="n"/>
      <c r="G57" s="31" t="n"/>
      <c r="H57" s="279" t="n"/>
      <c r="I57" s="270">
        <f>D57='03. Dulieutaichinhlamsach_DD'!D57</f>
        <v/>
      </c>
      <c r="J57" s="25">
        <f>E57='03. Dulieutaichinhlamsach_DD'!E57</f>
        <v/>
      </c>
      <c r="K57" s="25">
        <f>F57='03. Dulieutaichinhlamsach_DD'!F57</f>
        <v/>
      </c>
      <c r="L57" s="25">
        <f>G57='03. Dulieutaichinhlamsach_DD'!G57</f>
        <v/>
      </c>
      <c r="M57" s="523">
        <f>H57='03. Dulieutaichinhlamsach_DD'!H57</f>
        <v/>
      </c>
    </row>
    <row r="58" ht="16.5" customHeight="1" s="782" thickBot="1">
      <c r="B58" s="280" t="inlineStr">
        <is>
          <t xml:space="preserve">            - Nguyên giá</t>
        </is>
      </c>
      <c r="C58" s="532" t="n"/>
      <c r="D58" s="922" t="n">
        <v>2934932762</v>
      </c>
      <c r="E58" s="922" t="n">
        <v>3630874053</v>
      </c>
      <c r="F58" s="923" t="n">
        <v>4945028850</v>
      </c>
      <c r="G58" s="31" t="n"/>
      <c r="H58" s="282" t="n"/>
      <c r="I58" s="270">
        <f>D58='03. Dulieutaichinhlamsach_DD'!D58</f>
        <v/>
      </c>
      <c r="J58" s="25">
        <f>E58='03. Dulieutaichinhlamsach_DD'!E58</f>
        <v/>
      </c>
      <c r="K58" s="25">
        <f>F58='03. Dulieutaichinhlamsach_DD'!F58</f>
        <v/>
      </c>
      <c r="L58" s="25">
        <f>G58='03. Dulieutaichinhlamsach_DD'!G58</f>
        <v/>
      </c>
      <c r="M58" s="523">
        <f>H58='03. Dulieutaichinhlamsach_DD'!H58</f>
        <v/>
      </c>
    </row>
    <row r="59" ht="16.5" customHeight="1" s="782" thickBot="1">
      <c r="B59" s="533" t="inlineStr">
        <is>
          <t xml:space="preserve">            - Giá trị hao mòn lũy kế</t>
        </is>
      </c>
      <c r="C59" s="532" t="n"/>
      <c r="D59" s="922" t="n">
        <v>-597366436</v>
      </c>
      <c r="E59" s="922" t="n">
        <v>-1108398598</v>
      </c>
      <c r="F59" s="923" t="n">
        <v>-1272451346</v>
      </c>
      <c r="G59" s="31" t="n"/>
      <c r="H59" s="281" t="n"/>
      <c r="I59" s="270">
        <f>D59='03. Dulieutaichinhlamsach_DD'!D59</f>
        <v/>
      </c>
      <c r="J59" s="25">
        <f>E59='03. Dulieutaichinhlamsach_DD'!E59</f>
        <v/>
      </c>
      <c r="K59" s="25">
        <f>F59='03. Dulieutaichinhlamsach_DD'!F59</f>
        <v/>
      </c>
      <c r="L59" s="25">
        <f>G59='03. Dulieutaichinhlamsach_DD'!G59</f>
        <v/>
      </c>
      <c r="M59" s="523">
        <f>H59='03. Dulieutaichinhlamsach_DD'!H59</f>
        <v/>
      </c>
    </row>
    <row r="60">
      <c r="B60" s="280" t="inlineStr">
        <is>
          <t xml:space="preserve">          2. Tài sản cố định thuê tài chính</t>
        </is>
      </c>
      <c r="C60" s="532" t="n"/>
      <c r="D60" s="30" t="n"/>
      <c r="E60" s="30" t="n"/>
      <c r="F60" s="30" t="n"/>
      <c r="G60" s="29" t="n"/>
      <c r="H60" s="279" t="n"/>
      <c r="I60" s="270">
        <f>D60='03. Dulieutaichinhlamsach_DD'!D60</f>
        <v/>
      </c>
      <c r="J60" s="25">
        <f>E60='03. Dulieutaichinhlamsach_DD'!E60</f>
        <v/>
      </c>
      <c r="K60" s="25">
        <f>F60='03. Dulieutaichinhlamsach_DD'!F60</f>
        <v/>
      </c>
      <c r="L60" s="25">
        <f>G60='03. Dulieutaichinhlamsach_DD'!G60</f>
        <v/>
      </c>
      <c r="M60" s="523">
        <f>H60='03. Dulieutaichinhlamsach_DD'!H60</f>
        <v/>
      </c>
    </row>
    <row r="61">
      <c r="B61" s="280" t="inlineStr">
        <is>
          <t xml:space="preserve">            - Nguyên giá</t>
        </is>
      </c>
      <c r="C61" s="532" t="n"/>
      <c r="D61" s="30" t="n"/>
      <c r="E61" s="30" t="n"/>
      <c r="F61" s="30" t="n"/>
      <c r="G61" s="32" t="n"/>
      <c r="H61" s="282" t="n"/>
      <c r="I61" s="270">
        <f>D61='03. Dulieutaichinhlamsach_DD'!D61</f>
        <v/>
      </c>
      <c r="J61" s="25">
        <f>E61='03. Dulieutaichinhlamsach_DD'!E61</f>
        <v/>
      </c>
      <c r="K61" s="25">
        <f>F61='03. Dulieutaichinhlamsach_DD'!F61</f>
        <v/>
      </c>
      <c r="L61" s="25">
        <f>G61='03. Dulieutaichinhlamsach_DD'!G61</f>
        <v/>
      </c>
      <c r="M61" s="523">
        <f>H61='03. Dulieutaichinhlamsach_DD'!H61</f>
        <v/>
      </c>
    </row>
    <row r="62">
      <c r="B62" s="533" t="inlineStr">
        <is>
          <t xml:space="preserve">            - Giá trị hao mòn lũy kế</t>
        </is>
      </c>
      <c r="C62" s="532" t="n"/>
      <c r="D62" s="30" t="n"/>
      <c r="E62" s="30" t="n"/>
      <c r="F62" s="30" t="n"/>
      <c r="G62" s="31" t="n"/>
      <c r="H62" s="281" t="n"/>
      <c r="I62" s="270">
        <f>D62='03. Dulieutaichinhlamsach_DD'!D62</f>
        <v/>
      </c>
      <c r="J62" s="25">
        <f>E62='03. Dulieutaichinhlamsach_DD'!E62</f>
        <v/>
      </c>
      <c r="K62" s="25">
        <f>F62='03. Dulieutaichinhlamsach_DD'!F62</f>
        <v/>
      </c>
      <c r="L62" s="25">
        <f>G62='03. Dulieutaichinhlamsach_DD'!G62</f>
        <v/>
      </c>
      <c r="M62" s="523">
        <f>H62='03. Dulieutaichinhlamsach_DD'!H62</f>
        <v/>
      </c>
    </row>
    <row r="63">
      <c r="B63" s="280" t="inlineStr">
        <is>
          <t xml:space="preserve">          3. Tài sản cố định vô hình</t>
        </is>
      </c>
      <c r="C63" s="532" t="n"/>
      <c r="D63" s="30" t="n"/>
      <c r="E63" s="30" t="n"/>
      <c r="F63" s="30" t="n"/>
      <c r="G63" s="29" t="n"/>
      <c r="H63" s="279" t="n"/>
      <c r="I63" s="270">
        <f>D63='03. Dulieutaichinhlamsach_DD'!D63</f>
        <v/>
      </c>
      <c r="J63" s="25">
        <f>E63='03. Dulieutaichinhlamsach_DD'!E63</f>
        <v/>
      </c>
      <c r="K63" s="25">
        <f>F63='03. Dulieutaichinhlamsach_DD'!F63</f>
        <v/>
      </c>
      <c r="L63" s="25">
        <f>G63='03. Dulieutaichinhlamsach_DD'!G63</f>
        <v/>
      </c>
      <c r="M63" s="523">
        <f>H63='03. Dulieutaichinhlamsach_DD'!H63</f>
        <v/>
      </c>
    </row>
    <row r="64">
      <c r="B64" s="280" t="inlineStr">
        <is>
          <t xml:space="preserve">            - Nguyên giá</t>
        </is>
      </c>
      <c r="C64" s="532" t="n"/>
      <c r="D64" s="30" t="n"/>
      <c r="E64" s="30" t="n"/>
      <c r="F64" s="30" t="n"/>
      <c r="G64" s="32" t="n"/>
      <c r="H64" s="282" t="n"/>
      <c r="I64" s="270">
        <f>D64='03. Dulieutaichinhlamsach_DD'!D64</f>
        <v/>
      </c>
      <c r="J64" s="25">
        <f>E64='03. Dulieutaichinhlamsach_DD'!E64</f>
        <v/>
      </c>
      <c r="K64" s="25">
        <f>F64='03. Dulieutaichinhlamsach_DD'!F64</f>
        <v/>
      </c>
      <c r="L64" s="25">
        <f>G64='03. Dulieutaichinhlamsach_DD'!G64</f>
        <v/>
      </c>
      <c r="M64" s="523">
        <f>H64='03. Dulieutaichinhlamsach_DD'!H64</f>
        <v/>
      </c>
    </row>
    <row r="65" ht="15.75" customHeight="1" s="782" thickBot="1">
      <c r="B65" s="533" t="inlineStr">
        <is>
          <t xml:space="preserve">            - Giá trị hao mòn lũy kế</t>
        </is>
      </c>
      <c r="C65" s="532" t="n"/>
      <c r="D65" s="30" t="n"/>
      <c r="E65" s="30" t="n"/>
      <c r="F65" s="30" t="n"/>
      <c r="G65" s="31" t="n"/>
      <c r="H65" s="281" t="n"/>
      <c r="I65" s="270">
        <f>D65='03. Dulieutaichinhlamsach_DD'!D65</f>
        <v/>
      </c>
      <c r="J65" s="25">
        <f>E65='03. Dulieutaichinhlamsach_DD'!E65</f>
        <v/>
      </c>
      <c r="K65" s="25">
        <f>F65='03. Dulieutaichinhlamsach_DD'!F65</f>
        <v/>
      </c>
      <c r="L65" s="25">
        <f>G65='03. Dulieutaichinhlamsach_DD'!G65</f>
        <v/>
      </c>
      <c r="M65" s="523">
        <f>H65='03. Dulieutaichinhlamsach_DD'!H65</f>
        <v/>
      </c>
    </row>
    <row r="66" ht="16.5" customHeight="1" s="782" thickBot="1">
      <c r="B66" s="280" t="inlineStr">
        <is>
          <t xml:space="preserve">          4. Chi phí xây dựng cơ bản dở dang</t>
        </is>
      </c>
      <c r="C66" s="532" t="n"/>
      <c r="D66" s="922" t="n">
        <v>0</v>
      </c>
      <c r="E66" s="922" t="n">
        <v>2456250000</v>
      </c>
      <c r="F66" s="923" t="n">
        <v>0</v>
      </c>
      <c r="G66" s="32" t="n"/>
      <c r="H66" s="282" t="n"/>
      <c r="I66" s="270">
        <f>D66='03. Dulieutaichinhlamsach_DD'!D66</f>
        <v/>
      </c>
      <c r="J66" s="25">
        <f>E66='03. Dulieutaichinhlamsach_DD'!E66</f>
        <v/>
      </c>
      <c r="K66" s="25">
        <f>F66='03. Dulieutaichinhlamsach_DD'!F66</f>
        <v/>
      </c>
      <c r="L66" s="25">
        <f>G66='03. Dulieutaichinhlamsach_DD'!G66</f>
        <v/>
      </c>
      <c r="M66" s="523">
        <f>H66='03. Dulieutaichinhlamsach_DD'!H66</f>
        <v/>
      </c>
    </row>
    <row r="67">
      <c r="B67" s="530" t="inlineStr">
        <is>
          <t xml:space="preserve">    III. Bất động sản đầu tư</t>
        </is>
      </c>
      <c r="C67" s="531" t="n"/>
      <c r="D67" s="30" t="n"/>
      <c r="E67" s="30" t="n"/>
      <c r="F67" s="30" t="n"/>
      <c r="G67" s="29" t="n"/>
      <c r="H67" s="279" t="n"/>
      <c r="I67" s="270">
        <f>D67='03. Dulieutaichinhlamsach_DD'!D67</f>
        <v/>
      </c>
      <c r="J67" s="25">
        <f>E67='03. Dulieutaichinhlamsach_DD'!E67</f>
        <v/>
      </c>
      <c r="K67" s="25">
        <f>F67='03. Dulieutaichinhlamsach_DD'!F67</f>
        <v/>
      </c>
      <c r="L67" s="25">
        <f>G67='03. Dulieutaichinhlamsach_DD'!G67</f>
        <v/>
      </c>
      <c r="M67" s="523">
        <f>H67='03. Dulieutaichinhlamsach_DD'!H67</f>
        <v/>
      </c>
    </row>
    <row r="68">
      <c r="B68" s="280" t="inlineStr">
        <is>
          <t xml:space="preserve">            - Nguyên giá</t>
        </is>
      </c>
      <c r="C68" s="532" t="n"/>
      <c r="D68" s="31" t="n"/>
      <c r="E68" s="31" t="n"/>
      <c r="F68" s="31" t="n"/>
      <c r="G68" s="31" t="n"/>
      <c r="H68" s="282" t="n"/>
      <c r="I68" s="270">
        <f>D68='03. Dulieutaichinhlamsach_DD'!D68</f>
        <v/>
      </c>
      <c r="J68" s="25">
        <f>E68='03. Dulieutaichinhlamsach_DD'!E68</f>
        <v/>
      </c>
      <c r="K68" s="25">
        <f>F68='03. Dulieutaichinhlamsach_DD'!F68</f>
        <v/>
      </c>
      <c r="L68" s="25">
        <f>G68='03. Dulieutaichinhlamsach_DD'!G68</f>
        <v/>
      </c>
      <c r="M68" s="523">
        <f>H68='03. Dulieutaichinhlamsach_DD'!H68</f>
        <v/>
      </c>
    </row>
    <row r="69">
      <c r="B69" s="533" t="inlineStr">
        <is>
          <t xml:space="preserve">            - Giá trị hao mòn lũy kế</t>
        </is>
      </c>
      <c r="C69" s="532" t="n"/>
      <c r="D69" s="30" t="n"/>
      <c r="E69" s="30" t="n"/>
      <c r="F69" s="30" t="n"/>
      <c r="G69" s="31" t="n"/>
      <c r="H69" s="281" t="n"/>
      <c r="I69" s="270">
        <f>D69='03. Dulieutaichinhlamsach_DD'!D69</f>
        <v/>
      </c>
      <c r="J69" s="25">
        <f>E69='03. Dulieutaichinhlamsach_DD'!E69</f>
        <v/>
      </c>
      <c r="K69" s="25">
        <f>F69='03. Dulieutaichinhlamsach_DD'!F69</f>
        <v/>
      </c>
      <c r="L69" s="25">
        <f>G69='03. Dulieutaichinhlamsach_DD'!G69</f>
        <v/>
      </c>
      <c r="M69" s="523">
        <f>H69='03. Dulieutaichinhlamsach_DD'!H69</f>
        <v/>
      </c>
    </row>
    <row r="70">
      <c r="B70" s="530" t="inlineStr">
        <is>
          <t xml:space="preserve">    IV. Các khoản đầu tư tài chính dài hạn</t>
        </is>
      </c>
      <c r="C70" s="531" t="n"/>
      <c r="D70" s="31" t="n"/>
      <c r="E70" s="31" t="n"/>
      <c r="F70" s="31" t="n"/>
      <c r="G70" s="29" t="n"/>
      <c r="H70" s="279" t="n"/>
      <c r="I70" s="270">
        <f>D70='03. Dulieutaichinhlamsach_DD'!D70</f>
        <v/>
      </c>
      <c r="J70" s="25">
        <f>E70='03. Dulieutaichinhlamsach_DD'!E70</f>
        <v/>
      </c>
      <c r="K70" s="25">
        <f>F70='03. Dulieutaichinhlamsach_DD'!F70</f>
        <v/>
      </c>
      <c r="L70" s="25">
        <f>G70='03. Dulieutaichinhlamsach_DD'!G70</f>
        <v/>
      </c>
      <c r="M70" s="523">
        <f>H70='03. Dulieutaichinhlamsach_DD'!H70</f>
        <v/>
      </c>
    </row>
    <row r="71" ht="15.75" customHeight="1" s="782" thickBot="1">
      <c r="B71" s="280" t="inlineStr">
        <is>
          <t xml:space="preserve">          1. Đầu tư vào công ty con</t>
        </is>
      </c>
      <c r="C71" s="532" t="n"/>
      <c r="D71" s="30" t="n"/>
      <c r="E71" s="30" t="n"/>
      <c r="F71" s="30" t="n"/>
      <c r="G71" s="32" t="n"/>
      <c r="H71" s="282" t="n"/>
      <c r="I71" s="270">
        <f>D71='03. Dulieutaichinhlamsach_DD'!D71</f>
        <v/>
      </c>
      <c r="J71" s="25">
        <f>E71='03. Dulieutaichinhlamsach_DD'!E71</f>
        <v/>
      </c>
      <c r="K71" s="25">
        <f>F71='03. Dulieutaichinhlamsach_DD'!F71</f>
        <v/>
      </c>
      <c r="L71" s="25">
        <f>G71='03. Dulieutaichinhlamsach_DD'!G71</f>
        <v/>
      </c>
      <c r="M71" s="523">
        <f>H71='03. Dulieutaichinhlamsach_DD'!H71</f>
        <v/>
      </c>
    </row>
    <row r="72" ht="16.5" customHeight="1" s="782" thickBot="1">
      <c r="B72" s="280" t="inlineStr">
        <is>
          <t xml:space="preserve">          2. Đầu tư vào công ty liên kết, liên doanh</t>
        </is>
      </c>
      <c r="C72" s="532" t="n"/>
      <c r="D72" s="922" t="n">
        <v>500000000</v>
      </c>
      <c r="E72" s="922" t="n">
        <v>500000000</v>
      </c>
      <c r="F72" s="923" t="n">
        <v>0</v>
      </c>
      <c r="G72" s="32" t="n"/>
      <c r="H72" s="282" t="n"/>
      <c r="I72" s="270">
        <f>D72='03. Dulieutaichinhlamsach_DD'!D72</f>
        <v/>
      </c>
      <c r="J72" s="25">
        <f>E72='03. Dulieutaichinhlamsach_DD'!E72</f>
        <v/>
      </c>
      <c r="K72" s="25">
        <f>F72='03. Dulieutaichinhlamsach_DD'!F72</f>
        <v/>
      </c>
      <c r="L72" s="25">
        <f>G72='03. Dulieutaichinhlamsach_DD'!G72</f>
        <v/>
      </c>
      <c r="M72" s="523">
        <f>H72='03. Dulieutaichinhlamsach_DD'!H72</f>
        <v/>
      </c>
    </row>
    <row r="73">
      <c r="B73" s="280" t="inlineStr">
        <is>
          <t xml:space="preserve">          3. Đầu tư dài hạn khác</t>
        </is>
      </c>
      <c r="C73" s="532" t="n"/>
      <c r="D73" s="30" t="n"/>
      <c r="E73" s="30" t="n"/>
      <c r="F73" s="30" t="n"/>
      <c r="G73" s="32" t="n"/>
      <c r="H73" s="282" t="n"/>
      <c r="I73" s="270">
        <f>D73='03. Dulieutaichinhlamsach_DD'!D73</f>
        <v/>
      </c>
      <c r="J73" s="25">
        <f>E73='03. Dulieutaichinhlamsach_DD'!E73</f>
        <v/>
      </c>
      <c r="K73" s="25">
        <f>F73='03. Dulieutaichinhlamsach_DD'!F73</f>
        <v/>
      </c>
      <c r="L73" s="25">
        <f>G73='03. Dulieutaichinhlamsach_DD'!G73</f>
        <v/>
      </c>
      <c r="M73" s="523">
        <f>H73='03. Dulieutaichinhlamsach_DD'!H73</f>
        <v/>
      </c>
    </row>
    <row r="74">
      <c r="B74" s="533" t="inlineStr">
        <is>
          <t xml:space="preserve">          4. Dự phòng giảm giá đầu tư tài chính dài hạn</t>
        </is>
      </c>
      <c r="C74" s="532" t="n"/>
      <c r="D74" s="30" t="n"/>
      <c r="E74" s="30" t="n"/>
      <c r="F74" s="30" t="n"/>
      <c r="G74" s="31" t="n"/>
      <c r="H74" s="281" t="n"/>
      <c r="I74" s="270">
        <f>D74='03. Dulieutaichinhlamsach_DD'!D74</f>
        <v/>
      </c>
      <c r="J74" s="25">
        <f>E74='03. Dulieutaichinhlamsach_DD'!E74</f>
        <v/>
      </c>
      <c r="K74" s="25">
        <f>F74='03. Dulieutaichinhlamsach_DD'!F74</f>
        <v/>
      </c>
      <c r="L74" s="25">
        <f>G74='03. Dulieutaichinhlamsach_DD'!G74</f>
        <v/>
      </c>
      <c r="M74" s="523">
        <f>H74='03. Dulieutaichinhlamsach_DD'!H74</f>
        <v/>
      </c>
    </row>
    <row r="75" ht="30" customHeight="1" s="782">
      <c r="B75" s="533" t="inlineStr">
        <is>
          <t xml:space="preserve">          5. Đầu tư tài chính dài hạn (trong trường hợp báo cáo không có thông tin)</t>
        </is>
      </c>
      <c r="C75" s="532" t="n"/>
      <c r="D75" s="30" t="n"/>
      <c r="E75" s="30" t="n"/>
      <c r="F75" s="30" t="n"/>
      <c r="G75" s="31" t="n"/>
      <c r="H75" s="281" t="n"/>
      <c r="I75" s="270">
        <f>D75='03. Dulieutaichinhlamsach_DD'!D75</f>
        <v/>
      </c>
      <c r="J75" s="25">
        <f>E75='03. Dulieutaichinhlamsach_DD'!E75</f>
        <v/>
      </c>
      <c r="K75" s="25">
        <f>F75='03. Dulieutaichinhlamsach_DD'!F75</f>
        <v/>
      </c>
      <c r="L75" s="25">
        <f>G75='03. Dulieutaichinhlamsach_DD'!G75</f>
        <v/>
      </c>
      <c r="M75" s="523">
        <f>H75='03. Dulieutaichinhlamsach_DD'!H75</f>
        <v/>
      </c>
    </row>
    <row r="76">
      <c r="B76" s="530" t="inlineStr">
        <is>
          <t xml:space="preserve">    V. Tài sản dài hạn khác</t>
        </is>
      </c>
      <c r="C76" s="531" t="n"/>
      <c r="D76" s="30" t="n"/>
      <c r="E76" s="30" t="n"/>
      <c r="F76" s="30" t="n"/>
      <c r="G76" s="29" t="n"/>
      <c r="H76" s="279" t="n"/>
      <c r="I76" s="270">
        <f>D76='03. Dulieutaichinhlamsach_DD'!D76</f>
        <v/>
      </c>
      <c r="J76" s="25">
        <f>E76='03. Dulieutaichinhlamsach_DD'!E76</f>
        <v/>
      </c>
      <c r="K76" s="25">
        <f>F76='03. Dulieutaichinhlamsach_DD'!F76</f>
        <v/>
      </c>
      <c r="L76" s="25">
        <f>G76='03. Dulieutaichinhlamsach_DD'!G76</f>
        <v/>
      </c>
      <c r="M76" s="523">
        <f>H76='03. Dulieutaichinhlamsach_DD'!H76</f>
        <v/>
      </c>
    </row>
    <row r="77">
      <c r="B77" s="280" t="inlineStr">
        <is>
          <t xml:space="preserve">          1. Chi phí trả trước dài hạn</t>
        </is>
      </c>
      <c r="C77" s="532" t="n"/>
      <c r="D77" s="30" t="n"/>
      <c r="E77" s="30" t="n"/>
      <c r="F77" s="30" t="n"/>
      <c r="G77" s="31" t="n"/>
      <c r="H77" s="282" t="n"/>
      <c r="I77" s="270">
        <f>D77='03. Dulieutaichinhlamsach_DD'!D77</f>
        <v/>
      </c>
      <c r="J77" s="25">
        <f>E77='03. Dulieutaichinhlamsach_DD'!E77</f>
        <v/>
      </c>
      <c r="K77" s="25">
        <f>F77='03. Dulieutaichinhlamsach_DD'!F77</f>
        <v/>
      </c>
      <c r="L77" s="25">
        <f>G77='03. Dulieutaichinhlamsach_DD'!G77</f>
        <v/>
      </c>
      <c r="M77" s="523">
        <f>H77='03. Dulieutaichinhlamsach_DD'!H77</f>
        <v/>
      </c>
    </row>
    <row r="78">
      <c r="B78" s="280" t="inlineStr">
        <is>
          <t xml:space="preserve">          2. Tài sản thuế thu nhập hoãn lại</t>
        </is>
      </c>
      <c r="C78" s="532" t="n"/>
      <c r="D78" s="30" t="n"/>
      <c r="E78" s="30" t="n"/>
      <c r="F78" s="30" t="n"/>
      <c r="G78" s="31" t="n"/>
      <c r="H78" s="282" t="n"/>
      <c r="I78" s="270">
        <f>D78='03. Dulieutaichinhlamsach_DD'!D78</f>
        <v/>
      </c>
      <c r="J78" s="25">
        <f>E78='03. Dulieutaichinhlamsach_DD'!E78</f>
        <v/>
      </c>
      <c r="K78" s="25">
        <f>F78='03. Dulieutaichinhlamsach_DD'!F78</f>
        <v/>
      </c>
      <c r="L78" s="25">
        <f>G78='03. Dulieutaichinhlamsach_DD'!G78</f>
        <v/>
      </c>
      <c r="M78" s="523">
        <f>H78='03. Dulieutaichinhlamsach_DD'!H78</f>
        <v/>
      </c>
    </row>
    <row r="79">
      <c r="B79" s="535" t="inlineStr">
        <is>
          <t xml:space="preserve">          3. Phải thu dài hạn</t>
        </is>
      </c>
      <c r="C79" s="532" t="n"/>
      <c r="D79" s="30" t="n"/>
      <c r="E79" s="30" t="n"/>
      <c r="F79" s="30" t="n"/>
      <c r="G79" s="31" t="n"/>
      <c r="H79" s="282" t="n"/>
      <c r="I79" s="270">
        <f>D79='03. Dulieutaichinhlamsach_DD'!D79</f>
        <v/>
      </c>
      <c r="J79" s="25">
        <f>E79='03. Dulieutaichinhlamsach_DD'!E79</f>
        <v/>
      </c>
      <c r="K79" s="25">
        <f>F79='03. Dulieutaichinhlamsach_DD'!F79</f>
        <v/>
      </c>
      <c r="L79" s="25">
        <f>G79='03. Dulieutaichinhlamsach_DD'!G79</f>
        <v/>
      </c>
      <c r="M79" s="523">
        <f>H79='03. Dulieutaichinhlamsach_DD'!H79</f>
        <v/>
      </c>
    </row>
    <row r="80">
      <c r="B80" s="536" t="inlineStr">
        <is>
          <t xml:space="preserve">          4. Tài sản dài hạn khác</t>
        </is>
      </c>
      <c r="C80" s="532" t="n"/>
      <c r="D80" s="30" t="n"/>
      <c r="E80" s="30" t="n"/>
      <c r="F80" s="30" t="n"/>
      <c r="G80" s="31" t="n"/>
      <c r="H80" s="282" t="n"/>
      <c r="I80" s="270">
        <f>D80='03. Dulieutaichinhlamsach_DD'!D80</f>
        <v/>
      </c>
      <c r="J80" s="25">
        <f>E80='03. Dulieutaichinhlamsach_DD'!E80</f>
        <v/>
      </c>
      <c r="K80" s="25">
        <f>F80='03. Dulieutaichinhlamsach_DD'!F80</f>
        <v/>
      </c>
      <c r="L80" s="25">
        <f>G80='03. Dulieutaichinhlamsach_DD'!G80</f>
        <v/>
      </c>
      <c r="M80" s="523">
        <f>H80='03. Dulieutaichinhlamsach_DD'!H80</f>
        <v/>
      </c>
    </row>
    <row r="81">
      <c r="B81" s="536" t="inlineStr">
        <is>
          <t xml:space="preserve">          5. Dự phòng phải thu dài hạn khó đòi</t>
        </is>
      </c>
      <c r="C81" s="532" t="n"/>
      <c r="D81" s="30" t="n"/>
      <c r="E81" s="30" t="n"/>
      <c r="F81" s="30" t="n"/>
      <c r="G81" s="31" t="n"/>
      <c r="H81" s="282" t="n"/>
      <c r="I81" s="270">
        <f>D81='03. Dulieutaichinhlamsach_DD'!D81</f>
        <v/>
      </c>
      <c r="J81" s="25">
        <f>E81='03. Dulieutaichinhlamsach_DD'!E81</f>
        <v/>
      </c>
      <c r="K81" s="25">
        <f>F81='03. Dulieutaichinhlamsach_DD'!F81</f>
        <v/>
      </c>
      <c r="L81" s="25">
        <f>G81='03. Dulieutaichinhlamsach_DD'!G81</f>
        <v/>
      </c>
      <c r="M81" s="523">
        <f>H81='03. Dulieutaichinhlamsach_DD'!H81</f>
        <v/>
      </c>
    </row>
    <row r="82">
      <c r="B82" s="530" t="inlineStr">
        <is>
          <t xml:space="preserve">    VI. Lợi thế thương mại</t>
        </is>
      </c>
      <c r="C82" s="532" t="n"/>
      <c r="D82" s="30" t="n"/>
      <c r="E82" s="30" t="n"/>
      <c r="F82" s="30" t="n"/>
      <c r="G82" s="31" t="n"/>
      <c r="H82" s="282" t="n"/>
      <c r="I82" s="270">
        <f>D82='03. Dulieutaichinhlamsach_DD'!D82</f>
        <v/>
      </c>
      <c r="J82" s="25">
        <f>E82='03. Dulieutaichinhlamsach_DD'!E82</f>
        <v/>
      </c>
      <c r="K82" s="25">
        <f>F82='03. Dulieutaichinhlamsach_DD'!F82</f>
        <v/>
      </c>
      <c r="L82" s="25">
        <f>G82='03. Dulieutaichinhlamsach_DD'!G82</f>
        <v/>
      </c>
      <c r="M82" s="523">
        <f>H82='03. Dulieutaichinhlamsach_DD'!H82</f>
        <v/>
      </c>
    </row>
    <row r="83">
      <c r="B83" s="537" t="inlineStr">
        <is>
          <t>TỔNG NGUỒN VỐN</t>
        </is>
      </c>
      <c r="C83" s="538" t="n"/>
      <c r="D83" s="30" t="n"/>
      <c r="E83" s="30" t="n"/>
      <c r="F83" s="30" t="n"/>
      <c r="G83" s="30" t="n"/>
      <c r="H83" s="300" t="n"/>
      <c r="I83" s="270">
        <f>D83='03. Dulieutaichinhlamsach_DD'!D83</f>
        <v/>
      </c>
      <c r="J83" s="25">
        <f>E83='03. Dulieutaichinhlamsach_DD'!E83</f>
        <v/>
      </c>
      <c r="K83" s="25">
        <f>F83='03. Dulieutaichinhlamsach_DD'!F83</f>
        <v/>
      </c>
      <c r="L83" s="25">
        <f>G83='03. Dulieutaichinhlamsach_DD'!G83</f>
        <v/>
      </c>
      <c r="M83" s="523">
        <f>H83='03. Dulieutaichinhlamsach_DD'!H83</f>
        <v/>
      </c>
    </row>
    <row r="84">
      <c r="B84" s="530" t="inlineStr">
        <is>
          <t>A. NỢ PHẢI TRẢ</t>
        </is>
      </c>
      <c r="C84" s="531" t="n"/>
      <c r="D84" s="30" t="n"/>
      <c r="E84" s="30" t="n"/>
      <c r="F84" s="30" t="n"/>
      <c r="G84" s="29" t="n"/>
      <c r="H84" s="279" t="n"/>
      <c r="I84" s="270">
        <f>D84='03. Dulieutaichinhlamsach_DD'!D84</f>
        <v/>
      </c>
      <c r="J84" s="25">
        <f>E84='03. Dulieutaichinhlamsach_DD'!E84</f>
        <v/>
      </c>
      <c r="K84" s="25">
        <f>F84='03. Dulieutaichinhlamsach_DD'!F84</f>
        <v/>
      </c>
      <c r="L84" s="25">
        <f>G84='03. Dulieutaichinhlamsach_DD'!G84</f>
        <v/>
      </c>
      <c r="M84" s="523">
        <f>H84='03. Dulieutaichinhlamsach_DD'!H84</f>
        <v/>
      </c>
    </row>
    <row r="85" ht="15.75" customHeight="1" s="782" thickBot="1">
      <c r="B85" s="530" t="inlineStr">
        <is>
          <t xml:space="preserve">    I. Nợ ngắn hạn</t>
        </is>
      </c>
      <c r="C85" s="531" t="n"/>
      <c r="D85" s="30" t="n"/>
      <c r="E85" s="30" t="n"/>
      <c r="F85" s="30" t="n"/>
      <c r="G85" s="29" t="n"/>
      <c r="H85" s="279" t="n"/>
      <c r="I85" s="270">
        <f>D85='03. Dulieutaichinhlamsach_DD'!D85</f>
        <v/>
      </c>
      <c r="J85" s="25">
        <f>E85='03. Dulieutaichinhlamsach_DD'!E85</f>
        <v/>
      </c>
      <c r="K85" s="25">
        <f>F85='03. Dulieutaichinhlamsach_DD'!F85</f>
        <v/>
      </c>
      <c r="L85" s="25">
        <f>G85='03. Dulieutaichinhlamsach_DD'!G85</f>
        <v/>
      </c>
      <c r="M85" s="523">
        <f>H85='03. Dulieutaichinhlamsach_DD'!H85</f>
        <v/>
      </c>
    </row>
    <row r="86" ht="16.5" customHeight="1" s="782" thickBot="1">
      <c r="B86" s="539" t="inlineStr">
        <is>
          <t xml:space="preserve">          1. Vay và nợ ngắn hạn</t>
        </is>
      </c>
      <c r="C86" s="531" t="n"/>
      <c r="D86" s="922" t="n">
        <v>3962372480</v>
      </c>
      <c r="E86" s="922" t="n">
        <v>0</v>
      </c>
      <c r="F86" s="923" t="n">
        <v>27138299197</v>
      </c>
      <c r="G86" s="31" t="n"/>
      <c r="H86" s="281" t="n"/>
      <c r="I86" s="270">
        <f>D86='03. Dulieutaichinhlamsach_DD'!D86</f>
        <v/>
      </c>
      <c r="J86" s="25">
        <f>E86='03. Dulieutaichinhlamsach_DD'!E86</f>
        <v/>
      </c>
      <c r="K86" s="25">
        <f>F86='03. Dulieutaichinhlamsach_DD'!F86</f>
        <v/>
      </c>
      <c r="L86" s="25">
        <f>G86='03. Dulieutaichinhlamsach_DD'!G86</f>
        <v/>
      </c>
      <c r="M86" s="523">
        <f>H86='03. Dulieutaichinhlamsach_DD'!H86</f>
        <v/>
      </c>
    </row>
    <row r="87" ht="15.75" customHeight="1" s="782" thickBot="1">
      <c r="B87" s="280" t="inlineStr">
        <is>
          <t xml:space="preserve">             - Tr/đó: vay MSB</t>
        </is>
      </c>
      <c r="C87" s="531" t="n"/>
      <c r="D87" s="31" t="n"/>
      <c r="E87" s="31" t="n"/>
      <c r="F87" s="31" t="n"/>
      <c r="G87" s="31" t="n"/>
      <c r="H87" s="282" t="n"/>
      <c r="I87" s="270">
        <f>D87='03. Dulieutaichinhlamsach_DD'!D87</f>
        <v/>
      </c>
      <c r="J87" s="25">
        <f>E87='03. Dulieutaichinhlamsach_DD'!E87</f>
        <v/>
      </c>
      <c r="K87" s="25">
        <f>F87='03. Dulieutaichinhlamsach_DD'!F87</f>
        <v/>
      </c>
      <c r="L87" s="25">
        <f>G87='03. Dulieutaichinhlamsach_DD'!G87</f>
        <v/>
      </c>
      <c r="M87" s="523">
        <f>H87='03. Dulieutaichinhlamsach_DD'!H87</f>
        <v/>
      </c>
    </row>
    <row r="88" ht="16.5" customHeight="1" s="782" thickBot="1">
      <c r="B88" s="539" t="inlineStr">
        <is>
          <t xml:space="preserve">          2. Phải trả người bán</t>
        </is>
      </c>
      <c r="C88" s="531" t="n"/>
      <c r="D88" s="922" t="n">
        <v>0</v>
      </c>
      <c r="E88" s="922" t="n">
        <v>23195272991</v>
      </c>
      <c r="F88" s="923" t="n">
        <v>19017162045</v>
      </c>
      <c r="G88" s="31" t="n"/>
      <c r="H88" s="282" t="n"/>
      <c r="I88" s="270">
        <f>D88='03. Dulieutaichinhlamsach_DD'!D88</f>
        <v/>
      </c>
      <c r="J88" s="25">
        <f>E88='03. Dulieutaichinhlamsach_DD'!E88</f>
        <v/>
      </c>
      <c r="K88" s="25">
        <f>F88='03. Dulieutaichinhlamsach_DD'!F88</f>
        <v/>
      </c>
      <c r="L88" s="25">
        <f>G88='03. Dulieutaichinhlamsach_DD'!G88</f>
        <v/>
      </c>
      <c r="M88" s="523">
        <f>H88='03. Dulieutaichinhlamsach_DD'!H88</f>
        <v/>
      </c>
    </row>
    <row r="89" ht="16.5" customHeight="1" s="782" thickBot="1">
      <c r="B89" s="539" t="inlineStr">
        <is>
          <t xml:space="preserve">          3. Người mua trả tiền trước</t>
        </is>
      </c>
      <c r="C89" s="531" t="n"/>
      <c r="D89" s="922" t="n">
        <v>3680295181</v>
      </c>
      <c r="E89" s="922" t="n">
        <v>8046359758</v>
      </c>
      <c r="F89" s="923" t="n">
        <v>24583668879</v>
      </c>
      <c r="G89" s="31" t="n"/>
      <c r="H89" s="282" t="n"/>
      <c r="I89" s="270">
        <f>D89='03. Dulieutaichinhlamsach_DD'!D89</f>
        <v/>
      </c>
      <c r="J89" s="25">
        <f>E89='03. Dulieutaichinhlamsach_DD'!E89</f>
        <v/>
      </c>
      <c r="K89" s="25">
        <f>F89='03. Dulieutaichinhlamsach_DD'!F89</f>
        <v/>
      </c>
      <c r="L89" s="25">
        <f>G89='03. Dulieutaichinhlamsach_DD'!G89</f>
        <v/>
      </c>
      <c r="M89" s="523">
        <f>H89='03. Dulieutaichinhlamsach_DD'!H89</f>
        <v/>
      </c>
    </row>
    <row r="90" ht="16.5" customHeight="1" s="782" thickBot="1">
      <c r="B90" s="539" t="inlineStr">
        <is>
          <t xml:space="preserve">          4. Thuế và các khoản phải nộp Nhà nước</t>
        </is>
      </c>
      <c r="C90" s="531" t="n"/>
      <c r="D90" s="922" t="n">
        <v>1463563514</v>
      </c>
      <c r="E90" s="922" t="n">
        <v>2039719877</v>
      </c>
      <c r="F90" s="923" t="n">
        <v>7817966288</v>
      </c>
      <c r="G90" s="31" t="n"/>
      <c r="H90" s="282" t="n"/>
      <c r="I90" s="270">
        <f>D90='03. Dulieutaichinhlamsach_DD'!D90</f>
        <v/>
      </c>
      <c r="J90" s="25">
        <f>E90='03. Dulieutaichinhlamsach_DD'!E90</f>
        <v/>
      </c>
      <c r="K90" s="25">
        <f>F90='03. Dulieutaichinhlamsach_DD'!F90</f>
        <v/>
      </c>
      <c r="L90" s="25">
        <f>G90='03. Dulieutaichinhlamsach_DD'!G90</f>
        <v/>
      </c>
      <c r="M90" s="523">
        <f>H90='03. Dulieutaichinhlamsach_DD'!H90</f>
        <v/>
      </c>
    </row>
    <row r="91" ht="16.5" customHeight="1" s="782" thickBot="1">
      <c r="B91" s="539" t="inlineStr">
        <is>
          <t xml:space="preserve">          5. Phải trả người lao động</t>
        </is>
      </c>
      <c r="C91" s="531" t="n"/>
      <c r="D91" s="922" t="n">
        <v>669021042</v>
      </c>
      <c r="E91" s="922" t="n">
        <v>1021321284</v>
      </c>
      <c r="F91" s="923" t="n">
        <v>3624743162</v>
      </c>
      <c r="G91" s="31" t="n"/>
      <c r="H91" s="282" t="n"/>
      <c r="I91" s="270">
        <f>D91='03. Dulieutaichinhlamsach_DD'!D91</f>
        <v/>
      </c>
      <c r="J91" s="25">
        <f>E91='03. Dulieutaichinhlamsach_DD'!E91</f>
        <v/>
      </c>
      <c r="K91" s="25">
        <f>F91='03. Dulieutaichinhlamsach_DD'!F91</f>
        <v/>
      </c>
      <c r="L91" s="25">
        <f>G91='03. Dulieutaichinhlamsach_DD'!G91</f>
        <v/>
      </c>
      <c r="M91" s="523">
        <f>H91='03. Dulieutaichinhlamsach_DD'!H91</f>
        <v/>
      </c>
    </row>
    <row r="92" ht="16.5" customHeight="1" s="782" thickBot="1">
      <c r="B92" s="280" t="inlineStr">
        <is>
          <t xml:space="preserve">          6. Chi phí phải trả</t>
        </is>
      </c>
      <c r="C92" s="531" t="n"/>
      <c r="D92" s="922" t="n">
        <v>0</v>
      </c>
      <c r="E92" s="922" t="n">
        <v>163000000</v>
      </c>
      <c r="F92" s="923" t="n">
        <v>0</v>
      </c>
      <c r="G92" s="31" t="n"/>
      <c r="H92" s="282" t="n"/>
      <c r="I92" s="270">
        <f>D92='03. Dulieutaichinhlamsach_DD'!D92</f>
        <v/>
      </c>
      <c r="J92" s="25">
        <f>E92='03. Dulieutaichinhlamsach_DD'!E92</f>
        <v/>
      </c>
      <c r="K92" s="25">
        <f>F92='03. Dulieutaichinhlamsach_DD'!F92</f>
        <v/>
      </c>
      <c r="L92" s="25">
        <f>G92='03. Dulieutaichinhlamsach_DD'!G92</f>
        <v/>
      </c>
      <c r="M92" s="523">
        <f>H92='03. Dulieutaichinhlamsach_DD'!H92</f>
        <v/>
      </c>
    </row>
    <row r="93">
      <c r="B93" s="539" t="inlineStr">
        <is>
          <t xml:space="preserve">          7. Phải trả nội bộ</t>
        </is>
      </c>
      <c r="C93" s="532" t="n"/>
      <c r="D93" s="31" t="n"/>
      <c r="E93" s="31" t="n"/>
      <c r="F93" s="31" t="n"/>
      <c r="G93" s="31" t="n"/>
      <c r="H93" s="281" t="n"/>
      <c r="I93" s="270">
        <f>D93='03. Dulieutaichinhlamsach_DD'!D93</f>
        <v/>
      </c>
      <c r="J93" s="25">
        <f>E93='03. Dulieutaichinhlamsach_DD'!E93</f>
        <v/>
      </c>
      <c r="K93" s="25">
        <f>F93='03. Dulieutaichinhlamsach_DD'!F93</f>
        <v/>
      </c>
      <c r="L93" s="25">
        <f>G93='03. Dulieutaichinhlamsach_DD'!G93</f>
        <v/>
      </c>
      <c r="M93" s="523">
        <f>H93='03. Dulieutaichinhlamsach_DD'!H93</f>
        <v/>
      </c>
    </row>
    <row r="94" ht="15.75" customHeight="1" s="782" thickBot="1">
      <c r="B94" s="280" t="inlineStr">
        <is>
          <t xml:space="preserve">          8. Phải trả theo tiến độ kế hoạch hợp đồng xây dựng</t>
        </is>
      </c>
      <c r="C94" s="532" t="n"/>
      <c r="D94" s="31" t="n"/>
      <c r="E94" s="31" t="n"/>
      <c r="F94" s="31" t="n"/>
      <c r="G94" s="31" t="n"/>
      <c r="H94" s="281" t="n"/>
      <c r="I94" s="270">
        <f>D94='03. Dulieutaichinhlamsach_DD'!D94</f>
        <v/>
      </c>
      <c r="J94" s="25">
        <f>E94='03. Dulieutaichinhlamsach_DD'!E94</f>
        <v/>
      </c>
      <c r="K94" s="25">
        <f>F94='03. Dulieutaichinhlamsach_DD'!F94</f>
        <v/>
      </c>
      <c r="L94" s="25">
        <f>G94='03. Dulieutaichinhlamsach_DD'!G94</f>
        <v/>
      </c>
      <c r="M94" s="523">
        <f>H94='03. Dulieutaichinhlamsach_DD'!H94</f>
        <v/>
      </c>
    </row>
    <row r="95" ht="16.5" customHeight="1" s="782" thickBot="1">
      <c r="B95" s="539" t="inlineStr">
        <is>
          <t xml:space="preserve">          9. Các khoản phải trả, phải nộp ngắn hạn khác</t>
        </is>
      </c>
      <c r="C95" s="532" t="n"/>
      <c r="D95" s="922" t="n">
        <v>7587500</v>
      </c>
      <c r="E95" s="922" t="n">
        <v>7392959</v>
      </c>
      <c r="F95" s="923" t="n">
        <v>5153162</v>
      </c>
      <c r="G95" s="31" t="n"/>
      <c r="H95" s="281" t="n"/>
      <c r="I95" s="270">
        <f>D95='03. Dulieutaichinhlamsach_DD'!D95</f>
        <v/>
      </c>
      <c r="J95" s="25">
        <f>E95='03. Dulieutaichinhlamsach_DD'!E95</f>
        <v/>
      </c>
      <c r="K95" s="25">
        <f>F95='03. Dulieutaichinhlamsach_DD'!F95</f>
        <v/>
      </c>
      <c r="L95" s="25">
        <f>G95='03. Dulieutaichinhlamsach_DD'!G95</f>
        <v/>
      </c>
      <c r="M95" s="523">
        <f>H95='03. Dulieutaichinhlamsach_DD'!H95</f>
        <v/>
      </c>
    </row>
    <row r="96" ht="16.5" customHeight="1" s="782" thickBot="1">
      <c r="B96" s="539" t="inlineStr">
        <is>
          <t xml:space="preserve">          10. Dự phòng phải trả ngắn hạn</t>
        </is>
      </c>
      <c r="C96" s="532" t="n"/>
      <c r="D96" s="922" t="n">
        <v>2365701237</v>
      </c>
      <c r="E96" s="922" t="n">
        <v>12789468457</v>
      </c>
      <c r="F96" s="923" t="n">
        <v>17223376202</v>
      </c>
      <c r="G96" s="31" t="n"/>
      <c r="H96" s="281" t="n"/>
      <c r="I96" s="270">
        <f>D96='03. Dulieutaichinhlamsach_DD'!D96</f>
        <v/>
      </c>
      <c r="J96" s="25">
        <f>E96='03. Dulieutaichinhlamsach_DD'!E96</f>
        <v/>
      </c>
      <c r="K96" s="25">
        <f>F96='03. Dulieutaichinhlamsach_DD'!F96</f>
        <v/>
      </c>
      <c r="L96" s="25">
        <f>G96='03. Dulieutaichinhlamsach_DD'!G96</f>
        <v/>
      </c>
      <c r="M96" s="523">
        <f>H96='03. Dulieutaichinhlamsach_DD'!H96</f>
        <v/>
      </c>
    </row>
    <row r="97">
      <c r="B97" s="539" t="inlineStr">
        <is>
          <t xml:space="preserve">          11. Quỹ khen thưởng, phúc lợi</t>
        </is>
      </c>
      <c r="C97" s="532" t="n"/>
      <c r="D97" s="30" t="n"/>
      <c r="E97" s="30" t="n"/>
      <c r="F97" s="30" t="n"/>
      <c r="G97" s="31" t="n"/>
      <c r="H97" s="281" t="n"/>
      <c r="I97" s="270">
        <f>D97='03. Dulieutaichinhlamsach_DD'!D97</f>
        <v/>
      </c>
      <c r="J97" s="25">
        <f>E97='03. Dulieutaichinhlamsach_DD'!E97</f>
        <v/>
      </c>
      <c r="K97" s="25">
        <f>F97='03. Dulieutaichinhlamsach_DD'!F97</f>
        <v/>
      </c>
      <c r="L97" s="25">
        <f>G97='03. Dulieutaichinhlamsach_DD'!G97</f>
        <v/>
      </c>
      <c r="M97" s="523">
        <f>H97='03. Dulieutaichinhlamsach_DD'!H97</f>
        <v/>
      </c>
    </row>
    <row r="98">
      <c r="B98" s="280" t="inlineStr">
        <is>
          <t xml:space="preserve">          12. Giao dịch mua bán lại trái phiếu chính phủ</t>
        </is>
      </c>
      <c r="C98" s="532" t="n"/>
      <c r="D98" s="30" t="n"/>
      <c r="E98" s="30" t="n"/>
      <c r="F98" s="30" t="n"/>
      <c r="G98" s="31" t="n"/>
      <c r="H98" s="281" t="n"/>
      <c r="I98" s="270">
        <f>D98='03. Dulieutaichinhlamsach_DD'!D98</f>
        <v/>
      </c>
      <c r="J98" s="25">
        <f>E98='03. Dulieutaichinhlamsach_DD'!E98</f>
        <v/>
      </c>
      <c r="K98" s="25">
        <f>F98='03. Dulieutaichinhlamsach_DD'!F98</f>
        <v/>
      </c>
      <c r="L98" s="25">
        <f>G98='03. Dulieutaichinhlamsach_DD'!G98</f>
        <v/>
      </c>
      <c r="M98" s="523">
        <f>H98='03. Dulieutaichinhlamsach_DD'!H98</f>
        <v/>
      </c>
    </row>
    <row r="99">
      <c r="B99" s="280" t="inlineStr">
        <is>
          <t xml:space="preserve">          13. Doanh thu chưa thực hiện ngắn hạn</t>
        </is>
      </c>
      <c r="C99" s="532" t="n"/>
      <c r="D99" s="30" t="n"/>
      <c r="E99" s="30" t="n"/>
      <c r="F99" s="30" t="n"/>
      <c r="G99" s="31" t="n"/>
      <c r="H99" s="281" t="n"/>
      <c r="I99" s="270">
        <f>D99='03. Dulieutaichinhlamsach_DD'!D99</f>
        <v/>
      </c>
      <c r="J99" s="25">
        <f>E99='03. Dulieutaichinhlamsach_DD'!E99</f>
        <v/>
      </c>
      <c r="K99" s="25">
        <f>F99='03. Dulieutaichinhlamsach_DD'!F99</f>
        <v/>
      </c>
      <c r="L99" s="25">
        <f>G99='03. Dulieutaichinhlamsach_DD'!G99</f>
        <v/>
      </c>
      <c r="M99" s="523">
        <f>H99='03. Dulieutaichinhlamsach_DD'!H99</f>
        <v/>
      </c>
    </row>
    <row r="100">
      <c r="B100" s="530" t="inlineStr">
        <is>
          <t xml:space="preserve">     II. Nợ dài hạn</t>
        </is>
      </c>
      <c r="C100" s="531" t="n"/>
      <c r="D100" s="30" t="n"/>
      <c r="E100" s="30" t="n"/>
      <c r="F100" s="30" t="n"/>
      <c r="G100" s="29" t="n"/>
      <c r="H100" s="279" t="n"/>
      <c r="I100" s="270">
        <f>D100='03. Dulieutaichinhlamsach_DD'!D100</f>
        <v/>
      </c>
      <c r="J100" s="25">
        <f>E100='03. Dulieutaichinhlamsach_DD'!E100</f>
        <v/>
      </c>
      <c r="K100" s="25">
        <f>F100='03. Dulieutaichinhlamsach_DD'!F100</f>
        <v/>
      </c>
      <c r="L100" s="25">
        <f>G100='03. Dulieutaichinhlamsach_DD'!G100</f>
        <v/>
      </c>
      <c r="M100" s="523">
        <f>H100='03. Dulieutaichinhlamsach_DD'!H100</f>
        <v/>
      </c>
    </row>
    <row r="101">
      <c r="B101" s="280" t="inlineStr">
        <is>
          <t xml:space="preserve">          1. Phải trả dài hạn người bán</t>
        </is>
      </c>
      <c r="C101" s="531" t="n"/>
      <c r="D101" s="30" t="n"/>
      <c r="E101" s="30" t="n"/>
      <c r="F101" s="30" t="n"/>
      <c r="G101" s="32" t="n"/>
      <c r="H101" s="282" t="n"/>
      <c r="I101" s="270">
        <f>D101='03. Dulieutaichinhlamsach_DD'!D101</f>
        <v/>
      </c>
      <c r="J101" s="25">
        <f>E101='03. Dulieutaichinhlamsach_DD'!E101</f>
        <v/>
      </c>
      <c r="K101" s="25">
        <f>F101='03. Dulieutaichinhlamsach_DD'!F101</f>
        <v/>
      </c>
      <c r="L101" s="25">
        <f>G101='03. Dulieutaichinhlamsach_DD'!G101</f>
        <v/>
      </c>
      <c r="M101" s="523">
        <f>H101='03. Dulieutaichinhlamsach_DD'!H101</f>
        <v/>
      </c>
    </row>
    <row r="102">
      <c r="B102" s="280" t="inlineStr">
        <is>
          <t xml:space="preserve">          2. Phải trả dài hạn nội bộ</t>
        </is>
      </c>
      <c r="C102" s="531" t="n"/>
      <c r="D102" s="30" t="n"/>
      <c r="E102" s="30" t="n"/>
      <c r="F102" s="30" t="n"/>
      <c r="G102" s="32" t="n"/>
      <c r="H102" s="282" t="n"/>
      <c r="I102" s="270">
        <f>D102='03. Dulieutaichinhlamsach_DD'!D102</f>
        <v/>
      </c>
      <c r="J102" s="25">
        <f>E102='03. Dulieutaichinhlamsach_DD'!E102</f>
        <v/>
      </c>
      <c r="K102" s="25">
        <f>F102='03. Dulieutaichinhlamsach_DD'!F102</f>
        <v/>
      </c>
      <c r="L102" s="25">
        <f>G102='03. Dulieutaichinhlamsach_DD'!G102</f>
        <v/>
      </c>
      <c r="M102" s="523">
        <f>H102='03. Dulieutaichinhlamsach_DD'!H102</f>
        <v/>
      </c>
    </row>
    <row r="103">
      <c r="B103" s="280" t="inlineStr">
        <is>
          <t xml:space="preserve">          3. Phải trả dài hạn khác</t>
        </is>
      </c>
      <c r="C103" s="531" t="n"/>
      <c r="D103" s="30" t="n"/>
      <c r="E103" s="30" t="n"/>
      <c r="F103" s="30" t="n"/>
      <c r="G103" s="32" t="n"/>
      <c r="H103" s="282" t="n"/>
      <c r="I103" s="270">
        <f>D103='03. Dulieutaichinhlamsach_DD'!D103</f>
        <v/>
      </c>
      <c r="J103" s="25">
        <f>E103='03. Dulieutaichinhlamsach_DD'!E103</f>
        <v/>
      </c>
      <c r="K103" s="25">
        <f>F103='03. Dulieutaichinhlamsach_DD'!F103</f>
        <v/>
      </c>
      <c r="L103" s="25">
        <f>G103='03. Dulieutaichinhlamsach_DD'!G103</f>
        <v/>
      </c>
      <c r="M103" s="523">
        <f>H103='03. Dulieutaichinhlamsach_DD'!H103</f>
        <v/>
      </c>
    </row>
    <row r="104">
      <c r="B104" s="280" t="inlineStr">
        <is>
          <t xml:space="preserve">          4. Vay và nợ dài hạn</t>
        </is>
      </c>
      <c r="C104" s="531" t="n"/>
      <c r="D104" s="30" t="n"/>
      <c r="E104" s="30" t="n"/>
      <c r="F104" s="30" t="n"/>
      <c r="G104" s="32" t="n"/>
      <c r="H104" s="281" t="n"/>
      <c r="I104" s="270">
        <f>D104='03. Dulieutaichinhlamsach_DD'!D104</f>
        <v/>
      </c>
      <c r="J104" s="25">
        <f>E104='03. Dulieutaichinhlamsach_DD'!E104</f>
        <v/>
      </c>
      <c r="K104" s="25">
        <f>F104='03. Dulieutaichinhlamsach_DD'!F104</f>
        <v/>
      </c>
      <c r="L104" s="25">
        <f>G104='03. Dulieutaichinhlamsach_DD'!G104</f>
        <v/>
      </c>
      <c r="M104" s="523">
        <f>H104='03. Dulieutaichinhlamsach_DD'!H104</f>
        <v/>
      </c>
    </row>
    <row r="105">
      <c r="B105" s="280" t="inlineStr">
        <is>
          <t xml:space="preserve">             - Tr/đó: vay MSB</t>
        </is>
      </c>
      <c r="C105" s="531" t="n"/>
      <c r="D105" s="30" t="n"/>
      <c r="E105" s="30" t="n"/>
      <c r="F105" s="30" t="n"/>
      <c r="G105" s="32" t="n"/>
      <c r="H105" s="282" t="n"/>
      <c r="I105" s="270">
        <f>D105='03. Dulieutaichinhlamsach_DD'!D105</f>
        <v/>
      </c>
      <c r="J105" s="25">
        <f>E105='03. Dulieutaichinhlamsach_DD'!E105</f>
        <v/>
      </c>
      <c r="K105" s="25">
        <f>F105='03. Dulieutaichinhlamsach_DD'!F105</f>
        <v/>
      </c>
      <c r="L105" s="25">
        <f>G105='03. Dulieutaichinhlamsach_DD'!G105</f>
        <v/>
      </c>
      <c r="M105" s="523">
        <f>H105='03. Dulieutaichinhlamsach_DD'!H105</f>
        <v/>
      </c>
    </row>
    <row r="106">
      <c r="B106" s="280" t="inlineStr">
        <is>
          <t xml:space="preserve">          5. Thuế thu nhập hoãn lại phải trả</t>
        </is>
      </c>
      <c r="C106" s="532" t="n"/>
      <c r="D106" s="30" t="n"/>
      <c r="E106" s="30" t="n"/>
      <c r="F106" s="30" t="n"/>
      <c r="G106" s="32" t="n"/>
      <c r="H106" s="281" t="n"/>
      <c r="I106" s="270">
        <f>D106='03. Dulieutaichinhlamsach_DD'!D106</f>
        <v/>
      </c>
      <c r="J106" s="25">
        <f>E106='03. Dulieutaichinhlamsach_DD'!E106</f>
        <v/>
      </c>
      <c r="K106" s="25">
        <f>F106='03. Dulieutaichinhlamsach_DD'!F106</f>
        <v/>
      </c>
      <c r="L106" s="25">
        <f>G106='03. Dulieutaichinhlamsach_DD'!G106</f>
        <v/>
      </c>
      <c r="M106" s="523">
        <f>H106='03. Dulieutaichinhlamsach_DD'!H106</f>
        <v/>
      </c>
    </row>
    <row r="107">
      <c r="B107" s="280" t="inlineStr">
        <is>
          <t xml:space="preserve">          6. Dự phòng trợ cấp mất việc làm</t>
        </is>
      </c>
      <c r="C107" s="532" t="n"/>
      <c r="D107" s="30" t="n"/>
      <c r="E107" s="30" t="n"/>
      <c r="F107" s="30" t="n"/>
      <c r="G107" s="32" t="n"/>
      <c r="H107" s="281" t="n"/>
      <c r="I107" s="270">
        <f>D107='03. Dulieutaichinhlamsach_DD'!D107</f>
        <v/>
      </c>
      <c r="J107" s="25">
        <f>E107='03. Dulieutaichinhlamsach_DD'!E107</f>
        <v/>
      </c>
      <c r="K107" s="25">
        <f>F107='03. Dulieutaichinhlamsach_DD'!F107</f>
        <v/>
      </c>
      <c r="L107" s="25">
        <f>G107='03. Dulieutaichinhlamsach_DD'!G107</f>
        <v/>
      </c>
      <c r="M107" s="523">
        <f>H107='03. Dulieutaichinhlamsach_DD'!H107</f>
        <v/>
      </c>
    </row>
    <row r="108">
      <c r="B108" s="539" t="inlineStr">
        <is>
          <t xml:space="preserve">          7. Dự phòng phải trả người bán</t>
        </is>
      </c>
      <c r="C108" s="532" t="n"/>
      <c r="D108" s="30" t="n"/>
      <c r="E108" s="30" t="n"/>
      <c r="F108" s="30" t="n"/>
      <c r="G108" s="32" t="n"/>
      <c r="H108" s="281" t="n"/>
      <c r="I108" s="270">
        <f>D108='03. Dulieutaichinhlamsach_DD'!D108</f>
        <v/>
      </c>
      <c r="J108" s="25">
        <f>E108='03. Dulieutaichinhlamsach_DD'!E108</f>
        <v/>
      </c>
      <c r="K108" s="25">
        <f>F108='03. Dulieutaichinhlamsach_DD'!F108</f>
        <v/>
      </c>
      <c r="L108" s="25">
        <f>G108='03. Dulieutaichinhlamsach_DD'!G108</f>
        <v/>
      </c>
      <c r="M108" s="523">
        <f>H108='03. Dulieutaichinhlamsach_DD'!H108</f>
        <v/>
      </c>
    </row>
    <row r="109">
      <c r="B109" s="280" t="inlineStr">
        <is>
          <t xml:space="preserve">          8. Doanh thu chưa thực hiện</t>
        </is>
      </c>
      <c r="C109" s="532" t="n"/>
      <c r="D109" s="30" t="n"/>
      <c r="E109" s="30" t="n"/>
      <c r="F109" s="30" t="n"/>
      <c r="G109" s="32" t="n"/>
      <c r="H109" s="281" t="n"/>
      <c r="I109" s="270">
        <f>D109='03. Dulieutaichinhlamsach_DD'!D109</f>
        <v/>
      </c>
      <c r="J109" s="25">
        <f>E109='03. Dulieutaichinhlamsach_DD'!E109</f>
        <v/>
      </c>
      <c r="K109" s="25">
        <f>F109='03. Dulieutaichinhlamsach_DD'!F109</f>
        <v/>
      </c>
      <c r="L109" s="25">
        <f>G109='03. Dulieutaichinhlamsach_DD'!G109</f>
        <v/>
      </c>
      <c r="M109" s="523">
        <f>H109='03. Dulieutaichinhlamsach_DD'!H109</f>
        <v/>
      </c>
    </row>
    <row r="110">
      <c r="B110" s="539" t="inlineStr">
        <is>
          <t xml:space="preserve">          9. Quỹ phát triển khoa học công nghệ</t>
        </is>
      </c>
      <c r="C110" s="532" t="n"/>
      <c r="D110" s="30" t="n"/>
      <c r="E110" s="30" t="n"/>
      <c r="F110" s="30" t="n"/>
      <c r="G110" s="32" t="n"/>
      <c r="H110" s="281" t="n"/>
      <c r="I110" s="270">
        <f>D110='03. Dulieutaichinhlamsach_DD'!D110</f>
        <v/>
      </c>
      <c r="J110" s="25">
        <f>E110='03. Dulieutaichinhlamsach_DD'!E110</f>
        <v/>
      </c>
      <c r="K110" s="25">
        <f>F110='03. Dulieutaichinhlamsach_DD'!F110</f>
        <v/>
      </c>
      <c r="L110" s="25">
        <f>G110='03. Dulieutaichinhlamsach_DD'!G110</f>
        <v/>
      </c>
      <c r="M110" s="523">
        <f>H110='03. Dulieutaichinhlamsach_DD'!H110</f>
        <v/>
      </c>
    </row>
    <row r="111">
      <c r="B111" s="280" t="inlineStr">
        <is>
          <t xml:space="preserve">         10. Phải trả, phải nộp dài hạn khác</t>
        </is>
      </c>
      <c r="C111" s="532" t="n"/>
      <c r="D111" s="30" t="n"/>
      <c r="E111" s="30" t="n"/>
      <c r="F111" s="30" t="n"/>
      <c r="G111" s="32" t="n"/>
      <c r="H111" s="281" t="n"/>
      <c r="I111" s="270">
        <f>D111='03. Dulieutaichinhlamsach_DD'!D111</f>
        <v/>
      </c>
      <c r="J111" s="25">
        <f>E111='03. Dulieutaichinhlamsach_DD'!E111</f>
        <v/>
      </c>
      <c r="K111" s="25">
        <f>F111='03. Dulieutaichinhlamsach_DD'!F111</f>
        <v/>
      </c>
      <c r="L111" s="25">
        <f>G111='03. Dulieutaichinhlamsach_DD'!G111</f>
        <v/>
      </c>
      <c r="M111" s="523">
        <f>H111='03. Dulieutaichinhlamsach_DD'!H111</f>
        <v/>
      </c>
    </row>
    <row r="112">
      <c r="B112" s="530" t="inlineStr">
        <is>
          <t>B. VỐN CHỦ SỞ HỮU</t>
        </is>
      </c>
      <c r="C112" s="531" t="n"/>
      <c r="D112" s="30" t="n"/>
      <c r="E112" s="30" t="n"/>
      <c r="F112" s="30" t="n"/>
      <c r="G112" s="29" t="n"/>
      <c r="H112" s="279" t="n"/>
      <c r="I112" s="270">
        <f>D112='03. Dulieutaichinhlamsach_DD'!D112</f>
        <v/>
      </c>
      <c r="J112" s="25">
        <f>E112='03. Dulieutaichinhlamsach_DD'!E112</f>
        <v/>
      </c>
      <c r="K112" s="25">
        <f>F112='03. Dulieutaichinhlamsach_DD'!F112</f>
        <v/>
      </c>
      <c r="L112" s="25">
        <f>G112='03. Dulieutaichinhlamsach_DD'!G112</f>
        <v/>
      </c>
      <c r="M112" s="523">
        <f>H112='03. Dulieutaichinhlamsach_DD'!H112</f>
        <v/>
      </c>
    </row>
    <row r="113" ht="15.75" customHeight="1" s="782" thickBot="1">
      <c r="B113" s="530" t="inlineStr">
        <is>
          <t xml:space="preserve">    I. Vốn chủ sở hữu</t>
        </is>
      </c>
      <c r="C113" s="531" t="n"/>
      <c r="D113" s="30" t="n"/>
      <c r="E113" s="30" t="n"/>
      <c r="F113" s="30" t="n"/>
      <c r="G113" s="29" t="n"/>
      <c r="H113" s="279" t="n"/>
      <c r="I113" s="270">
        <f>D113='03. Dulieutaichinhlamsach_DD'!D113</f>
        <v/>
      </c>
      <c r="J113" s="25">
        <f>E113='03. Dulieutaichinhlamsach_DD'!E113</f>
        <v/>
      </c>
      <c r="K113" s="25">
        <f>F113='03. Dulieutaichinhlamsach_DD'!F113</f>
        <v/>
      </c>
      <c r="L113" s="25">
        <f>G113='03. Dulieutaichinhlamsach_DD'!G113</f>
        <v/>
      </c>
      <c r="M113" s="523">
        <f>H113='03. Dulieutaichinhlamsach_DD'!H113</f>
        <v/>
      </c>
    </row>
    <row r="114" ht="16.5" customHeight="1" s="782" thickBot="1">
      <c r="B114" s="539" t="inlineStr">
        <is>
          <t xml:space="preserve">          1. Vốn đầu tư của chủ sở hữu</t>
        </is>
      </c>
      <c r="C114" s="531" t="n"/>
      <c r="D114" s="922" t="n">
        <v>500000000</v>
      </c>
      <c r="E114" s="922" t="n">
        <v>500000000</v>
      </c>
      <c r="F114" s="923" t="n">
        <v>5000000000</v>
      </c>
      <c r="G114" s="31" t="n"/>
      <c r="H114" s="281" t="n"/>
      <c r="I114" s="270">
        <f>D114='03. Dulieutaichinhlamsach_DD'!D114</f>
        <v/>
      </c>
      <c r="J114" s="25">
        <f>E114='03. Dulieutaichinhlamsach_DD'!E114</f>
        <v/>
      </c>
      <c r="K114" s="25">
        <f>F114='03. Dulieutaichinhlamsach_DD'!F114</f>
        <v/>
      </c>
      <c r="L114" s="25">
        <f>G114='03. Dulieutaichinhlamsach_DD'!G114</f>
        <v/>
      </c>
      <c r="M114" s="523">
        <f>H114='03. Dulieutaichinhlamsach_DD'!H114</f>
        <v/>
      </c>
    </row>
    <row r="115">
      <c r="B115" s="539" t="inlineStr">
        <is>
          <t xml:space="preserve">          2. Thặng dư vốn cổ phần</t>
        </is>
      </c>
      <c r="C115" s="531" t="n"/>
      <c r="D115" s="30" t="n"/>
      <c r="E115" s="30" t="n"/>
      <c r="F115" s="30" t="n"/>
      <c r="G115" s="31" t="n"/>
      <c r="H115" s="282" t="n"/>
      <c r="I115" s="270">
        <f>D115='03. Dulieutaichinhlamsach_DD'!D115</f>
        <v/>
      </c>
      <c r="J115" s="25">
        <f>E115='03. Dulieutaichinhlamsach_DD'!E115</f>
        <v/>
      </c>
      <c r="K115" s="25">
        <f>F115='03. Dulieutaichinhlamsach_DD'!F115</f>
        <v/>
      </c>
      <c r="L115" s="25">
        <f>G115='03. Dulieutaichinhlamsach_DD'!G115</f>
        <v/>
      </c>
      <c r="M115" s="523">
        <f>H115='03. Dulieutaichinhlamsach_DD'!H115</f>
        <v/>
      </c>
    </row>
    <row r="116">
      <c r="B116" s="539" t="inlineStr">
        <is>
          <t xml:space="preserve">          3. Vốn khác của chủ sở hữu</t>
        </is>
      </c>
      <c r="C116" s="531" t="n"/>
      <c r="D116" s="30" t="n"/>
      <c r="E116" s="30" t="n"/>
      <c r="F116" s="30" t="n"/>
      <c r="G116" s="31" t="n"/>
      <c r="H116" s="282" t="n"/>
      <c r="I116" s="270">
        <f>D116='03. Dulieutaichinhlamsach_DD'!D116</f>
        <v/>
      </c>
      <c r="J116" s="25">
        <f>E116='03. Dulieutaichinhlamsach_DD'!E116</f>
        <v/>
      </c>
      <c r="K116" s="25">
        <f>F116='03. Dulieutaichinhlamsach_DD'!F116</f>
        <v/>
      </c>
      <c r="L116" s="25">
        <f>G116='03. Dulieutaichinhlamsach_DD'!G116</f>
        <v/>
      </c>
      <c r="M116" s="523">
        <f>H116='03. Dulieutaichinhlamsach_DD'!H116</f>
        <v/>
      </c>
    </row>
    <row r="117">
      <c r="B117" s="539" t="inlineStr">
        <is>
          <t xml:space="preserve">          4. Cổ phiếu quỹ</t>
        </is>
      </c>
      <c r="C117" s="531" t="n"/>
      <c r="D117" s="30" t="n"/>
      <c r="E117" s="30" t="n"/>
      <c r="F117" s="30" t="n"/>
      <c r="G117" s="31" t="n"/>
      <c r="H117" s="282" t="n"/>
      <c r="I117" s="270">
        <f>D117='03. Dulieutaichinhlamsach_DD'!D117</f>
        <v/>
      </c>
      <c r="J117" s="25">
        <f>E117='03. Dulieutaichinhlamsach_DD'!E117</f>
        <v/>
      </c>
      <c r="K117" s="25">
        <f>F117='03. Dulieutaichinhlamsach_DD'!F117</f>
        <v/>
      </c>
      <c r="L117" s="25">
        <f>G117='03. Dulieutaichinhlamsach_DD'!G117</f>
        <v/>
      </c>
      <c r="M117" s="523">
        <f>H117='03. Dulieutaichinhlamsach_DD'!H117</f>
        <v/>
      </c>
    </row>
    <row r="118">
      <c r="B118" s="280" t="inlineStr">
        <is>
          <t xml:space="preserve">          5. Chênh lệch đánh giá lại tài sản</t>
        </is>
      </c>
      <c r="C118" s="531" t="n"/>
      <c r="D118" s="30" t="n"/>
      <c r="E118" s="30" t="n"/>
      <c r="F118" s="30" t="n"/>
      <c r="G118" s="31" t="n"/>
      <c r="H118" s="282" t="n"/>
      <c r="I118" s="270">
        <f>D118='03. Dulieutaichinhlamsach_DD'!D118</f>
        <v/>
      </c>
      <c r="J118" s="25">
        <f>E118='03. Dulieutaichinhlamsach_DD'!E118</f>
        <v/>
      </c>
      <c r="K118" s="25">
        <f>F118='03. Dulieutaichinhlamsach_DD'!F118</f>
        <v/>
      </c>
      <c r="L118" s="25">
        <f>G118='03. Dulieutaichinhlamsach_DD'!G118</f>
        <v/>
      </c>
      <c r="M118" s="523">
        <f>H118='03. Dulieutaichinhlamsach_DD'!H118</f>
        <v/>
      </c>
    </row>
    <row r="119">
      <c r="B119" s="539" t="inlineStr">
        <is>
          <t xml:space="preserve">          6. Chênh lệch tỷ giá hối đoái</t>
        </is>
      </c>
      <c r="C119" s="531" t="n"/>
      <c r="D119" s="30" t="n"/>
      <c r="E119" s="30" t="n"/>
      <c r="F119" s="30" t="n"/>
      <c r="G119" s="31" t="n"/>
      <c r="H119" s="282" t="n"/>
      <c r="I119" s="270">
        <f>D119='03. Dulieutaichinhlamsach_DD'!D119</f>
        <v/>
      </c>
      <c r="J119" s="25">
        <f>E119='03. Dulieutaichinhlamsach_DD'!E119</f>
        <v/>
      </c>
      <c r="K119" s="25">
        <f>F119='03. Dulieutaichinhlamsach_DD'!F119</f>
        <v/>
      </c>
      <c r="L119" s="25">
        <f>G119='03. Dulieutaichinhlamsach_DD'!G119</f>
        <v/>
      </c>
      <c r="M119" s="523">
        <f>H119='03. Dulieutaichinhlamsach_DD'!H119</f>
        <v/>
      </c>
    </row>
    <row r="120">
      <c r="B120" s="280" t="inlineStr">
        <is>
          <t xml:space="preserve">          7. Quỹ đầu tư phát triển</t>
        </is>
      </c>
      <c r="C120" s="531" t="n"/>
      <c r="D120" s="30" t="n"/>
      <c r="E120" s="30" t="n"/>
      <c r="F120" s="30" t="n"/>
      <c r="G120" s="31" t="n"/>
      <c r="H120" s="282" t="n"/>
      <c r="I120" s="270">
        <f>D120='03. Dulieutaichinhlamsach_DD'!D120</f>
        <v/>
      </c>
      <c r="J120" s="25">
        <f>E120='03. Dulieutaichinhlamsach_DD'!E120</f>
        <v/>
      </c>
      <c r="K120" s="25">
        <f>F120='03. Dulieutaichinhlamsach_DD'!F120</f>
        <v/>
      </c>
      <c r="L120" s="25">
        <f>G120='03. Dulieutaichinhlamsach_DD'!G120</f>
        <v/>
      </c>
      <c r="M120" s="523">
        <f>H120='03. Dulieutaichinhlamsach_DD'!H120</f>
        <v/>
      </c>
    </row>
    <row r="121">
      <c r="B121" s="280" t="inlineStr">
        <is>
          <t xml:space="preserve">          8. Quỹ dự phòng tài chính</t>
        </is>
      </c>
      <c r="C121" s="531" t="n"/>
      <c r="D121" s="30" t="n"/>
      <c r="E121" s="30" t="n"/>
      <c r="F121" s="30" t="n"/>
      <c r="G121" s="31" t="n"/>
      <c r="H121" s="282" t="n"/>
      <c r="I121" s="270">
        <f>D121='03. Dulieutaichinhlamsach_DD'!D121</f>
        <v/>
      </c>
      <c r="J121" s="25">
        <f>E121='03. Dulieutaichinhlamsach_DD'!E121</f>
        <v/>
      </c>
      <c r="K121" s="25">
        <f>F121='03. Dulieutaichinhlamsach_DD'!F121</f>
        <v/>
      </c>
      <c r="L121" s="25">
        <f>G121='03. Dulieutaichinhlamsach_DD'!G121</f>
        <v/>
      </c>
      <c r="M121" s="523">
        <f>H121='03. Dulieutaichinhlamsach_DD'!H121</f>
        <v/>
      </c>
    </row>
    <row r="122" ht="15.75" customHeight="1" s="782" thickBot="1">
      <c r="B122" s="539" t="inlineStr">
        <is>
          <t xml:space="preserve">          9. Quỹ khác thuộc vốn chủ sở hữu</t>
        </is>
      </c>
      <c r="C122" s="531" t="n"/>
      <c r="D122" s="31" t="n"/>
      <c r="E122" s="31" t="n"/>
      <c r="F122" s="31" t="n"/>
      <c r="G122" s="31" t="n"/>
      <c r="H122" s="282" t="n"/>
      <c r="I122" s="270">
        <f>D122='03. Dulieutaichinhlamsach_DD'!D122</f>
        <v/>
      </c>
      <c r="J122" s="25">
        <f>E122='03. Dulieutaichinhlamsach_DD'!E122</f>
        <v/>
      </c>
      <c r="K122" s="25">
        <f>F122='03. Dulieutaichinhlamsach_DD'!F122</f>
        <v/>
      </c>
      <c r="L122" s="25">
        <f>G122='03. Dulieutaichinhlamsach_DD'!G122</f>
        <v/>
      </c>
      <c r="M122" s="523">
        <f>H122='03. Dulieutaichinhlamsach_DD'!H122</f>
        <v/>
      </c>
    </row>
    <row r="123" ht="16.5" customHeight="1" s="782" thickBot="1">
      <c r="B123" s="539" t="inlineStr">
        <is>
          <t xml:space="preserve">          10. Lợi nhuận sau thuế chưa phân phối</t>
        </is>
      </c>
      <c r="C123" s="531" t="n"/>
      <c r="D123" s="922" t="n">
        <v>7299150070</v>
      </c>
      <c r="E123" s="922" t="n">
        <v>13405811313</v>
      </c>
      <c r="F123" s="923" t="n">
        <v>43394627664</v>
      </c>
      <c r="G123" s="31" t="n"/>
      <c r="H123" s="282" t="n"/>
      <c r="I123" s="270">
        <f>D123='03. Dulieutaichinhlamsach_DD'!D123</f>
        <v/>
      </c>
      <c r="J123" s="25">
        <f>E123='03. Dulieutaichinhlamsach_DD'!E123</f>
        <v/>
      </c>
      <c r="K123" s="25">
        <f>F123='03. Dulieutaichinhlamsach_DD'!F123</f>
        <v/>
      </c>
      <c r="L123" s="25">
        <f>G123='03. Dulieutaichinhlamsach_DD'!G123</f>
        <v/>
      </c>
      <c r="M123" s="523">
        <f>H123='03. Dulieutaichinhlamsach_DD'!H123</f>
        <v/>
      </c>
    </row>
    <row r="124">
      <c r="B124" s="280" t="inlineStr">
        <is>
          <t xml:space="preserve">          11. Nguồn vốn đầu tư XDCB</t>
        </is>
      </c>
      <c r="C124" s="531" t="n"/>
      <c r="D124" s="30" t="n"/>
      <c r="E124" s="30" t="n"/>
      <c r="F124" s="30" t="n"/>
      <c r="G124" s="31" t="n"/>
      <c r="H124" s="282" t="n"/>
      <c r="I124" s="270">
        <f>D124='03. Dulieutaichinhlamsach_DD'!D124</f>
        <v/>
      </c>
      <c r="J124" s="25">
        <f>E124='03. Dulieutaichinhlamsach_DD'!E124</f>
        <v/>
      </c>
      <c r="K124" s="25">
        <f>F124='03. Dulieutaichinhlamsach_DD'!F124</f>
        <v/>
      </c>
      <c r="L124" s="25">
        <f>G124='03. Dulieutaichinhlamsach_DD'!G124</f>
        <v/>
      </c>
      <c r="M124" s="523">
        <f>H124='03. Dulieutaichinhlamsach_DD'!H124</f>
        <v/>
      </c>
    </row>
    <row r="125">
      <c r="B125" s="280" t="inlineStr">
        <is>
          <t xml:space="preserve">          12. Quỹ hỗ trợ sắp xếp doanh nghiệp</t>
        </is>
      </c>
      <c r="C125" s="531" t="n"/>
      <c r="D125" s="30" t="n"/>
      <c r="E125" s="30" t="n"/>
      <c r="F125" s="30" t="n"/>
      <c r="G125" s="31" t="n"/>
      <c r="H125" s="282" t="n"/>
      <c r="I125" s="270">
        <f>D125='03. Dulieutaichinhlamsach_DD'!D125</f>
        <v/>
      </c>
      <c r="J125" s="25">
        <f>E125='03. Dulieutaichinhlamsach_DD'!E125</f>
        <v/>
      </c>
      <c r="K125" s="25">
        <f>F125='03. Dulieutaichinhlamsach_DD'!F125</f>
        <v/>
      </c>
      <c r="L125" s="25">
        <f>G125='03. Dulieutaichinhlamsach_DD'!G125</f>
        <v/>
      </c>
      <c r="M125" s="523">
        <f>H125='03. Dulieutaichinhlamsach_DD'!H125</f>
        <v/>
      </c>
    </row>
    <row r="126">
      <c r="B126" s="530" t="inlineStr">
        <is>
          <t xml:space="preserve">     II. Nguồn kinh phí </t>
        </is>
      </c>
      <c r="C126" s="531" t="n"/>
      <c r="D126" s="29" t="n"/>
      <c r="E126" s="29" t="n"/>
      <c r="F126" s="29" t="n"/>
      <c r="G126" s="29" t="n"/>
      <c r="H126" s="279" t="n"/>
      <c r="I126" s="270">
        <f>D126='03. Dulieutaichinhlamsach_DD'!D126</f>
        <v/>
      </c>
      <c r="J126" s="25">
        <f>E126='03. Dulieutaichinhlamsach_DD'!E126</f>
        <v/>
      </c>
      <c r="K126" s="25">
        <f>F126='03. Dulieutaichinhlamsach_DD'!F126</f>
        <v/>
      </c>
      <c r="L126" s="25">
        <f>G126='03. Dulieutaichinhlamsach_DD'!G126</f>
        <v/>
      </c>
      <c r="M126" s="523">
        <f>H126='03. Dulieutaichinhlamsach_DD'!H126</f>
        <v/>
      </c>
    </row>
    <row r="127">
      <c r="B127" s="280" t="inlineStr">
        <is>
          <t xml:space="preserve">          1. Nguồn kinh phí</t>
        </is>
      </c>
      <c r="C127" s="531" t="n"/>
      <c r="D127" s="32" t="n"/>
      <c r="E127" s="32" t="n"/>
      <c r="F127" s="32" t="n"/>
      <c r="G127" s="32" t="n"/>
      <c r="H127" s="282" t="n"/>
      <c r="I127" s="270">
        <f>D127='03. Dulieutaichinhlamsach_DD'!D127</f>
        <v/>
      </c>
      <c r="J127" s="25">
        <f>E127='03. Dulieutaichinhlamsach_DD'!E127</f>
        <v/>
      </c>
      <c r="K127" s="25">
        <f>F127='03. Dulieutaichinhlamsach_DD'!F127</f>
        <v/>
      </c>
      <c r="L127" s="25">
        <f>G127='03. Dulieutaichinhlamsach_DD'!G127</f>
        <v/>
      </c>
      <c r="M127" s="523">
        <f>H127='03. Dulieutaichinhlamsach_DD'!H127</f>
        <v/>
      </c>
    </row>
    <row r="128" ht="15.75" customHeight="1" s="782" thickBot="1">
      <c r="B128" s="540" t="inlineStr">
        <is>
          <t xml:space="preserve">          2. Nguồn kinh phí đã hình thành TSCĐ</t>
        </is>
      </c>
      <c r="C128" s="531" t="n"/>
      <c r="D128" s="32" t="n"/>
      <c r="E128" s="32" t="n"/>
      <c r="F128" s="32" t="n"/>
      <c r="G128" s="32" t="n"/>
      <c r="H128" s="282" t="n"/>
      <c r="I128" s="270">
        <f>D128='03. Dulieutaichinhlamsach_DD'!D128</f>
        <v/>
      </c>
      <c r="J128" s="25">
        <f>E128='03. Dulieutaichinhlamsach_DD'!E128</f>
        <v/>
      </c>
      <c r="K128" s="25">
        <f>F128='03. Dulieutaichinhlamsach_DD'!F128</f>
        <v/>
      </c>
      <c r="L128" s="25">
        <f>G128='03. Dulieutaichinhlamsach_DD'!G128</f>
        <v/>
      </c>
      <c r="M128" s="523">
        <f>H128='03. Dulieutaichinhlamsach_DD'!H128</f>
        <v/>
      </c>
    </row>
    <row r="129" ht="18" customHeight="1" s="782" thickBot="1" thickTop="1">
      <c r="B129" s="541" t="inlineStr">
        <is>
          <t xml:space="preserve">II. Báo cáo kết quả hoạt động SXKD </t>
        </is>
      </c>
      <c r="C129" s="531" t="n"/>
      <c r="D129" s="32" t="n"/>
      <c r="E129" s="32" t="n"/>
      <c r="F129" s="32" t="n"/>
      <c r="G129" s="32" t="n"/>
      <c r="H129" s="282" t="n"/>
      <c r="I129" s="542">
        <f>D129='03. Dulieutaichinhlamsach_DD'!D143</f>
        <v/>
      </c>
      <c r="J129" s="523">
        <f>E129='03. Dulieutaichinhlamsach_DD'!E143</f>
        <v/>
      </c>
      <c r="K129" s="523">
        <f>F129='03. Dulieutaichinhlamsach_DD'!F143</f>
        <v/>
      </c>
      <c r="L129" s="523">
        <f>G129='03. Dulieutaichinhlamsach_DD'!G143</f>
        <v/>
      </c>
      <c r="M129" s="523">
        <f>H129='03. Dulieutaichinhlamsach_DD'!H143</f>
        <v/>
      </c>
    </row>
    <row r="130" ht="16.5" customHeight="1" s="782" thickBot="1">
      <c r="B130" s="543" t="inlineStr">
        <is>
          <t>Doanh thu bán hàng và cung cấp dịch vụ</t>
        </is>
      </c>
      <c r="C130" s="531" t="n"/>
      <c r="D130" s="922" t="n">
        <v>62245878588</v>
      </c>
      <c r="E130" s="922" t="n">
        <v>228493535147</v>
      </c>
      <c r="F130" s="923" t="n">
        <v>312092432664</v>
      </c>
      <c r="G130" s="31" t="n"/>
      <c r="H130" s="282" t="n"/>
      <c r="I130" s="270">
        <f>D130='03. Dulieutaichinhlamsach_DD'!D143</f>
        <v/>
      </c>
      <c r="J130" s="25">
        <f>E130='03. Dulieutaichinhlamsach_DD'!E143</f>
        <v/>
      </c>
      <c r="K130" s="25">
        <f>F130='03. Dulieutaichinhlamsach_DD'!F143</f>
        <v/>
      </c>
      <c r="L130" s="25">
        <f>G130='03. Dulieutaichinhlamsach_DD'!G143</f>
        <v/>
      </c>
      <c r="M130" s="523">
        <f>H130='03. Dulieutaichinhlamsach_DD'!H143</f>
        <v/>
      </c>
    </row>
    <row r="131">
      <c r="B131" s="283" t="inlineStr">
        <is>
          <t>Các khoản giảm trừ doanh thu</t>
        </is>
      </c>
      <c r="C131" s="33" t="n"/>
      <c r="D131" s="34" t="n"/>
      <c r="E131" s="34" t="n"/>
      <c r="F131" s="34" t="n"/>
      <c r="G131" s="34" t="n"/>
      <c r="H131" s="284" t="n"/>
      <c r="I131" s="270">
        <f>D131='03. Dulieutaichinhlamsach_DD'!D144</f>
        <v/>
      </c>
      <c r="J131" s="25">
        <f>E131='03. Dulieutaichinhlamsach_DD'!E144</f>
        <v/>
      </c>
      <c r="K131" s="25">
        <f>F131='03. Dulieutaichinhlamsach_DD'!F144</f>
        <v/>
      </c>
      <c r="L131" s="25">
        <f>G131='03. Dulieutaichinhlamsach_DD'!G144</f>
        <v/>
      </c>
      <c r="M131" s="523">
        <f>H131='03. Dulieutaichinhlamsach_DD'!H144</f>
        <v/>
      </c>
    </row>
    <row r="132">
      <c r="B132" s="280" t="inlineStr">
        <is>
          <t xml:space="preserve">      - Chiết khấu</t>
        </is>
      </c>
      <c r="C132" s="33" t="n"/>
      <c r="D132" s="34" t="n"/>
      <c r="E132" s="34" t="n"/>
      <c r="F132" s="34" t="n"/>
      <c r="G132" s="34" t="n"/>
      <c r="H132" s="285" t="n"/>
      <c r="I132" s="270">
        <f>D132='03. Dulieutaichinhlamsach_DD'!D145</f>
        <v/>
      </c>
      <c r="J132" s="25">
        <f>E132='03. Dulieutaichinhlamsach_DD'!E145</f>
        <v/>
      </c>
      <c r="K132" s="25">
        <f>F132='03. Dulieutaichinhlamsach_DD'!F145</f>
        <v/>
      </c>
      <c r="L132" s="25">
        <f>G132='03. Dulieutaichinhlamsach_DD'!G145</f>
        <v/>
      </c>
      <c r="M132" s="523">
        <f>H132='03. Dulieutaichinhlamsach_DD'!H145</f>
        <v/>
      </c>
    </row>
    <row r="133">
      <c r="B133" s="280" t="inlineStr">
        <is>
          <t xml:space="preserve">      - Giảm giá</t>
        </is>
      </c>
      <c r="C133" s="33" t="n"/>
      <c r="D133" s="34" t="n"/>
      <c r="E133" s="34" t="n"/>
      <c r="F133" s="34" t="n"/>
      <c r="G133" s="34" t="n"/>
      <c r="H133" s="285" t="n"/>
      <c r="I133" s="270">
        <f>D133='03. Dulieutaichinhlamsach_DD'!D146</f>
        <v/>
      </c>
      <c r="J133" s="25">
        <f>E133='03. Dulieutaichinhlamsach_DD'!E146</f>
        <v/>
      </c>
      <c r="K133" s="25">
        <f>F133='03. Dulieutaichinhlamsach_DD'!F146</f>
        <v/>
      </c>
      <c r="L133" s="25">
        <f>G133='03. Dulieutaichinhlamsach_DD'!G146</f>
        <v/>
      </c>
      <c r="M133" s="523">
        <f>H133='03. Dulieutaichinhlamsach_DD'!H146</f>
        <v/>
      </c>
    </row>
    <row r="134">
      <c r="B134" s="280" t="inlineStr">
        <is>
          <t xml:space="preserve">      - Hàng bán bị trả lại</t>
        </is>
      </c>
      <c r="C134" s="33" t="n"/>
      <c r="D134" s="34" t="n"/>
      <c r="E134" s="34" t="n"/>
      <c r="F134" s="34" t="n"/>
      <c r="G134" s="34" t="n"/>
      <c r="H134" s="285" t="n"/>
      <c r="I134" s="270">
        <f>D134='03. Dulieutaichinhlamsach_DD'!D147</f>
        <v/>
      </c>
      <c r="J134" s="25">
        <f>E134='03. Dulieutaichinhlamsach_DD'!E147</f>
        <v/>
      </c>
      <c r="K134" s="25">
        <f>F134='03. Dulieutaichinhlamsach_DD'!F147</f>
        <v/>
      </c>
      <c r="L134" s="25">
        <f>G134='03. Dulieutaichinhlamsach_DD'!G147</f>
        <v/>
      </c>
      <c r="M134" s="523">
        <f>H134='03. Dulieutaichinhlamsach_DD'!H147</f>
        <v/>
      </c>
    </row>
    <row r="135">
      <c r="B135" s="280" t="inlineStr">
        <is>
          <t xml:space="preserve">      - Thuế VAT, thuế xuất khẩu</t>
        </is>
      </c>
      <c r="C135" s="33" t="n"/>
      <c r="D135" s="34" t="n"/>
      <c r="E135" s="34" t="n"/>
      <c r="F135" s="34" t="n"/>
      <c r="G135" s="34" t="n"/>
      <c r="H135" s="285" t="n"/>
      <c r="I135" s="270">
        <f>D135='03. Dulieutaichinhlamsach_DD'!D148</f>
        <v/>
      </c>
      <c r="J135" s="25">
        <f>E135='03. Dulieutaichinhlamsach_DD'!E148</f>
        <v/>
      </c>
      <c r="K135" s="25">
        <f>F135='03. Dulieutaichinhlamsach_DD'!F148</f>
        <v/>
      </c>
      <c r="L135" s="25">
        <f>G135='03. Dulieutaichinhlamsach_DD'!G148</f>
        <v/>
      </c>
      <c r="M135" s="523">
        <f>H135='03. Dulieutaichinhlamsach_DD'!H148</f>
        <v/>
      </c>
    </row>
    <row r="136" ht="15.75" customHeight="1" s="782" thickBot="1">
      <c r="B136" s="283" t="inlineStr">
        <is>
          <t>Doanh thu thuần về bán hàng và cung cấp dịch vụ</t>
        </is>
      </c>
      <c r="C136" s="35" t="n"/>
      <c r="D136" s="31" t="n"/>
      <c r="E136" s="31" t="n"/>
      <c r="F136" s="31" t="n"/>
      <c r="G136" s="31" t="n"/>
      <c r="H136" s="284" t="n"/>
      <c r="I136" s="270">
        <f>D136='03. Dulieutaichinhlamsach_DD'!D149</f>
        <v/>
      </c>
      <c r="J136" s="25">
        <f>E136='03. Dulieutaichinhlamsach_DD'!E149</f>
        <v/>
      </c>
      <c r="K136" s="25">
        <f>F136='03. Dulieutaichinhlamsach_DD'!F149</f>
        <v/>
      </c>
      <c r="L136" s="25">
        <f>G136='03. Dulieutaichinhlamsach_DD'!G149</f>
        <v/>
      </c>
      <c r="M136" s="523">
        <f>H136='03. Dulieutaichinhlamsach_DD'!H149</f>
        <v/>
      </c>
    </row>
    <row r="137" ht="16.5" customHeight="1" s="782" thickBot="1">
      <c r="B137" s="283" t="inlineStr">
        <is>
          <t>Giá vốn hàng bán</t>
        </is>
      </c>
      <c r="C137" s="33" t="n"/>
      <c r="D137" s="922" t="n">
        <v>44465578842</v>
      </c>
      <c r="E137" s="922" t="n">
        <v>200453582226</v>
      </c>
      <c r="F137" s="923" t="n">
        <v>237393280095</v>
      </c>
      <c r="G137" s="31" t="n"/>
      <c r="H137" s="285" t="n"/>
      <c r="I137" s="270">
        <f>D137='03. Dulieutaichinhlamsach_DD'!D150</f>
        <v/>
      </c>
      <c r="J137" s="25">
        <f>E137='03. Dulieutaichinhlamsach_DD'!E150</f>
        <v/>
      </c>
      <c r="K137" s="25">
        <f>F137='03. Dulieutaichinhlamsach_DD'!F150</f>
        <v/>
      </c>
      <c r="L137" s="25">
        <f>G137='03. Dulieutaichinhlamsach_DD'!G150</f>
        <v/>
      </c>
      <c r="M137" s="523">
        <f>H137='03. Dulieutaichinhlamsach_DD'!H150</f>
        <v/>
      </c>
    </row>
    <row r="138">
      <c r="B138" s="286" t="inlineStr">
        <is>
          <t xml:space="preserve">     - Tr/đó: Khấu hao trong giá vốn hàng bán</t>
        </is>
      </c>
      <c r="C138" s="33" t="n"/>
      <c r="D138" s="31" t="n"/>
      <c r="E138" s="31" t="n"/>
      <c r="F138" s="31" t="n"/>
      <c r="G138" s="31" t="n"/>
      <c r="H138" s="285" t="n"/>
      <c r="I138" s="270">
        <f>D138='03. Dulieutaichinhlamsach_DD'!D151</f>
        <v/>
      </c>
      <c r="J138" s="25">
        <f>E138='03. Dulieutaichinhlamsach_DD'!E151</f>
        <v/>
      </c>
      <c r="K138" s="25">
        <f>F138='03. Dulieutaichinhlamsach_DD'!F151</f>
        <v/>
      </c>
      <c r="L138" s="25">
        <f>G138='03. Dulieutaichinhlamsach_DD'!G151</f>
        <v/>
      </c>
      <c r="M138" s="523">
        <f>H138='03. Dulieutaichinhlamsach_DD'!H151</f>
        <v/>
      </c>
    </row>
    <row r="139" ht="15.75" customHeight="1" s="782" thickBot="1">
      <c r="B139" s="283" t="inlineStr">
        <is>
          <t>Lợi nhuận gộp về bán hàng và cung cấp dịch vụ</t>
        </is>
      </c>
      <c r="C139" s="35" t="n"/>
      <c r="D139" s="31" t="n"/>
      <c r="E139" s="31" t="n"/>
      <c r="F139" s="31" t="n"/>
      <c r="G139" s="31" t="n"/>
      <c r="H139" s="284" t="n"/>
      <c r="I139" s="270">
        <f>D139='03. Dulieutaichinhlamsach_DD'!D152</f>
        <v/>
      </c>
      <c r="J139" s="25">
        <f>E139='03. Dulieutaichinhlamsach_DD'!E152</f>
        <v/>
      </c>
      <c r="K139" s="25">
        <f>F139='03. Dulieutaichinhlamsach_DD'!F152</f>
        <v/>
      </c>
      <c r="L139" s="25">
        <f>G139='03. Dulieutaichinhlamsach_DD'!G152</f>
        <v/>
      </c>
      <c r="M139" s="523">
        <f>H139='03. Dulieutaichinhlamsach_DD'!H152</f>
        <v/>
      </c>
    </row>
    <row r="140" ht="16.5" customHeight="1" s="782" thickBot="1">
      <c r="B140" s="283" t="inlineStr">
        <is>
          <t>Doanh thu hoạt động tài chính</t>
        </is>
      </c>
      <c r="C140" s="35" t="n"/>
      <c r="D140" s="922" t="n">
        <v>716086570</v>
      </c>
      <c r="E140" s="922" t="n">
        <v>3168059964</v>
      </c>
      <c r="F140" s="923" t="n">
        <v>3926783352</v>
      </c>
      <c r="G140" s="31" t="n"/>
      <c r="H140" s="285" t="n"/>
      <c r="I140" s="270">
        <f>D140='03. Dulieutaichinhlamsach_DD'!D153</f>
        <v/>
      </c>
      <c r="J140" s="25">
        <f>E140='03. Dulieutaichinhlamsach_DD'!E153</f>
        <v/>
      </c>
      <c r="K140" s="25">
        <f>F140='03. Dulieutaichinhlamsach_DD'!F153</f>
        <v/>
      </c>
      <c r="L140" s="25">
        <f>G140='03. Dulieutaichinhlamsach_DD'!G153</f>
        <v/>
      </c>
      <c r="M140" s="523">
        <f>H140='03. Dulieutaichinhlamsach_DD'!H153</f>
        <v/>
      </c>
    </row>
    <row r="141" ht="16.5" customHeight="1" s="782" thickBot="1">
      <c r="B141" s="283" t="inlineStr">
        <is>
          <t>Chi phí tài chính</t>
        </is>
      </c>
      <c r="C141" s="35" t="n"/>
      <c r="D141" s="922" t="n">
        <v>611856398</v>
      </c>
      <c r="E141" s="922" t="n">
        <v>1329711838</v>
      </c>
      <c r="F141" s="923" t="n">
        <v>2243455237</v>
      </c>
      <c r="G141" s="31" t="n"/>
      <c r="H141" s="285" t="n"/>
      <c r="I141" s="270">
        <f>D141='03. Dulieutaichinhlamsach_DD'!D154</f>
        <v/>
      </c>
      <c r="J141" s="25">
        <f>E141='03. Dulieutaichinhlamsach_DD'!E154</f>
        <v/>
      </c>
      <c r="K141" s="25">
        <f>F141='03. Dulieutaichinhlamsach_DD'!F154</f>
        <v/>
      </c>
      <c r="L141" s="25">
        <f>G141='03. Dulieutaichinhlamsach_DD'!G154</f>
        <v/>
      </c>
      <c r="M141" s="523">
        <f>H141='03. Dulieutaichinhlamsach_DD'!H154</f>
        <v/>
      </c>
    </row>
    <row r="142" ht="16.5" customHeight="1" s="782" thickBot="1">
      <c r="B142" s="286" t="inlineStr">
        <is>
          <t xml:space="preserve">     - Tr/đó: Chi phí lãi vay</t>
        </is>
      </c>
      <c r="C142" s="35" t="n"/>
      <c r="D142" s="922" t="n">
        <v>348138322</v>
      </c>
      <c r="E142" s="922" t="n">
        <v>113497144</v>
      </c>
      <c r="F142" s="923" t="n">
        <v>620184460</v>
      </c>
      <c r="G142" s="31" t="n"/>
      <c r="H142" s="285" t="n"/>
      <c r="I142" s="270">
        <f>D142='03. Dulieutaichinhlamsach_DD'!D155</f>
        <v/>
      </c>
      <c r="J142" s="25">
        <f>E142='03. Dulieutaichinhlamsach_DD'!E155</f>
        <v/>
      </c>
      <c r="K142" s="25">
        <f>F142='03. Dulieutaichinhlamsach_DD'!F155</f>
        <v/>
      </c>
      <c r="L142" s="25">
        <f>G142='03. Dulieutaichinhlamsach_DD'!G155</f>
        <v/>
      </c>
      <c r="M142" s="523">
        <f>H142='03. Dulieutaichinhlamsach_DD'!H155</f>
        <v/>
      </c>
    </row>
    <row r="143" ht="16.5" customHeight="1" s="782" thickBot="1">
      <c r="B143" s="283" t="inlineStr">
        <is>
          <t>Chi phí bán hàng</t>
        </is>
      </c>
      <c r="C143" s="35" t="n"/>
      <c r="D143" s="922" t="n">
        <v>5050682480</v>
      </c>
      <c r="E143" s="922" t="n">
        <v>10791840742</v>
      </c>
      <c r="F143" s="923" t="n">
        <v>18458371198</v>
      </c>
      <c r="G143" s="31" t="n"/>
      <c r="H143" s="287" t="n"/>
      <c r="I143" s="270">
        <f>D143='03. Dulieutaichinhlamsach_DD'!D156</f>
        <v/>
      </c>
      <c r="J143" s="25">
        <f>E143='03. Dulieutaichinhlamsach_DD'!E156</f>
        <v/>
      </c>
      <c r="K143" s="25">
        <f>F143='03. Dulieutaichinhlamsach_DD'!F156</f>
        <v/>
      </c>
      <c r="L143" s="25">
        <f>G143='03. Dulieutaichinhlamsach_DD'!G156</f>
        <v/>
      </c>
      <c r="M143" s="523">
        <f>H143='03. Dulieutaichinhlamsach_DD'!H156</f>
        <v/>
      </c>
    </row>
    <row r="144" ht="15.75" customHeight="1" s="782" thickBot="1">
      <c r="B144" s="286" t="inlineStr">
        <is>
          <t xml:space="preserve">     - Tr/đó: Khấu hao trong giá vốn hàng bán</t>
        </is>
      </c>
      <c r="C144" s="35" t="n"/>
      <c r="D144" s="31" t="n"/>
      <c r="E144" s="31" t="n"/>
      <c r="F144" s="31" t="n"/>
      <c r="G144" s="31" t="n"/>
      <c r="H144" s="287" t="n"/>
      <c r="I144" s="270">
        <f>D144='03. Dulieutaichinhlamsach_DD'!D157</f>
        <v/>
      </c>
      <c r="J144" s="25">
        <f>E144='03. Dulieutaichinhlamsach_DD'!E157</f>
        <v/>
      </c>
      <c r="K144" s="25">
        <f>F144='03. Dulieutaichinhlamsach_DD'!F157</f>
        <v/>
      </c>
      <c r="L144" s="25">
        <f>G144='03. Dulieutaichinhlamsach_DD'!G157</f>
        <v/>
      </c>
      <c r="M144" s="523">
        <f>H144='03. Dulieutaichinhlamsach_DD'!H157</f>
        <v/>
      </c>
    </row>
    <row r="145" ht="16.5" customHeight="1" s="782" thickBot="1">
      <c r="B145" s="283" t="inlineStr">
        <is>
          <t>Chi phí quản lý doanh nghiệp</t>
        </is>
      </c>
      <c r="C145" s="35" t="n"/>
      <c r="D145" s="922" t="n">
        <v>7521024904</v>
      </c>
      <c r="E145" s="922" t="n">
        <v>11045499361</v>
      </c>
      <c r="F145" s="923" t="n">
        <v>18945090529</v>
      </c>
      <c r="G145" s="31" t="n"/>
      <c r="H145" s="287" t="n"/>
      <c r="I145" s="270">
        <f>D145='03. Dulieutaichinhlamsach_DD'!D158</f>
        <v/>
      </c>
      <c r="J145" s="25">
        <f>E145='03. Dulieutaichinhlamsach_DD'!E158</f>
        <v/>
      </c>
      <c r="K145" s="25">
        <f>F145='03. Dulieutaichinhlamsach_DD'!F158</f>
        <v/>
      </c>
      <c r="L145" s="25">
        <f>G145='03. Dulieutaichinhlamsach_DD'!G158</f>
        <v/>
      </c>
      <c r="M145" s="523">
        <f>H145='03. Dulieutaichinhlamsach_DD'!H158</f>
        <v/>
      </c>
    </row>
    <row r="146">
      <c r="B146" s="286" t="inlineStr">
        <is>
          <t xml:space="preserve">     - Tr/đó: Khấu hao trong giá vốn hàng bán</t>
        </is>
      </c>
      <c r="C146" s="35" t="n"/>
      <c r="D146" s="31" t="n"/>
      <c r="E146" s="31" t="n"/>
      <c r="F146" s="31" t="n"/>
      <c r="G146" s="31" t="n"/>
      <c r="H146" s="287" t="n"/>
      <c r="I146" s="270">
        <f>D146='03. Dulieutaichinhlamsach_DD'!D159</f>
        <v/>
      </c>
      <c r="J146" s="25">
        <f>E146='03. Dulieutaichinhlamsach_DD'!E159</f>
        <v/>
      </c>
      <c r="K146" s="25">
        <f>F146='03. Dulieutaichinhlamsach_DD'!F159</f>
        <v/>
      </c>
      <c r="L146" s="25">
        <f>G146='03. Dulieutaichinhlamsach_DD'!G159</f>
        <v/>
      </c>
      <c r="M146" s="523">
        <f>H146='03. Dulieutaichinhlamsach_DD'!H159</f>
        <v/>
      </c>
    </row>
    <row r="147" ht="15.75" customHeight="1" s="782" thickBot="1">
      <c r="B147" s="283" t="inlineStr">
        <is>
          <t>Lợi nhuận thuần từ HĐKD</t>
        </is>
      </c>
      <c r="C147" s="35" t="n"/>
      <c r="D147" s="31" t="n"/>
      <c r="E147" s="31" t="n"/>
      <c r="F147" s="31" t="n"/>
      <c r="G147" s="31" t="n"/>
      <c r="H147" s="284" t="n"/>
      <c r="I147" s="270">
        <f>D147='03. Dulieutaichinhlamsach_DD'!D160</f>
        <v/>
      </c>
      <c r="J147" s="25">
        <f>E147='03. Dulieutaichinhlamsach_DD'!E160</f>
        <v/>
      </c>
      <c r="K147" s="25">
        <f>F147='03. Dulieutaichinhlamsach_DD'!F160</f>
        <v/>
      </c>
      <c r="L147" s="25">
        <f>G147='03. Dulieutaichinhlamsach_DD'!G160</f>
        <v/>
      </c>
      <c r="M147" s="523">
        <f>H147='03. Dulieutaichinhlamsach_DD'!H160</f>
        <v/>
      </c>
    </row>
    <row r="148" ht="16.5" customHeight="1" s="782" thickBot="1">
      <c r="B148" s="283" t="inlineStr">
        <is>
          <t>Thu nhập khác</t>
        </is>
      </c>
      <c r="C148" s="33" t="n"/>
      <c r="D148" s="922" t="n">
        <v>50005188</v>
      </c>
      <c r="E148" s="922" t="n">
        <v>372882942</v>
      </c>
      <c r="F148" s="923" t="n">
        <v>3001769308</v>
      </c>
      <c r="G148" s="31" t="n"/>
      <c r="H148" s="285" t="n"/>
      <c r="I148" s="270">
        <f>D148='03. Dulieutaichinhlamsach_DD'!D161</f>
        <v/>
      </c>
      <c r="J148" s="25">
        <f>E148='03. Dulieutaichinhlamsach_DD'!E161</f>
        <v/>
      </c>
      <c r="K148" s="25">
        <f>F148='03. Dulieutaichinhlamsach_DD'!F161</f>
        <v/>
      </c>
      <c r="L148" s="25">
        <f>G148='03. Dulieutaichinhlamsach_DD'!G161</f>
        <v/>
      </c>
      <c r="M148" s="523">
        <f>H148='03. Dulieutaichinhlamsach_DD'!H161</f>
        <v/>
      </c>
    </row>
    <row r="149" ht="16.5" customHeight="1" s="782" thickBot="1">
      <c r="B149" s="283" t="inlineStr">
        <is>
          <t>Chi phí khác</t>
        </is>
      </c>
      <c r="C149" s="33" t="n"/>
      <c r="D149" s="922" t="n">
        <v>201407545</v>
      </c>
      <c r="E149" s="922" t="n">
        <v>487465298</v>
      </c>
      <c r="F149" s="923" t="n">
        <v>3548315606</v>
      </c>
      <c r="G149" s="31" t="n"/>
      <c r="H149" s="285" t="n"/>
      <c r="I149" s="270">
        <f>D149='03. Dulieutaichinhlamsach_DD'!D162</f>
        <v/>
      </c>
      <c r="J149" s="25">
        <f>E149='03. Dulieutaichinhlamsach_DD'!E162</f>
        <v/>
      </c>
      <c r="K149" s="25">
        <f>F149='03. Dulieutaichinhlamsach_DD'!F162</f>
        <v/>
      </c>
      <c r="L149" s="25">
        <f>G149='03. Dulieutaichinhlamsach_DD'!G162</f>
        <v/>
      </c>
      <c r="M149" s="523">
        <f>H149='03. Dulieutaichinhlamsach_DD'!H162</f>
        <v/>
      </c>
    </row>
    <row r="150">
      <c r="B150" s="283" t="inlineStr">
        <is>
          <t>Lợi nhuận khác</t>
        </is>
      </c>
      <c r="C150" s="35" t="n"/>
      <c r="D150" s="31" t="n"/>
      <c r="E150" s="31" t="n"/>
      <c r="F150" s="31" t="n"/>
      <c r="G150" s="31" t="n"/>
      <c r="H150" s="284" t="n"/>
      <c r="I150" s="270">
        <f>D150='03. Dulieutaichinhlamsach_DD'!D163</f>
        <v/>
      </c>
      <c r="J150" s="25">
        <f>E150='03. Dulieutaichinhlamsach_DD'!E163</f>
        <v/>
      </c>
      <c r="K150" s="25">
        <f>F150='03. Dulieutaichinhlamsach_DD'!F163</f>
        <v/>
      </c>
      <c r="L150" s="25">
        <f>G150='03. Dulieutaichinhlamsach_DD'!G163</f>
        <v/>
      </c>
      <c r="M150" s="523">
        <f>H150='03. Dulieutaichinhlamsach_DD'!H163</f>
        <v/>
      </c>
    </row>
    <row r="151" ht="15.75" customHeight="1" s="782" thickBot="1">
      <c r="B151" s="283" t="inlineStr">
        <is>
          <t>Tổng lợi nhuận kế toán trước thuế</t>
        </is>
      </c>
      <c r="C151" s="33" t="n"/>
      <c r="D151" s="31" t="n"/>
      <c r="E151" s="31" t="n"/>
      <c r="F151" s="31" t="n"/>
      <c r="G151" s="31" t="n"/>
      <c r="H151" s="284" t="n"/>
      <c r="I151" s="270">
        <f>D151='03. Dulieutaichinhlamsach_DD'!D164</f>
        <v/>
      </c>
      <c r="J151" s="25">
        <f>E151='03. Dulieutaichinhlamsach_DD'!E164</f>
        <v/>
      </c>
      <c r="K151" s="25">
        <f>F151='03. Dulieutaichinhlamsach_DD'!F164</f>
        <v/>
      </c>
      <c r="L151" s="25">
        <f>G151='03. Dulieutaichinhlamsach_DD'!G164</f>
        <v/>
      </c>
      <c r="M151" s="523">
        <f>H151='03. Dulieutaichinhlamsach_DD'!H164</f>
        <v/>
      </c>
    </row>
    <row r="152" ht="16.5" customHeight="1" s="782" thickBot="1">
      <c r="B152" s="283" t="inlineStr">
        <is>
          <t>Chi phí thuế TNDN hiện hành</t>
        </is>
      </c>
      <c r="C152" s="33" t="n"/>
      <c r="D152" s="922" t="n">
        <v>1199759222</v>
      </c>
      <c r="E152" s="922" t="n">
        <v>1819717345</v>
      </c>
      <c r="F152" s="923" t="n">
        <v>7764437251</v>
      </c>
      <c r="G152" s="31" t="n"/>
      <c r="H152" s="285" t="n"/>
      <c r="I152" s="270">
        <f>D152='03. Dulieutaichinhlamsach_DD'!D165</f>
        <v/>
      </c>
      <c r="J152" s="25">
        <f>E152='03. Dulieutaichinhlamsach_DD'!E165</f>
        <v/>
      </c>
      <c r="K152" s="25">
        <f>F152='03. Dulieutaichinhlamsach_DD'!F165</f>
        <v/>
      </c>
      <c r="L152" s="25">
        <f>G152='03. Dulieutaichinhlamsach_DD'!G165</f>
        <v/>
      </c>
      <c r="M152" s="523">
        <f>H152='03. Dulieutaichinhlamsach_DD'!H165</f>
        <v/>
      </c>
    </row>
    <row r="153">
      <c r="B153" s="283" t="inlineStr">
        <is>
          <t>Chi phí thuế TNDN hoãn lại</t>
        </is>
      </c>
      <c r="C153" s="35" t="n"/>
      <c r="D153" s="31" t="n"/>
      <c r="E153" s="31" t="n"/>
      <c r="F153" s="31" t="n"/>
      <c r="G153" s="31" t="n"/>
      <c r="H153" s="287" t="n"/>
      <c r="I153" s="270">
        <f>D153='03. Dulieutaichinhlamsach_DD'!D166</f>
        <v/>
      </c>
      <c r="J153" s="25">
        <f>E153='03. Dulieutaichinhlamsach_DD'!E166</f>
        <v/>
      </c>
      <c r="K153" s="25">
        <f>F153='03. Dulieutaichinhlamsach_DD'!F166</f>
        <v/>
      </c>
      <c r="L153" s="25">
        <f>G153='03. Dulieutaichinhlamsach_DD'!G166</f>
        <v/>
      </c>
      <c r="M153" s="523">
        <f>H153='03. Dulieutaichinhlamsach_DD'!H166</f>
        <v/>
      </c>
    </row>
    <row r="154">
      <c r="B154" s="283" t="inlineStr">
        <is>
          <t>Lợi nhuận sau thuế TNDN</t>
        </is>
      </c>
      <c r="C154" s="33" t="n"/>
      <c r="D154" s="31" t="n"/>
      <c r="E154" s="31" t="n"/>
      <c r="F154" s="31" t="n"/>
      <c r="G154" s="31" t="n"/>
      <c r="H154" s="284" t="n"/>
      <c r="I154" s="270">
        <f>D154='03. Dulieutaichinhlamsach_DD'!D167</f>
        <v/>
      </c>
      <c r="J154" s="25">
        <f>E154='03. Dulieutaichinhlamsach_DD'!E167</f>
        <v/>
      </c>
      <c r="K154" s="25">
        <f>F154='03. Dulieutaichinhlamsach_DD'!F167</f>
        <v/>
      </c>
      <c r="L154" s="25">
        <f>G154='03. Dulieutaichinhlamsach_DD'!G167</f>
        <v/>
      </c>
      <c r="M154" s="523">
        <f>H154='03. Dulieutaichinhlamsach_DD'!H167</f>
        <v/>
      </c>
    </row>
    <row r="155" ht="15.75" customHeight="1" s="782" thickBot="1">
      <c r="B155" s="288" t="inlineStr">
        <is>
          <t>Lãi cơ bản trên cổ phiếu</t>
        </is>
      </c>
      <c r="C155" s="289" t="n"/>
      <c r="D155" s="290" t="n"/>
      <c r="E155" s="290" t="n"/>
      <c r="F155" s="290" t="n"/>
      <c r="G155" s="290" t="n"/>
      <c r="H155" s="291" t="n"/>
      <c r="I155" s="270">
        <f>D155='03. Dulieutaichinhlamsach_DD'!D168</f>
        <v/>
      </c>
      <c r="J155" s="25">
        <f>E155='03. Dulieutaichinhlamsach_DD'!E168</f>
        <v/>
      </c>
      <c r="K155" s="25">
        <f>F155='03. Dulieutaichinhlamsach_DD'!F168</f>
        <v/>
      </c>
      <c r="L155" s="25">
        <f>G155='03. Dulieutaichinhlamsach_DD'!G168</f>
        <v/>
      </c>
      <c r="M155" s="523">
        <f>H155='03. Dulieutaichinhlamsach_DD'!H168</f>
        <v/>
      </c>
    </row>
    <row r="156" ht="15.75" customHeight="1" s="782" thickTop="1"/>
  </sheetData>
  <sheetProtection selectLockedCells="1" selectUnlockedCells="0" algorithmName="SHA-512" sheet="1" objects="1" insertRows="1" insertHyperlinks="1" autoFilter="1" scenarios="1" formatColumns="1" deleteColumns="1" insertColumns="1" pivotTables="1" deleteRows="1" formatCells="1" saltValue="VzPU8PMhVchvwLsX4Orvmw==" formatRows="1" sort="1" spinCount="100000" hashValue="YjWQijgijtDR8gZRXaU3vrBm9HXML8q7xbcmLYKMVkuxfZqtdtxE4MsSdEj1uI/Q1uvStWBz6j17GrDa7AGk7A=="/>
  <mergeCells count="3">
    <mergeCell ref="B1:H1"/>
    <mergeCell ref="I1:M5"/>
    <mergeCell ref="D2:E2"/>
  </mergeCells>
  <conditionalFormatting sqref="I1 I6:M155">
    <cfRule type="containsText" priority="1" operator="containsText" dxfId="0" stopIfTrue="1" text="FALSE">
      <formula>NOT(ISERROR(SEARCH("FALSE",I1)))</formula>
    </cfRule>
  </conditionalFormatting>
  <pageMargins left="0.7" right="0.7" top="0.75" bottom="0.75" header="0.3" footer="0.3"/>
  <pageSetup orientation="portrait" paperSize="9" scale="31"/>
  <legacyDrawing xmlns:r="http://schemas.openxmlformats.org/officeDocument/2006/relationships" r:id="anysvml"/>
</worksheet>
</file>

<file path=xl/worksheets/sheet9.xml><?xml version="1.0" encoding="utf-8"?>
<worksheet xmlns="http://schemas.openxmlformats.org/spreadsheetml/2006/main">
  <sheetPr codeName="Sheet14">
    <outlinePr summaryBelow="1" summaryRight="1"/>
    <pageSetUpPr/>
  </sheetPr>
  <dimension ref="A1:R816"/>
  <sheetViews>
    <sheetView topLeftCell="C157" zoomScale="85" zoomScaleNormal="85" workbookViewId="0">
      <selection activeCell="E201" sqref="E201"/>
    </sheetView>
  </sheetViews>
  <sheetFormatPr baseColWidth="8" defaultRowHeight="15"/>
  <cols>
    <col width="3.7109375" customWidth="1" style="782" min="1" max="1"/>
    <col width="57.5703125" customWidth="1" style="782" min="2" max="2"/>
    <col width="6.140625" bestFit="1" customWidth="1" style="782" min="3" max="3"/>
    <col width="22.42578125" customWidth="1" style="782" min="4" max="6"/>
    <col width="34.140625" customWidth="1" style="782" min="7" max="7"/>
    <col width="22.42578125" customWidth="1" style="782" min="8" max="8"/>
    <col width="4.28515625" customWidth="1" style="782" min="9" max="9"/>
    <col width="15.85546875" customWidth="1" style="782" min="10" max="10"/>
    <col width="22.85546875" bestFit="1" customWidth="1" style="782" min="14" max="16"/>
    <col width="22.85546875" customWidth="1" style="782" min="17" max="17"/>
    <col width="22.85546875" bestFit="1" customWidth="1" style="782" min="18" max="18"/>
  </cols>
  <sheetData>
    <row r="1">
      <c r="B1" s="825" t="inlineStr">
        <is>
          <t>NHẬP SỐ LIỆU VỀ TÀI CHÍNH CỦA KHÁCH HÀNG</t>
        </is>
      </c>
      <c r="I1" s="45" t="n"/>
      <c r="J1" s="45" t="n"/>
      <c r="K1" s="45" t="n"/>
      <c r="L1" s="45" t="n"/>
      <c r="M1" s="45" t="n"/>
      <c r="N1" s="45" t="n"/>
      <c r="O1" s="45" t="n"/>
      <c r="P1" s="45" t="n"/>
      <c r="Q1" s="45" t="n"/>
      <c r="R1" s="45" t="n"/>
    </row>
    <row r="2">
      <c r="B2" s="51" t="n"/>
      <c r="C2" s="38">
        <f>IF(OR(E11=0,F11=0),"Đề nghị nhấp số liệu tối thiểu 2 năm gần nhất"," ")</f>
        <v/>
      </c>
      <c r="D2" s="544" t="n"/>
      <c r="E2" s="45" t="n"/>
      <c r="F2" s="40" t="inlineStr">
        <is>
          <t xml:space="preserve">Đơn vị:  </t>
        </is>
      </c>
      <c r="G2" s="545">
        <f>'[1]01. Thong tin chung'!B6</f>
        <v/>
      </c>
      <c r="H2" s="45">
        <f>G2</f>
        <v/>
      </c>
      <c r="I2" s="45" t="n"/>
      <c r="J2" t="inlineStr">
        <is>
          <t>CountBlankBCTC</t>
        </is>
      </c>
      <c r="K2" s="871">
        <f>COUNTIF(D4:G4,"Chưa cân số") + COUNTIF(G2,"")</f>
        <v/>
      </c>
      <c r="L2" s="45" t="n"/>
      <c r="M2" s="45" t="n"/>
      <c r="N2" s="45" t="n"/>
      <c r="O2" s="45" t="n"/>
      <c r="P2" s="45" t="n"/>
      <c r="Q2" s="45" t="n"/>
      <c r="R2" s="45" t="n"/>
    </row>
    <row r="3">
      <c r="B3" s="41" t="inlineStr">
        <is>
          <t>I. Bảng cân đối kế toán</t>
        </is>
      </c>
      <c r="C3" s="41" t="n"/>
      <c r="D3" s="546" t="n"/>
      <c r="E3" s="547" t="n"/>
      <c r="F3" s="547" t="n"/>
      <c r="G3" s="441" t="n"/>
      <c r="H3" s="548" t="n"/>
      <c r="I3" s="45" t="n"/>
      <c r="J3" s="45" t="n"/>
      <c r="K3" s="45" t="n"/>
      <c r="L3" s="45" t="n"/>
      <c r="M3" s="45" t="n"/>
      <c r="N3" s="45" t="n"/>
      <c r="O3" s="45" t="n"/>
      <c r="P3" s="45" t="n"/>
      <c r="Q3" s="45" t="n"/>
      <c r="R3" s="45" t="n"/>
    </row>
    <row r="4" ht="15.75" customHeight="1" s="782" thickBot="1">
      <c r="B4" s="43" t="n"/>
      <c r="C4" s="43" t="n"/>
      <c r="D4" s="549">
        <f>IF(D11&lt;&gt;D83,"Chưa cân số", "  ")</f>
        <v/>
      </c>
      <c r="E4" s="550">
        <f>IF(E11&lt;&gt;E83,"Chưa cân số", "  ")</f>
        <v/>
      </c>
      <c r="F4" s="550">
        <f>IF(F11&lt;&gt;F83,"Chưa cân số", "  ")</f>
        <v/>
      </c>
      <c r="G4" s="550">
        <f>IF(G11&lt;&gt;G83,"Chưa cân số", "  ")</f>
        <v/>
      </c>
      <c r="H4" s="551">
        <f>IF(H11&lt;&gt;H83,"Chưa cân số", "  ")</f>
        <v/>
      </c>
      <c r="I4" s="45" t="n"/>
      <c r="J4" s="45" t="n"/>
      <c r="K4" s="45" t="n"/>
      <c r="L4" s="45" t="n"/>
      <c r="M4" s="45" t="n"/>
      <c r="N4" s="45" t="n"/>
      <c r="O4" s="45" t="n"/>
      <c r="P4" s="45" t="n"/>
      <c r="Q4" s="45" t="n"/>
      <c r="R4" s="45" t="n"/>
    </row>
    <row r="5" ht="15.75" customHeight="1" s="782" thickTop="1">
      <c r="B5" s="262" t="inlineStr">
        <is>
          <t>Chỉ tiêu</t>
        </is>
      </c>
      <c r="C5" s="55" t="inlineStr">
        <is>
          <t>Mã số</t>
        </is>
      </c>
      <c r="D5" s="552">
        <f>E5-1</f>
        <v/>
      </c>
      <c r="E5" s="552">
        <f>F5-1</f>
        <v/>
      </c>
      <c r="F5" s="553">
        <f>'01. Thong tin chung'!B7</f>
        <v/>
      </c>
      <c r="G5" s="554">
        <f>'01. Thong tin chung'!B8</f>
        <v/>
      </c>
      <c r="H5" s="555">
        <f>"Dự tính " &amp;F5+1</f>
        <v/>
      </c>
      <c r="I5" s="45" t="n"/>
      <c r="J5" s="45" t="n"/>
      <c r="K5" s="45" t="n"/>
      <c r="L5" s="45" t="n"/>
      <c r="M5" s="45" t="n"/>
      <c r="N5" s="45" t="n"/>
      <c r="O5" s="45" t="n"/>
      <c r="P5" s="45" t="n"/>
      <c r="Q5" s="45" t="n"/>
      <c r="R5" s="45" t="n"/>
    </row>
    <row r="6">
      <c r="B6" s="257" t="inlineStr">
        <is>
          <t>Mã số thuế</t>
        </is>
      </c>
      <c r="C6" s="46" t="n"/>
      <c r="D6" s="556">
        <f>'02. Nhap lieu tai chinh_DD'!D6</f>
        <v/>
      </c>
      <c r="E6" s="556">
        <f>'02. Nhap lieu tai chinh_DD'!E6</f>
        <v/>
      </c>
      <c r="F6" s="556">
        <f>'02. Nhap lieu tai chinh_DD'!F6</f>
        <v/>
      </c>
      <c r="G6" s="556">
        <f>'02. Nhap lieu tai chinh_DD'!G6</f>
        <v/>
      </c>
      <c r="H6" s="557">
        <f>'02. Nhap lieu tai chinh_DD'!H6</f>
        <v/>
      </c>
      <c r="I6" s="45" t="n"/>
      <c r="J6" s="45" t="n"/>
      <c r="K6" s="45" t="n"/>
      <c r="L6" s="45" t="n"/>
      <c r="M6" s="45" t="n"/>
      <c r="N6" s="45" t="n"/>
      <c r="O6" s="45" t="n"/>
      <c r="P6" s="45" t="n"/>
      <c r="Q6" s="45" t="n"/>
      <c r="R6" s="45" t="n"/>
    </row>
    <row r="7">
      <c r="B7" s="257" t="inlineStr">
        <is>
          <t>Năm</t>
        </is>
      </c>
      <c r="C7" s="46" t="n"/>
      <c r="D7" s="556">
        <f>'02. Nhap lieu tai chinh_DD'!D7</f>
        <v/>
      </c>
      <c r="E7" s="556">
        <f>'02. Nhap lieu tai chinh_DD'!E7</f>
        <v/>
      </c>
      <c r="F7" s="556">
        <f>'02. Nhap lieu tai chinh_DD'!F7</f>
        <v/>
      </c>
      <c r="G7" s="558">
        <f>'02. Nhap lieu tai chinh_DD'!G7</f>
        <v/>
      </c>
      <c r="H7" s="557">
        <f>'02. Nhap lieu tai chinh_DD'!H7</f>
        <v/>
      </c>
      <c r="I7" s="45" t="n"/>
      <c r="J7" s="45" t="n"/>
      <c r="K7" s="45" t="n"/>
      <c r="L7" s="45" t="n"/>
      <c r="M7" s="45" t="n"/>
      <c r="N7" s="45" t="n"/>
      <c r="O7" s="45" t="n"/>
      <c r="P7" s="45" t="n"/>
      <c r="Q7" s="45" t="n"/>
      <c r="R7" s="45" t="n"/>
    </row>
    <row r="8">
      <c r="B8" s="257" t="inlineStr">
        <is>
          <t>Quý</t>
        </is>
      </c>
      <c r="C8" s="46" t="n"/>
      <c r="D8" s="556">
        <f>'02. Nhap lieu tai chinh_DD'!D8</f>
        <v/>
      </c>
      <c r="E8" s="556">
        <f>'02. Nhap lieu tai chinh_DD'!E8</f>
        <v/>
      </c>
      <c r="F8" s="556">
        <f>'02. Nhap lieu tai chinh_DD'!F8</f>
        <v/>
      </c>
      <c r="G8" s="556">
        <f>'02. Nhap lieu tai chinh_DD'!G8</f>
        <v/>
      </c>
      <c r="H8" s="557">
        <f>'02. Nhap lieu tai chinh_DD'!H8</f>
        <v/>
      </c>
      <c r="I8" s="45" t="n"/>
      <c r="J8" s="45" t="n"/>
      <c r="K8" s="45" t="n"/>
      <c r="L8" s="45" t="n"/>
      <c r="M8" s="45" t="n"/>
      <c r="N8" s="45" t="n"/>
      <c r="O8" s="45" t="n"/>
      <c r="P8" s="45" t="n"/>
      <c r="Q8" s="45" t="n"/>
      <c r="R8" s="45" t="n"/>
    </row>
    <row r="9">
      <c r="B9" s="257" t="inlineStr">
        <is>
          <t>Tháng</t>
        </is>
      </c>
      <c r="C9" s="46" t="n"/>
      <c r="D9" s="556">
        <f>'02. Nhap lieu tai chinh_DD'!D9</f>
        <v/>
      </c>
      <c r="E9" s="556">
        <f>'02. Nhap lieu tai chinh_DD'!E9</f>
        <v/>
      </c>
      <c r="F9" s="556">
        <f>'02. Nhap lieu tai chinh_DD'!F9</f>
        <v/>
      </c>
      <c r="G9" s="556">
        <f>'02. Nhap lieu tai chinh_DD'!G9</f>
        <v/>
      </c>
      <c r="H9" s="557">
        <f>'02. Nhap lieu tai chinh_DD'!H9</f>
        <v/>
      </c>
      <c r="I9" s="45" t="n"/>
      <c r="J9" s="45" t="n"/>
      <c r="K9" s="45" t="n"/>
      <c r="L9" s="45" t="n"/>
      <c r="M9" s="45" t="n"/>
      <c r="N9" s="45" t="n"/>
      <c r="O9" s="45" t="n"/>
      <c r="P9" s="45" t="n"/>
      <c r="Q9" s="45" t="n"/>
      <c r="R9" s="45" t="n"/>
    </row>
    <row r="10">
      <c r="B10" s="257" t="inlineStr">
        <is>
          <t>Đơn vị tính</t>
        </is>
      </c>
      <c r="C10" s="46" t="n"/>
      <c r="D10" s="556">
        <f>'02. Nhap lieu tai chinh_DD'!D10</f>
        <v/>
      </c>
      <c r="E10" s="556">
        <f>'02. Nhap lieu tai chinh_DD'!E10</f>
        <v/>
      </c>
      <c r="F10" s="556">
        <f>'02. Nhap lieu tai chinh_DD'!F10</f>
        <v/>
      </c>
      <c r="G10" s="556">
        <f>'02. Nhap lieu tai chinh_DD'!G10</f>
        <v/>
      </c>
      <c r="H10" s="557">
        <f>'02. Nhap lieu tai chinh_DD'!H10</f>
        <v/>
      </c>
      <c r="I10" s="45" t="n"/>
      <c r="J10" s="45" t="n"/>
      <c r="K10" s="45" t="n"/>
      <c r="L10" s="45" t="n"/>
      <c r="M10" s="45" t="n"/>
      <c r="N10" s="45" t="n"/>
      <c r="O10" s="45" t="n"/>
      <c r="P10" s="45" t="n"/>
      <c r="Q10" s="45" t="n"/>
      <c r="R10" s="45" t="n"/>
    </row>
    <row r="11">
      <c r="B11" s="258" t="inlineStr">
        <is>
          <t>TỔNG TÀI SẢN</t>
        </is>
      </c>
      <c r="C11" s="47" t="n"/>
      <c r="D11" s="559">
        <f>D12+D49</f>
        <v/>
      </c>
      <c r="E11" s="559">
        <f>E12+E49</f>
        <v/>
      </c>
      <c r="F11" s="559">
        <f>F12+F49</f>
        <v/>
      </c>
      <c r="G11" s="559">
        <f>G12+G49</f>
        <v/>
      </c>
      <c r="H11" s="557">
        <f>H12+H49</f>
        <v/>
      </c>
      <c r="I11" s="48" t="n"/>
      <c r="J11" s="48" t="n"/>
      <c r="K11" s="48" t="n"/>
      <c r="L11" s="48" t="n"/>
      <c r="M11" s="48" t="n"/>
      <c r="N11" s="48" t="n"/>
      <c r="O11" s="48" t="n"/>
      <c r="P11" s="48" t="n"/>
      <c r="Q11" s="48" t="n"/>
      <c r="R11" s="48" t="n"/>
    </row>
    <row r="12">
      <c r="B12" s="259" t="inlineStr">
        <is>
          <t>A. TÀI SẢN NGẮN HẠN</t>
        </is>
      </c>
      <c r="C12" s="49" t="n"/>
      <c r="D12" s="560">
        <f>D13+D19+D24+D31+D43</f>
        <v/>
      </c>
      <c r="E12" s="560">
        <f>E13+E19+E24+E31+E43</f>
        <v/>
      </c>
      <c r="F12" s="560">
        <f>F13+F19+F24+F31+F43</f>
        <v/>
      </c>
      <c r="G12" s="560">
        <f>G13+G19+G24+G31+G43</f>
        <v/>
      </c>
      <c r="H12" s="561">
        <f>H13+H19+H24+H31+H43</f>
        <v/>
      </c>
      <c r="I12" s="45" t="n"/>
      <c r="J12" s="45" t="n"/>
      <c r="K12" s="45" t="n"/>
      <c r="L12" s="45" t="n"/>
      <c r="M12" s="45" t="n"/>
      <c r="N12" s="45" t="n"/>
      <c r="O12" s="45" t="n"/>
      <c r="P12" s="45" t="n"/>
      <c r="Q12" s="45" t="n"/>
      <c r="R12" s="45" t="n"/>
    </row>
    <row r="13">
      <c r="B13" s="562" t="inlineStr">
        <is>
          <t xml:space="preserve">    I. Tiền và các khoản tương đương tiền</t>
        </is>
      </c>
      <c r="C13" s="50" t="n"/>
      <c r="D13" s="563">
        <f>SUM(D14:D18)</f>
        <v/>
      </c>
      <c r="E13" s="563">
        <f>SUM(E14:E18)</f>
        <v/>
      </c>
      <c r="F13" s="563">
        <f>SUM(F14:F18)</f>
        <v/>
      </c>
      <c r="G13" s="563">
        <f>SUM(G14:G18)</f>
        <v/>
      </c>
      <c r="H13" s="564" t="n"/>
      <c r="I13" s="51" t="n"/>
      <c r="J13" s="51" t="n"/>
      <c r="K13" s="51" t="n"/>
      <c r="L13" s="51" t="n"/>
      <c r="M13" s="51" t="n"/>
      <c r="N13" s="51" t="n"/>
      <c r="O13" s="51" t="n"/>
      <c r="P13" s="51" t="n"/>
      <c r="Q13" s="51" t="n"/>
      <c r="R13" s="51" t="n"/>
    </row>
    <row r="14">
      <c r="B14" s="260" t="inlineStr">
        <is>
          <t xml:space="preserve">          1. Tiền mặt</t>
        </is>
      </c>
      <c r="C14" s="52" t="n"/>
      <c r="D14" s="565">
        <f>'02. Nhap lieu tai chinh_DD'!D14</f>
        <v/>
      </c>
      <c r="E14" s="565">
        <f>'02. Nhap lieu tai chinh_DD'!E14</f>
        <v/>
      </c>
      <c r="F14" s="565">
        <f>'02. Nhap lieu tai chinh_DD'!F14</f>
        <v/>
      </c>
      <c r="G14" s="565">
        <f>'02. Nhap lieu tai chinh_DD'!G14</f>
        <v/>
      </c>
      <c r="H14" s="566" t="n"/>
      <c r="I14" s="51" t="n"/>
      <c r="J14" s="51" t="n"/>
      <c r="K14" s="51" t="n"/>
      <c r="L14" s="51" t="n"/>
      <c r="M14" s="51" t="n"/>
      <c r="N14" s="51" t="n"/>
      <c r="O14" s="51" t="n"/>
      <c r="P14" s="51" t="n"/>
      <c r="Q14" s="51" t="n"/>
      <c r="R14" s="51" t="n"/>
    </row>
    <row r="15">
      <c r="B15" s="260" t="inlineStr">
        <is>
          <t xml:space="preserve">          2. Tiền gửi ngân hàng</t>
        </is>
      </c>
      <c r="C15" s="52" t="n"/>
      <c r="D15" s="565">
        <f>'02. Nhap lieu tai chinh_DD'!D15</f>
        <v/>
      </c>
      <c r="E15" s="565">
        <f>'02. Nhap lieu tai chinh_DD'!E15</f>
        <v/>
      </c>
      <c r="F15" s="565">
        <f>'02. Nhap lieu tai chinh_DD'!F15</f>
        <v/>
      </c>
      <c r="G15" s="565">
        <f>'02. Nhap lieu tai chinh_DD'!G15</f>
        <v/>
      </c>
      <c r="H15" s="566" t="n"/>
      <c r="I15" s="51" t="n"/>
      <c r="J15" s="51" t="n"/>
      <c r="K15" s="51" t="n"/>
      <c r="L15" s="51" t="n"/>
      <c r="M15" s="51" t="n"/>
      <c r="N15" s="51" t="n"/>
      <c r="O15" s="51" t="n"/>
      <c r="P15" s="51" t="n"/>
      <c r="Q15" s="51" t="n"/>
      <c r="R15" s="51" t="n"/>
    </row>
    <row r="16">
      <c r="B16" s="260" t="inlineStr">
        <is>
          <t xml:space="preserve">          3. Tiền đang chuyển</t>
        </is>
      </c>
      <c r="C16" s="52" t="n"/>
      <c r="D16" s="565">
        <f>'02. Nhap lieu tai chinh_DD'!D16</f>
        <v/>
      </c>
      <c r="E16" s="565">
        <f>'02. Nhap lieu tai chinh_DD'!E16</f>
        <v/>
      </c>
      <c r="F16" s="565">
        <f>'02. Nhap lieu tai chinh_DD'!F16</f>
        <v/>
      </c>
      <c r="G16" s="565">
        <f>'02. Nhap lieu tai chinh_DD'!G16</f>
        <v/>
      </c>
      <c r="H16" s="566" t="n"/>
      <c r="I16" s="51" t="n"/>
      <c r="J16" s="51" t="n"/>
      <c r="K16" s="51" t="n"/>
      <c r="L16" s="51" t="n"/>
      <c r="M16" s="51" t="n"/>
      <c r="N16" s="51" t="n"/>
      <c r="O16" s="51" t="n"/>
      <c r="P16" s="51" t="n"/>
      <c r="Q16" s="51" t="n"/>
      <c r="R16" s="51" t="n"/>
    </row>
    <row r="17">
      <c r="B17" s="260" t="inlineStr">
        <is>
          <t xml:space="preserve">          4. Tiền (trong trường hợp Báo cáo không có 3 thông tin trên)</t>
        </is>
      </c>
      <c r="C17" s="52" t="n"/>
      <c r="D17" s="565">
        <f>'02. Nhap lieu tai chinh_DD'!D17</f>
        <v/>
      </c>
      <c r="E17" s="565">
        <f>'02. Nhap lieu tai chinh_DD'!E17</f>
        <v/>
      </c>
      <c r="F17" s="565">
        <f>'02. Nhap lieu tai chinh_DD'!F17</f>
        <v/>
      </c>
      <c r="G17" s="565">
        <f>'02. Nhap lieu tai chinh_DD'!G17</f>
        <v/>
      </c>
      <c r="H17" s="566" t="n"/>
      <c r="I17" s="51" t="n"/>
      <c r="J17" s="51" t="n"/>
      <c r="K17" s="51" t="n"/>
      <c r="L17" s="51" t="n"/>
      <c r="M17" s="51" t="n"/>
      <c r="N17" s="51" t="n"/>
      <c r="O17" s="51" t="n"/>
      <c r="P17" s="51" t="n"/>
      <c r="Q17" s="51" t="n"/>
      <c r="R17" s="51" t="n"/>
    </row>
    <row r="18">
      <c r="B18" s="260" t="inlineStr">
        <is>
          <t xml:space="preserve">          5. Các khoản tương đương tiền</t>
        </is>
      </c>
      <c r="C18" s="52" t="n"/>
      <c r="D18" s="565">
        <f>'02. Nhap lieu tai chinh_DD'!D18</f>
        <v/>
      </c>
      <c r="E18" s="565">
        <f>'02. Nhap lieu tai chinh_DD'!E18</f>
        <v/>
      </c>
      <c r="F18" s="565">
        <f>'02. Nhap lieu tai chinh_DD'!F18</f>
        <v/>
      </c>
      <c r="G18" s="565">
        <f>'02. Nhap lieu tai chinh_DD'!G18</f>
        <v/>
      </c>
      <c r="H18" s="566" t="n"/>
      <c r="I18" s="51" t="n"/>
      <c r="J18" s="51" t="n"/>
      <c r="K18" s="51" t="n"/>
      <c r="L18" s="51" t="n"/>
      <c r="M18" s="51" t="n"/>
      <c r="N18" s="51" t="n"/>
      <c r="O18" s="51" t="n"/>
      <c r="P18" s="51" t="n"/>
      <c r="Q18" s="51" t="n"/>
      <c r="R18" s="51" t="n"/>
    </row>
    <row r="19">
      <c r="B19" s="562" t="inlineStr">
        <is>
          <t xml:space="preserve">    II. Các khoản đầu tư tài chính ngắn hạn</t>
        </is>
      </c>
      <c r="C19" s="50" t="n"/>
      <c r="D19" s="563">
        <f>SUM(D20:D23)</f>
        <v/>
      </c>
      <c r="E19" s="563">
        <f>SUM(E20:E23)</f>
        <v/>
      </c>
      <c r="F19" s="563">
        <f>SUM(F20:F23)</f>
        <v/>
      </c>
      <c r="G19" s="563">
        <f>SUM(G20:G23)</f>
        <v/>
      </c>
      <c r="H19" s="564" t="n"/>
      <c r="I19" s="51" t="n"/>
      <c r="J19" s="51" t="n"/>
      <c r="K19" s="51" t="n"/>
      <c r="L19" s="51" t="n"/>
      <c r="M19" s="51" t="n"/>
      <c r="N19" s="51" t="n"/>
      <c r="O19" s="51" t="n"/>
      <c r="P19" s="51" t="n"/>
      <c r="Q19" s="51" t="n"/>
      <c r="R19" s="51" t="n"/>
    </row>
    <row r="20">
      <c r="B20" s="260" t="inlineStr">
        <is>
          <t xml:space="preserve">          1. Chứng khoán đầu tư ngắn hạn</t>
        </is>
      </c>
      <c r="C20" s="52" t="n"/>
      <c r="D20" s="567">
        <f>'02. Nhap lieu tai chinh_DD'!D20</f>
        <v/>
      </c>
      <c r="E20" s="567">
        <f>'02. Nhap lieu tai chinh_DD'!E20</f>
        <v/>
      </c>
      <c r="F20" s="567">
        <f>'02. Nhap lieu tai chinh_DD'!F20</f>
        <v/>
      </c>
      <c r="G20" s="567">
        <f>'02. Nhap lieu tai chinh_DD'!G20</f>
        <v/>
      </c>
      <c r="H20" s="566" t="n"/>
      <c r="I20" s="51" t="n"/>
      <c r="J20" s="51" t="n"/>
      <c r="K20" s="51" t="n"/>
      <c r="L20" s="51" t="n"/>
      <c r="M20" s="51" t="n"/>
      <c r="N20" s="51" t="n"/>
      <c r="O20" s="51" t="n"/>
      <c r="P20" s="51" t="n"/>
      <c r="Q20" s="51" t="n"/>
      <c r="R20" s="51" t="n"/>
    </row>
    <row r="21">
      <c r="B21" s="260" t="inlineStr">
        <is>
          <t xml:space="preserve">          2. Đầu tư ngắn hạn khác</t>
        </is>
      </c>
      <c r="C21" s="52" t="n"/>
      <c r="D21" s="567">
        <f>'02. Nhap lieu tai chinh_DD'!D21</f>
        <v/>
      </c>
      <c r="E21" s="567">
        <f>'02. Nhap lieu tai chinh_DD'!E21</f>
        <v/>
      </c>
      <c r="F21" s="567">
        <f>'02. Nhap lieu tai chinh_DD'!F21</f>
        <v/>
      </c>
      <c r="G21" s="567">
        <f>'02. Nhap lieu tai chinh_DD'!G21</f>
        <v/>
      </c>
      <c r="H21" s="566" t="n"/>
      <c r="I21" s="51" t="n"/>
      <c r="J21" s="51" t="n"/>
      <c r="K21" s="51" t="n"/>
      <c r="L21" s="51" t="n"/>
      <c r="M21" s="51" t="n"/>
      <c r="N21" s="51" t="n"/>
      <c r="O21" s="51" t="n"/>
      <c r="P21" s="51" t="n"/>
      <c r="Q21" s="51" t="n"/>
      <c r="R21" s="51" t="n"/>
    </row>
    <row r="22">
      <c r="B22" s="568" t="inlineStr">
        <is>
          <t xml:space="preserve">          3. Dự phòng giảm giá đầu tư ngắn hạn</t>
        </is>
      </c>
      <c r="C22" s="52" t="n"/>
      <c r="D22" s="567">
        <f>'02. Nhap lieu tai chinh_DD'!D22</f>
        <v/>
      </c>
      <c r="E22" s="567">
        <f>'02. Nhap lieu tai chinh_DD'!E22</f>
        <v/>
      </c>
      <c r="F22" s="567">
        <f>'02. Nhap lieu tai chinh_DD'!F22</f>
        <v/>
      </c>
      <c r="G22" s="567">
        <f>'02. Nhap lieu tai chinh_DD'!G22</f>
        <v/>
      </c>
      <c r="H22" s="566" t="n"/>
      <c r="I22" s="51" t="n"/>
      <c r="J22" s="51" t="n"/>
      <c r="K22" s="51" t="n"/>
      <c r="L22" s="51" t="n"/>
      <c r="M22" s="51" t="n"/>
      <c r="N22" s="51" t="n"/>
      <c r="O22" s="51" t="n"/>
      <c r="P22" s="51" t="n"/>
      <c r="Q22" s="51" t="n"/>
      <c r="R22" s="51" t="n"/>
    </row>
    <row r="23">
      <c r="B23" s="568" t="inlineStr">
        <is>
          <t xml:space="preserve">          4. Đầu tư tài chính ngắn hạn (trong trường hợp báo cáo không có thông tin)</t>
        </is>
      </c>
      <c r="C23" s="52" t="n"/>
      <c r="D23" s="567">
        <f>'02. Nhap lieu tai chinh_DD'!D23</f>
        <v/>
      </c>
      <c r="E23" s="567">
        <f>'02. Nhap lieu tai chinh_DD'!E23</f>
        <v/>
      </c>
      <c r="F23" s="567">
        <f>'02. Nhap lieu tai chinh_DD'!F23</f>
        <v/>
      </c>
      <c r="G23" s="567">
        <f>'02. Nhap lieu tai chinh_DD'!G23</f>
        <v/>
      </c>
      <c r="H23" s="566" t="n"/>
      <c r="I23" s="51" t="n"/>
      <c r="J23" s="51" t="n"/>
      <c r="K23" s="51" t="n"/>
      <c r="L23" s="51" t="n"/>
      <c r="M23" s="51" t="n"/>
      <c r="N23" s="51" t="n"/>
      <c r="O23" s="51" t="n"/>
      <c r="P23" s="51" t="n"/>
      <c r="Q23" s="51" t="n"/>
      <c r="R23" s="51" t="n"/>
    </row>
    <row r="24">
      <c r="B24" s="562" t="inlineStr">
        <is>
          <t xml:space="preserve">    II. Các khoản phải thu ngắn hạn</t>
        </is>
      </c>
      <c r="C24" s="50" t="n"/>
      <c r="D24" s="563">
        <f>SUM(D25:D30)</f>
        <v/>
      </c>
      <c r="E24" s="563">
        <f>SUM(E25:E30)</f>
        <v/>
      </c>
      <c r="F24" s="563">
        <f>SUM(F25:F30)</f>
        <v/>
      </c>
      <c r="G24" s="563">
        <f>SUM(G25:G30)</f>
        <v/>
      </c>
      <c r="H24" s="564" t="n"/>
      <c r="I24" s="51" t="n"/>
      <c r="J24" s="51" t="n"/>
      <c r="K24" s="51" t="n"/>
      <c r="L24" s="51" t="n"/>
      <c r="M24" s="51" t="n"/>
      <c r="N24" s="51" t="n"/>
      <c r="O24" s="51" t="n"/>
      <c r="P24" s="51" t="n"/>
      <c r="Q24" s="51" t="n"/>
      <c r="R24" s="51" t="n"/>
    </row>
    <row r="25">
      <c r="B25" s="260" t="inlineStr">
        <is>
          <t xml:space="preserve">          1. Phải thu khách hàng</t>
        </is>
      </c>
      <c r="C25" s="52" t="n"/>
      <c r="D25" s="567">
        <f>'02. Nhap lieu tai chinh_DD'!D25</f>
        <v/>
      </c>
      <c r="E25" s="567">
        <f>'02. Nhap lieu tai chinh_DD'!E25</f>
        <v/>
      </c>
      <c r="F25" s="567">
        <f>'02. Nhap lieu tai chinh_DD'!F25</f>
        <v/>
      </c>
      <c r="G25" s="567">
        <f>'02. Nhap lieu tai chinh_DD'!G25</f>
        <v/>
      </c>
      <c r="H25" s="566" t="n"/>
      <c r="I25" s="51" t="n"/>
      <c r="J25" s="51" t="n"/>
      <c r="K25" s="51" t="n"/>
      <c r="L25" s="51" t="n"/>
      <c r="M25" s="51" t="n"/>
      <c r="N25" s="51" t="n"/>
      <c r="O25" s="51" t="n"/>
      <c r="P25" s="51" t="n"/>
      <c r="Q25" s="51" t="n"/>
      <c r="R25" s="51" t="n"/>
    </row>
    <row r="26">
      <c r="B26" s="260" t="inlineStr">
        <is>
          <t xml:space="preserve">          2. Trả trước cho người bán</t>
        </is>
      </c>
      <c r="C26" s="52" t="n"/>
      <c r="D26" s="567">
        <f>'02. Nhap lieu tai chinh_DD'!D26</f>
        <v/>
      </c>
      <c r="E26" s="567">
        <f>'02. Nhap lieu tai chinh_DD'!E26</f>
        <v/>
      </c>
      <c r="F26" s="567">
        <f>'02. Nhap lieu tai chinh_DD'!F26</f>
        <v/>
      </c>
      <c r="G26" s="567">
        <f>'02. Nhap lieu tai chinh_DD'!G26</f>
        <v/>
      </c>
      <c r="H26" s="566" t="n"/>
      <c r="I26" s="51" t="n"/>
      <c r="J26" s="51" t="n"/>
      <c r="K26" s="51" t="n"/>
      <c r="L26" s="51" t="n"/>
      <c r="M26" s="51" t="n"/>
      <c r="N26" s="51" t="n"/>
      <c r="O26" s="51" t="n"/>
      <c r="P26" s="51" t="n"/>
      <c r="Q26" s="51" t="n"/>
      <c r="R26" s="51" t="n"/>
    </row>
    <row r="27">
      <c r="B27" s="260" t="inlineStr">
        <is>
          <t xml:space="preserve">          3. Phải thu nội bộ ngắn hạn</t>
        </is>
      </c>
      <c r="C27" s="52" t="n"/>
      <c r="D27" s="567">
        <f>'02. Nhap lieu tai chinh_DD'!D27</f>
        <v/>
      </c>
      <c r="E27" s="567">
        <f>'02. Nhap lieu tai chinh_DD'!E27</f>
        <v/>
      </c>
      <c r="F27" s="567">
        <f>'02. Nhap lieu tai chinh_DD'!F27</f>
        <v/>
      </c>
      <c r="G27" s="567">
        <f>'02. Nhap lieu tai chinh_DD'!G27</f>
        <v/>
      </c>
      <c r="H27" s="566" t="n"/>
      <c r="I27" s="51" t="n"/>
      <c r="J27" s="51" t="n"/>
      <c r="K27" s="51" t="n"/>
      <c r="L27" s="51" t="n"/>
      <c r="M27" s="51" t="n"/>
      <c r="N27" s="51" t="n"/>
      <c r="O27" s="51" t="n"/>
      <c r="P27" s="51" t="n"/>
      <c r="Q27" s="51" t="n"/>
      <c r="R27" s="51" t="n"/>
    </row>
    <row r="28">
      <c r="B28" s="260" t="inlineStr">
        <is>
          <t xml:space="preserve">          4. Phải thu theo tiến độ kế hoạch hợp đồng xây dựng</t>
        </is>
      </c>
      <c r="C28" s="52" t="n"/>
      <c r="D28" s="567">
        <f>'02. Nhap lieu tai chinh_DD'!D28</f>
        <v/>
      </c>
      <c r="E28" s="567">
        <f>'02. Nhap lieu tai chinh_DD'!E28</f>
        <v/>
      </c>
      <c r="F28" s="567">
        <f>'02. Nhap lieu tai chinh_DD'!F28</f>
        <v/>
      </c>
      <c r="G28" s="567">
        <f>'02. Nhap lieu tai chinh_DD'!G28</f>
        <v/>
      </c>
      <c r="H28" s="566" t="n"/>
      <c r="I28" s="51" t="n"/>
      <c r="J28" s="51" t="n"/>
      <c r="K28" s="51" t="n"/>
      <c r="L28" s="51" t="n"/>
      <c r="M28" s="51" t="n"/>
      <c r="N28" s="51" t="n"/>
      <c r="O28" s="51" t="n"/>
      <c r="P28" s="51" t="n"/>
      <c r="Q28" s="51" t="n"/>
      <c r="R28" s="51" t="n"/>
    </row>
    <row r="29">
      <c r="B29" s="260" t="inlineStr">
        <is>
          <t xml:space="preserve">          5. Các khoản phải thu khác</t>
        </is>
      </c>
      <c r="C29" s="52" t="n"/>
      <c r="D29" s="567">
        <f>'02. Nhap lieu tai chinh_DD'!D29</f>
        <v/>
      </c>
      <c r="E29" s="567">
        <f>'02. Nhap lieu tai chinh_DD'!E29</f>
        <v/>
      </c>
      <c r="F29" s="567">
        <f>'02. Nhap lieu tai chinh_DD'!F29</f>
        <v/>
      </c>
      <c r="G29" s="567">
        <f>'02. Nhap lieu tai chinh_DD'!G29</f>
        <v/>
      </c>
      <c r="H29" s="566" t="n"/>
      <c r="I29" s="51" t="n"/>
      <c r="J29" s="51" t="n"/>
      <c r="K29" s="51" t="n"/>
      <c r="L29" s="51" t="n"/>
      <c r="M29" s="51" t="n"/>
      <c r="N29" s="51" t="n"/>
      <c r="O29" s="51" t="n"/>
      <c r="P29" s="51" t="n"/>
      <c r="Q29" s="51" t="n"/>
      <c r="R29" s="51" t="n"/>
    </row>
    <row r="30">
      <c r="B30" s="568" t="inlineStr">
        <is>
          <t xml:space="preserve">          6. Dự phòng phải thu ngắn hạn khó đòi</t>
        </is>
      </c>
      <c r="C30" s="52" t="n"/>
      <c r="D30" s="567">
        <f>'02. Nhap lieu tai chinh_DD'!D30</f>
        <v/>
      </c>
      <c r="E30" s="567">
        <f>'02. Nhap lieu tai chinh_DD'!E30</f>
        <v/>
      </c>
      <c r="F30" s="567">
        <f>'02. Nhap lieu tai chinh_DD'!F30</f>
        <v/>
      </c>
      <c r="G30" s="567">
        <f>'02. Nhap lieu tai chinh_DD'!G30</f>
        <v/>
      </c>
      <c r="H30" s="566" t="n"/>
      <c r="I30" s="51" t="n"/>
      <c r="J30" s="51" t="n"/>
      <c r="K30" s="51" t="n"/>
      <c r="L30" s="51" t="n"/>
      <c r="M30" s="51" t="n"/>
      <c r="N30" s="51" t="n"/>
      <c r="O30" s="51" t="n"/>
      <c r="P30" s="51" t="n"/>
      <c r="Q30" s="51" t="n"/>
      <c r="R30" s="51" t="n"/>
    </row>
    <row r="31">
      <c r="B31" s="562" t="inlineStr">
        <is>
          <t xml:space="preserve">    IV. Hàng tồn kho</t>
        </is>
      </c>
      <c r="C31" s="50" t="n"/>
      <c r="D31" s="563">
        <f>SUM(D32:D42)</f>
        <v/>
      </c>
      <c r="E31" s="563">
        <f>SUM(E32:E42)</f>
        <v/>
      </c>
      <c r="F31" s="563">
        <f>SUM(F32:F42)</f>
        <v/>
      </c>
      <c r="G31" s="563">
        <f>SUM(G32:G42)</f>
        <v/>
      </c>
      <c r="H31" s="564" t="n"/>
      <c r="I31" s="51" t="n"/>
      <c r="J31" s="51" t="n"/>
      <c r="K31" s="51" t="n"/>
      <c r="L31" s="51" t="n"/>
      <c r="M31" s="51" t="n"/>
      <c r="N31" s="51" t="n"/>
      <c r="O31" s="51" t="n"/>
      <c r="P31" s="51" t="n"/>
      <c r="Q31" s="51" t="n"/>
      <c r="R31" s="51" t="n"/>
    </row>
    <row r="32">
      <c r="B32" s="260" t="inlineStr">
        <is>
          <t xml:space="preserve">          1. Hàng mua đang đi đường</t>
        </is>
      </c>
      <c r="C32" s="52" t="n"/>
      <c r="D32" s="565">
        <f>'02. Nhap lieu tai chinh_DD'!D32</f>
        <v/>
      </c>
      <c r="E32" s="565">
        <f>'02. Nhap lieu tai chinh_DD'!E32</f>
        <v/>
      </c>
      <c r="F32" s="565">
        <f>'02. Nhap lieu tai chinh_DD'!F32</f>
        <v/>
      </c>
      <c r="G32" s="565">
        <f>'02. Nhap lieu tai chinh_DD'!G32</f>
        <v/>
      </c>
      <c r="H32" s="566" t="n"/>
      <c r="I32" s="51" t="n"/>
      <c r="J32" s="51" t="n"/>
      <c r="K32" s="51" t="n"/>
      <c r="L32" s="51" t="n"/>
      <c r="M32" s="51" t="n"/>
      <c r="N32" s="51" t="n"/>
      <c r="O32" s="51" t="n"/>
      <c r="P32" s="51" t="n"/>
      <c r="Q32" s="51" t="n"/>
      <c r="R32" s="51" t="n"/>
    </row>
    <row r="33">
      <c r="B33" s="260" t="inlineStr">
        <is>
          <t xml:space="preserve">          2. Nguyên liệu, vật liệu</t>
        </is>
      </c>
      <c r="C33" s="52" t="n"/>
      <c r="D33" s="565">
        <f>'02. Nhap lieu tai chinh_DD'!D33</f>
        <v/>
      </c>
      <c r="E33" s="565">
        <f>'02. Nhap lieu tai chinh_DD'!E33</f>
        <v/>
      </c>
      <c r="F33" s="565">
        <f>'02. Nhap lieu tai chinh_DD'!F33</f>
        <v/>
      </c>
      <c r="G33" s="565">
        <f>'02. Nhap lieu tai chinh_DD'!G33</f>
        <v/>
      </c>
      <c r="H33" s="566" t="n"/>
      <c r="I33" s="51" t="n"/>
      <c r="J33" s="51" t="n"/>
      <c r="K33" s="51" t="n"/>
      <c r="L33" s="51" t="n"/>
      <c r="M33" s="51" t="n"/>
      <c r="N33" s="51" t="n"/>
      <c r="O33" s="51" t="n"/>
      <c r="P33" s="51" t="n"/>
      <c r="Q33" s="51" t="n"/>
      <c r="R33" s="51" t="n"/>
    </row>
    <row r="34">
      <c r="B34" s="260" t="inlineStr">
        <is>
          <t xml:space="preserve">          3. Công cụ, dụng cụ</t>
        </is>
      </c>
      <c r="C34" s="52" t="n"/>
      <c r="D34" s="565">
        <f>'02. Nhap lieu tai chinh_DD'!D34</f>
        <v/>
      </c>
      <c r="E34" s="565">
        <f>'02. Nhap lieu tai chinh_DD'!E34</f>
        <v/>
      </c>
      <c r="F34" s="565">
        <f>'02. Nhap lieu tai chinh_DD'!F34</f>
        <v/>
      </c>
      <c r="G34" s="565">
        <f>'02. Nhap lieu tai chinh_DD'!G34</f>
        <v/>
      </c>
      <c r="H34" s="566" t="n"/>
      <c r="I34" s="51" t="n"/>
      <c r="J34" s="51" t="n"/>
      <c r="K34" s="51" t="n"/>
      <c r="L34" s="51" t="n"/>
      <c r="M34" s="51" t="n"/>
      <c r="N34" s="51" t="n"/>
      <c r="O34" s="51" t="n"/>
      <c r="P34" s="51" t="n"/>
      <c r="Q34" s="51" t="n"/>
      <c r="R34" s="51" t="n"/>
    </row>
    <row r="35">
      <c r="B35" s="260" t="inlineStr">
        <is>
          <t xml:space="preserve">          4. Chi phí SX, KD dở dang</t>
        </is>
      </c>
      <c r="C35" s="52" t="n"/>
      <c r="D35" s="565">
        <f>'02. Nhap lieu tai chinh_DD'!D35</f>
        <v/>
      </c>
      <c r="E35" s="565">
        <f>'02. Nhap lieu tai chinh_DD'!E35</f>
        <v/>
      </c>
      <c r="F35" s="565">
        <f>'02. Nhap lieu tai chinh_DD'!F35</f>
        <v/>
      </c>
      <c r="G35" s="565">
        <f>'02. Nhap lieu tai chinh_DD'!G35</f>
        <v/>
      </c>
      <c r="H35" s="566" t="n"/>
      <c r="I35" s="51" t="n"/>
      <c r="J35" s="51" t="n"/>
      <c r="K35" s="51" t="n"/>
      <c r="L35" s="51" t="n"/>
      <c r="M35" s="51" t="n"/>
      <c r="N35" s="51" t="n"/>
      <c r="O35" s="51" t="n"/>
      <c r="P35" s="51" t="n"/>
      <c r="Q35" s="51" t="n"/>
      <c r="R35" s="51" t="n"/>
    </row>
    <row r="36">
      <c r="B36" s="260" t="inlineStr">
        <is>
          <t xml:space="preserve">          5. Thành phẩm</t>
        </is>
      </c>
      <c r="C36" s="52" t="n"/>
      <c r="D36" s="565">
        <f>'02. Nhap lieu tai chinh_DD'!D36</f>
        <v/>
      </c>
      <c r="E36" s="565">
        <f>'02. Nhap lieu tai chinh_DD'!E36</f>
        <v/>
      </c>
      <c r="F36" s="565">
        <f>'02. Nhap lieu tai chinh_DD'!F36</f>
        <v/>
      </c>
      <c r="G36" s="565">
        <f>'02. Nhap lieu tai chinh_DD'!G36</f>
        <v/>
      </c>
      <c r="H36" s="566" t="n"/>
      <c r="I36" s="51" t="n"/>
      <c r="J36" s="51" t="n"/>
      <c r="K36" s="51" t="n"/>
      <c r="L36" s="51" t="n"/>
      <c r="M36" s="51" t="n"/>
      <c r="N36" s="51" t="n"/>
      <c r="O36" s="51" t="n"/>
      <c r="P36" s="51" t="n"/>
      <c r="Q36" s="51" t="n"/>
      <c r="R36" s="51" t="n"/>
    </row>
    <row r="37">
      <c r="B37" s="260" t="inlineStr">
        <is>
          <t xml:space="preserve">          6. Hàng hóa</t>
        </is>
      </c>
      <c r="C37" s="52" t="n"/>
      <c r="D37" s="565">
        <f>'02. Nhap lieu tai chinh_DD'!D37</f>
        <v/>
      </c>
      <c r="E37" s="565">
        <f>'02. Nhap lieu tai chinh_DD'!E37</f>
        <v/>
      </c>
      <c r="F37" s="565">
        <f>'02. Nhap lieu tai chinh_DD'!F37</f>
        <v/>
      </c>
      <c r="G37" s="565">
        <f>'02. Nhap lieu tai chinh_DD'!G37</f>
        <v/>
      </c>
      <c r="H37" s="566" t="n"/>
      <c r="I37" s="51" t="n"/>
      <c r="J37" s="51" t="n"/>
      <c r="K37" s="51" t="n"/>
      <c r="L37" s="51" t="n"/>
      <c r="M37" s="51" t="n"/>
      <c r="N37" s="51" t="n"/>
      <c r="O37" s="51" t="n"/>
      <c r="P37" s="51" t="n"/>
      <c r="Q37" s="51" t="n"/>
      <c r="R37" s="51" t="n"/>
    </row>
    <row r="38">
      <c r="B38" s="260" t="inlineStr">
        <is>
          <t xml:space="preserve">          7. Hàng gửi đi bán</t>
        </is>
      </c>
      <c r="C38" s="52" t="n"/>
      <c r="D38" s="565">
        <f>'02. Nhap lieu tai chinh_DD'!D38</f>
        <v/>
      </c>
      <c r="E38" s="565">
        <f>'02. Nhap lieu tai chinh_DD'!E38</f>
        <v/>
      </c>
      <c r="F38" s="565">
        <f>'02. Nhap lieu tai chinh_DD'!F38</f>
        <v/>
      </c>
      <c r="G38" s="565">
        <f>'02. Nhap lieu tai chinh_DD'!G38</f>
        <v/>
      </c>
      <c r="H38" s="566" t="n"/>
      <c r="I38" s="51" t="n"/>
      <c r="J38" s="51" t="n"/>
      <c r="K38" s="51" t="n"/>
      <c r="L38" s="51" t="n"/>
      <c r="M38" s="51" t="n"/>
      <c r="N38" s="51" t="n"/>
      <c r="O38" s="51" t="n"/>
      <c r="P38" s="51" t="n"/>
      <c r="Q38" s="51" t="n"/>
      <c r="R38" s="51" t="n"/>
    </row>
    <row r="39">
      <c r="B39" s="260" t="inlineStr">
        <is>
          <t xml:space="preserve">          8. Hàng hóa kho bảo thuế</t>
        </is>
      </c>
      <c r="C39" s="52" t="n"/>
      <c r="D39" s="565">
        <f>'02. Nhap lieu tai chinh_DD'!D39</f>
        <v/>
      </c>
      <c r="E39" s="565">
        <f>'02. Nhap lieu tai chinh_DD'!E39</f>
        <v/>
      </c>
      <c r="F39" s="565">
        <f>'02. Nhap lieu tai chinh_DD'!F39</f>
        <v/>
      </c>
      <c r="G39" s="565">
        <f>'02. Nhap lieu tai chinh_DD'!G39</f>
        <v/>
      </c>
      <c r="H39" s="566" t="n"/>
      <c r="I39" s="51" t="n"/>
      <c r="J39" s="51" t="n"/>
      <c r="K39" s="51" t="n"/>
      <c r="L39" s="51" t="n"/>
      <c r="M39" s="51" t="n"/>
      <c r="N39" s="51" t="n"/>
      <c r="O39" s="51" t="n"/>
      <c r="P39" s="51" t="n"/>
      <c r="Q39" s="51" t="n"/>
      <c r="R39" s="51" t="n"/>
    </row>
    <row r="40">
      <c r="B40" s="260" t="inlineStr">
        <is>
          <t xml:space="preserve">          9. Hàng hóa bất động sản</t>
        </is>
      </c>
      <c r="C40" s="52" t="n"/>
      <c r="D40" s="565">
        <f>'02. Nhap lieu tai chinh_DD'!D40</f>
        <v/>
      </c>
      <c r="E40" s="565">
        <f>'02. Nhap lieu tai chinh_DD'!E40</f>
        <v/>
      </c>
      <c r="F40" s="565">
        <f>'02. Nhap lieu tai chinh_DD'!F40</f>
        <v/>
      </c>
      <c r="G40" s="565">
        <f>'02. Nhap lieu tai chinh_DD'!G40</f>
        <v/>
      </c>
      <c r="H40" s="566" t="n"/>
      <c r="I40" s="51" t="n"/>
      <c r="J40" s="51" t="n"/>
      <c r="K40" s="51" t="n"/>
      <c r="L40" s="51" t="n"/>
      <c r="M40" s="51" t="n"/>
      <c r="N40" s="51" t="n"/>
      <c r="O40" s="51" t="n"/>
      <c r="P40" s="51" t="n"/>
      <c r="Q40" s="51" t="n"/>
      <c r="R40" s="51" t="n"/>
    </row>
    <row r="41">
      <c r="B41" s="568" t="inlineStr">
        <is>
          <t xml:space="preserve">          10. Dự phòng giảm giá hàng tồn kho</t>
        </is>
      </c>
      <c r="C41" s="52" t="n"/>
      <c r="D41" s="565">
        <f>'02. Nhap lieu tai chinh_DD'!D41</f>
        <v/>
      </c>
      <c r="E41" s="565">
        <f>'02. Nhap lieu tai chinh_DD'!E41</f>
        <v/>
      </c>
      <c r="F41" s="565">
        <f>'02. Nhap lieu tai chinh_DD'!F41</f>
        <v/>
      </c>
      <c r="G41" s="565">
        <f>'02. Nhap lieu tai chinh_DD'!G41</f>
        <v/>
      </c>
      <c r="H41" s="566" t="n"/>
      <c r="I41" s="51" t="n"/>
      <c r="J41" s="51" t="n"/>
      <c r="K41" s="51" t="n"/>
      <c r="L41" s="51" t="n"/>
      <c r="M41" s="51" t="n"/>
      <c r="N41" s="51" t="n"/>
      <c r="O41" s="51" t="n"/>
      <c r="P41" s="51" t="n"/>
      <c r="Q41" s="51" t="n"/>
      <c r="R41" s="51" t="n"/>
    </row>
    <row r="42">
      <c r="B42" s="568" t="inlineStr">
        <is>
          <t xml:space="preserve">          11. Hàng tồn kho (trong trường hợp báo cáo không có thông tin chi tiết)</t>
        </is>
      </c>
      <c r="C42" s="52" t="n"/>
      <c r="D42" s="565">
        <f>'02. Nhap lieu tai chinh_DD'!D42</f>
        <v/>
      </c>
      <c r="E42" s="565">
        <f>'02. Nhap lieu tai chinh_DD'!E42</f>
        <v/>
      </c>
      <c r="F42" s="565">
        <f>'02. Nhap lieu tai chinh_DD'!F42</f>
        <v/>
      </c>
      <c r="G42" s="565">
        <f>'02. Nhap lieu tai chinh_DD'!G42</f>
        <v/>
      </c>
      <c r="H42" s="566" t="n"/>
      <c r="I42" s="51" t="n"/>
      <c r="J42" s="51" t="n"/>
      <c r="K42" s="51" t="n"/>
      <c r="L42" s="51" t="n"/>
      <c r="M42" s="51" t="n"/>
      <c r="N42" s="51" t="n"/>
      <c r="O42" s="51" t="n"/>
      <c r="P42" s="51" t="n"/>
      <c r="Q42" s="51" t="n"/>
      <c r="R42" s="51" t="n"/>
    </row>
    <row r="43">
      <c r="B43" s="562" t="inlineStr">
        <is>
          <t xml:space="preserve">    V. Tài sản ngắn hạn khác </t>
        </is>
      </c>
      <c r="C43" s="50" t="n"/>
      <c r="D43" s="563">
        <f>SUM(D44:D48)</f>
        <v/>
      </c>
      <c r="E43" s="563">
        <f>SUM(E44:E48)</f>
        <v/>
      </c>
      <c r="F43" s="563">
        <f>SUM(F44:F48)</f>
        <v/>
      </c>
      <c r="G43" s="563">
        <f>SUM(G44:G48)</f>
        <v/>
      </c>
      <c r="H43" s="564" t="n"/>
      <c r="I43" s="51" t="n"/>
      <c r="J43" s="51" t="n"/>
      <c r="K43" s="51" t="n"/>
      <c r="L43" s="51" t="n"/>
      <c r="M43" s="51" t="n"/>
      <c r="N43" s="51" t="n"/>
      <c r="O43" s="51" t="n"/>
      <c r="P43" s="51" t="n"/>
      <c r="Q43" s="51" t="n"/>
      <c r="R43" s="51" t="n"/>
    </row>
    <row r="44">
      <c r="B44" s="260" t="inlineStr">
        <is>
          <t xml:space="preserve">          1. Chi phí trả trước ngắn hạn</t>
        </is>
      </c>
      <c r="C44" s="52" t="n"/>
      <c r="D44" s="565">
        <f>'02. Nhap lieu tai chinh_DD'!D44</f>
        <v/>
      </c>
      <c r="E44" s="565">
        <f>'02. Nhap lieu tai chinh_DD'!E44</f>
        <v/>
      </c>
      <c r="F44" s="565">
        <f>'02. Nhap lieu tai chinh_DD'!F44</f>
        <v/>
      </c>
      <c r="G44" s="565">
        <f>'02. Nhap lieu tai chinh_DD'!G44</f>
        <v/>
      </c>
      <c r="H44" s="566" t="n"/>
      <c r="I44" s="51" t="n"/>
      <c r="J44" s="51" t="n"/>
      <c r="K44" s="51" t="n"/>
      <c r="L44" s="51" t="n"/>
      <c r="M44" s="51" t="n"/>
      <c r="N44" s="51" t="n"/>
      <c r="O44" s="51" t="n"/>
      <c r="P44" s="51" t="n"/>
      <c r="Q44" s="51" t="n"/>
      <c r="R44" s="51" t="n"/>
    </row>
    <row r="45">
      <c r="B45" s="260" t="inlineStr">
        <is>
          <t xml:space="preserve">          2. Thuế GTGT được khấu trừ</t>
        </is>
      </c>
      <c r="C45" s="52" t="n"/>
      <c r="D45" s="565">
        <f>'02. Nhap lieu tai chinh_DD'!D45</f>
        <v/>
      </c>
      <c r="E45" s="565">
        <f>'02. Nhap lieu tai chinh_DD'!E45</f>
        <v/>
      </c>
      <c r="F45" s="565">
        <f>'02. Nhap lieu tai chinh_DD'!F45</f>
        <v/>
      </c>
      <c r="G45" s="565">
        <f>'02. Nhap lieu tai chinh_DD'!G45</f>
        <v/>
      </c>
      <c r="H45" s="566" t="n"/>
      <c r="I45" s="51" t="n"/>
      <c r="J45" s="51" t="n"/>
      <c r="K45" s="51" t="n"/>
      <c r="L45" s="51" t="n"/>
      <c r="M45" s="51" t="n"/>
      <c r="N45" s="51" t="n"/>
      <c r="O45" s="51" t="n"/>
      <c r="P45" s="51" t="n"/>
      <c r="Q45" s="51" t="n"/>
      <c r="R45" s="51" t="n"/>
    </row>
    <row r="46">
      <c r="B46" s="260" t="inlineStr">
        <is>
          <t xml:space="preserve">          3. Thuế và các khoản khác phải thu Nhà nước</t>
        </is>
      </c>
      <c r="C46" s="52" t="n"/>
      <c r="D46" s="565">
        <f>'02. Nhap lieu tai chinh_DD'!D46</f>
        <v/>
      </c>
      <c r="E46" s="565">
        <f>'02. Nhap lieu tai chinh_DD'!E46</f>
        <v/>
      </c>
      <c r="F46" s="565">
        <f>'02. Nhap lieu tai chinh_DD'!F46</f>
        <v/>
      </c>
      <c r="G46" s="565">
        <f>'02. Nhap lieu tai chinh_DD'!G46</f>
        <v/>
      </c>
      <c r="H46" s="566" t="n"/>
      <c r="I46" s="51" t="n"/>
      <c r="J46" s="51" t="n"/>
      <c r="K46" s="51" t="n"/>
      <c r="L46" s="51" t="n"/>
      <c r="M46" s="51" t="n"/>
      <c r="N46" s="51" t="n"/>
      <c r="O46" s="51" t="n"/>
      <c r="P46" s="51" t="n"/>
      <c r="Q46" s="51" t="n"/>
      <c r="R46" s="51" t="n"/>
    </row>
    <row r="47">
      <c r="B47" s="260" t="inlineStr">
        <is>
          <t xml:space="preserve">          4. Giao dịch mua bán lại trái phiếu chính phủ</t>
        </is>
      </c>
      <c r="C47" s="52" t="n"/>
      <c r="D47" s="565">
        <f>'02. Nhap lieu tai chinh_DD'!D47</f>
        <v/>
      </c>
      <c r="E47" s="565">
        <f>'02. Nhap lieu tai chinh_DD'!E47</f>
        <v/>
      </c>
      <c r="F47" s="565">
        <f>'02. Nhap lieu tai chinh_DD'!F47</f>
        <v/>
      </c>
      <c r="G47" s="565">
        <f>'02. Nhap lieu tai chinh_DD'!G47</f>
        <v/>
      </c>
      <c r="H47" s="566" t="n"/>
      <c r="I47" s="51" t="n"/>
      <c r="J47" s="51" t="n"/>
      <c r="K47" s="51" t="n"/>
      <c r="L47" s="51" t="n"/>
      <c r="M47" s="51" t="n"/>
      <c r="N47" s="51" t="n"/>
      <c r="O47" s="51" t="n"/>
      <c r="P47" s="51" t="n"/>
      <c r="Q47" s="51" t="n"/>
      <c r="R47" s="51" t="n"/>
    </row>
    <row r="48">
      <c r="B48" s="260" t="inlineStr">
        <is>
          <t xml:space="preserve">          5. Tài sản ngắn hạn khác</t>
        </is>
      </c>
      <c r="C48" s="52" t="n"/>
      <c r="D48" s="565">
        <f>'02. Nhap lieu tai chinh_DD'!D48</f>
        <v/>
      </c>
      <c r="E48" s="565">
        <f>'02. Nhap lieu tai chinh_DD'!E48</f>
        <v/>
      </c>
      <c r="F48" s="565">
        <f>'02. Nhap lieu tai chinh_DD'!F48</f>
        <v/>
      </c>
      <c r="G48" s="565">
        <f>'02. Nhap lieu tai chinh_DD'!G48</f>
        <v/>
      </c>
      <c r="H48" s="566" t="n"/>
      <c r="I48" s="51" t="n"/>
      <c r="J48" s="51" t="n"/>
      <c r="K48" s="51" t="n"/>
      <c r="L48" s="51" t="n"/>
      <c r="M48" s="51" t="n"/>
      <c r="N48" s="51" t="n"/>
      <c r="O48" s="51" t="n"/>
      <c r="P48" s="51" t="n"/>
      <c r="Q48" s="51" t="n"/>
      <c r="R48" s="51" t="n"/>
    </row>
    <row r="49">
      <c r="B49" s="569" t="inlineStr">
        <is>
          <t>B. TÀI SẢN DÀI HẠN</t>
        </is>
      </c>
      <c r="C49" s="570" t="n"/>
      <c r="D49" s="563">
        <f>D50+D56+D67+D70+D76+D82</f>
        <v/>
      </c>
      <c r="E49" s="563">
        <f>E50+E56+E67+E70+E76+E82</f>
        <v/>
      </c>
      <c r="F49" s="563">
        <f>F50+F56+F67+F70+F76+F82</f>
        <v/>
      </c>
      <c r="G49" s="563">
        <f>G50+G56+G67+G70+G76+G82</f>
        <v/>
      </c>
      <c r="H49" s="564" t="n"/>
      <c r="I49" s="51" t="n"/>
      <c r="J49" s="51" t="n"/>
      <c r="K49" s="51" t="n"/>
      <c r="L49" s="51" t="n"/>
      <c r="M49" s="51" t="n"/>
      <c r="N49" s="51" t="n"/>
      <c r="O49" s="51" t="n"/>
      <c r="P49" s="51" t="n"/>
      <c r="Q49" s="51" t="n"/>
      <c r="R49" s="51" t="n"/>
    </row>
    <row r="50">
      <c r="B50" s="562" t="inlineStr">
        <is>
          <t xml:space="preserve">    I. Các khoản phải thu dài hạn</t>
        </is>
      </c>
      <c r="C50" s="50" t="n"/>
      <c r="D50" s="563">
        <f>SUM(D51:D55)</f>
        <v/>
      </c>
      <c r="E50" s="563">
        <f>SUM(E51:E55)</f>
        <v/>
      </c>
      <c r="F50" s="563">
        <f>SUM(F51:F55)</f>
        <v/>
      </c>
      <c r="G50" s="563">
        <f>SUM(G51:G55)</f>
        <v/>
      </c>
      <c r="H50" s="564" t="n"/>
      <c r="I50" s="51" t="n"/>
      <c r="J50" s="51" t="n"/>
      <c r="K50" s="51" t="n"/>
      <c r="L50" s="51" t="n"/>
      <c r="M50" s="51" t="n"/>
      <c r="N50" s="51" t="n"/>
      <c r="O50" s="51" t="n"/>
      <c r="P50" s="51" t="n"/>
      <c r="Q50" s="51" t="n"/>
      <c r="R50" s="51" t="n"/>
    </row>
    <row r="51">
      <c r="B51" s="260" t="inlineStr">
        <is>
          <t xml:space="preserve">          1. Phải thu dài hạn của khách hàng</t>
        </is>
      </c>
      <c r="C51" s="52" t="n"/>
      <c r="D51" s="565">
        <f>'02. Nhap lieu tai chinh_DD'!D51</f>
        <v/>
      </c>
      <c r="E51" s="565">
        <f>'02. Nhap lieu tai chinh_DD'!E51</f>
        <v/>
      </c>
      <c r="F51" s="565">
        <f>'02. Nhap lieu tai chinh_DD'!F51</f>
        <v/>
      </c>
      <c r="G51" s="565">
        <f>'02. Nhap lieu tai chinh_DD'!G51</f>
        <v/>
      </c>
      <c r="H51" s="571" t="n"/>
      <c r="I51" s="51" t="n"/>
      <c r="J51" s="51" t="n"/>
      <c r="K51" s="51" t="n"/>
      <c r="L51" s="51" t="n"/>
      <c r="M51" s="51" t="n"/>
      <c r="N51" s="51" t="n"/>
      <c r="O51" s="51" t="n"/>
      <c r="P51" s="51" t="n"/>
      <c r="Q51" s="51" t="n"/>
      <c r="R51" s="51" t="n"/>
    </row>
    <row r="52">
      <c r="B52" s="260" t="inlineStr">
        <is>
          <t xml:space="preserve">          2. Vốn kinh doanh ở đơn vị trực thuộc</t>
        </is>
      </c>
      <c r="C52" s="52" t="n"/>
      <c r="D52" s="565">
        <f>'02. Nhap lieu tai chinh_DD'!D52</f>
        <v/>
      </c>
      <c r="E52" s="565">
        <f>'02. Nhap lieu tai chinh_DD'!E52</f>
        <v/>
      </c>
      <c r="F52" s="565">
        <f>'02. Nhap lieu tai chinh_DD'!F52</f>
        <v/>
      </c>
      <c r="G52" s="565">
        <f>'02. Nhap lieu tai chinh_DD'!G52</f>
        <v/>
      </c>
      <c r="H52" s="571" t="n"/>
      <c r="I52" s="51" t="n"/>
      <c r="J52" s="51" t="n"/>
      <c r="K52" s="51" t="n"/>
      <c r="L52" s="51" t="n"/>
      <c r="M52" s="51" t="n"/>
      <c r="N52" s="51" t="n"/>
      <c r="O52" s="51" t="n"/>
      <c r="P52" s="51" t="n"/>
      <c r="Q52" s="51" t="n"/>
      <c r="R52" s="51" t="n"/>
    </row>
    <row r="53">
      <c r="B53" s="260" t="inlineStr">
        <is>
          <t xml:space="preserve">          3. Phải thu dài hạn nội bộ</t>
        </is>
      </c>
      <c r="C53" s="52" t="n"/>
      <c r="D53" s="565">
        <f>'02. Nhap lieu tai chinh_DD'!D53</f>
        <v/>
      </c>
      <c r="E53" s="565">
        <f>'02. Nhap lieu tai chinh_DD'!E53</f>
        <v/>
      </c>
      <c r="F53" s="565">
        <f>'02. Nhap lieu tai chinh_DD'!F53</f>
        <v/>
      </c>
      <c r="G53" s="565">
        <f>'02. Nhap lieu tai chinh_DD'!G53</f>
        <v/>
      </c>
      <c r="H53" s="571" t="n"/>
      <c r="I53" s="51" t="n"/>
      <c r="J53" s="51" t="n"/>
      <c r="K53" s="51" t="n"/>
      <c r="L53" s="51" t="n"/>
      <c r="M53" s="51" t="n"/>
      <c r="N53" s="51" t="n"/>
      <c r="O53" s="51" t="n"/>
      <c r="P53" s="51" t="n"/>
      <c r="Q53" s="51" t="n"/>
      <c r="R53" s="51" t="n"/>
    </row>
    <row r="54">
      <c r="B54" s="260" t="inlineStr">
        <is>
          <t xml:space="preserve">          4. Phải thu dài hạn khác</t>
        </is>
      </c>
      <c r="C54" s="52" t="n"/>
      <c r="D54" s="565">
        <f>'02. Nhap lieu tai chinh_DD'!D54</f>
        <v/>
      </c>
      <c r="E54" s="565">
        <f>'02. Nhap lieu tai chinh_DD'!E54</f>
        <v/>
      </c>
      <c r="F54" s="565">
        <f>'02. Nhap lieu tai chinh_DD'!F54</f>
        <v/>
      </c>
      <c r="G54" s="565">
        <f>'02. Nhap lieu tai chinh_DD'!G54</f>
        <v/>
      </c>
      <c r="H54" s="571" t="n"/>
      <c r="I54" s="51" t="n"/>
      <c r="J54" s="51" t="n"/>
      <c r="K54" s="51" t="n"/>
      <c r="L54" s="51" t="n"/>
      <c r="M54" s="51" t="n"/>
      <c r="N54" s="51" t="n"/>
      <c r="O54" s="51" t="n"/>
      <c r="P54" s="51" t="n"/>
      <c r="Q54" s="51" t="n"/>
      <c r="R54" s="51" t="n"/>
    </row>
    <row r="55">
      <c r="B55" s="568" t="inlineStr">
        <is>
          <t xml:space="preserve">          5. Dự phòng phải thu dài hạn khó đòi</t>
        </is>
      </c>
      <c r="C55" s="52" t="n"/>
      <c r="D55" s="565">
        <f>'02. Nhap lieu tai chinh_DD'!D55</f>
        <v/>
      </c>
      <c r="E55" s="565">
        <f>'02. Nhap lieu tai chinh_DD'!E55</f>
        <v/>
      </c>
      <c r="F55" s="565">
        <f>'02. Nhap lieu tai chinh_DD'!F55</f>
        <v/>
      </c>
      <c r="G55" s="565">
        <f>'02. Nhap lieu tai chinh_DD'!G55</f>
        <v/>
      </c>
      <c r="H55" s="571" t="n"/>
      <c r="I55" s="51" t="n"/>
      <c r="J55" s="51" t="n"/>
      <c r="K55" s="51" t="n"/>
      <c r="L55" s="51" t="n"/>
      <c r="M55" s="51" t="n"/>
      <c r="N55" s="51" t="n"/>
      <c r="O55" s="51" t="n"/>
      <c r="P55" s="51" t="n"/>
      <c r="Q55" s="51" t="n"/>
      <c r="R55" s="51" t="n"/>
    </row>
    <row r="56">
      <c r="B56" s="562" t="inlineStr">
        <is>
          <t xml:space="preserve">    II. Tài sản cố định</t>
        </is>
      </c>
      <c r="C56" s="52" t="n"/>
      <c r="D56" s="563">
        <f>D57+D60+D63+D66</f>
        <v/>
      </c>
      <c r="E56" s="563">
        <f>E57+E60+E63+E66</f>
        <v/>
      </c>
      <c r="F56" s="563">
        <f>F57+F60+F63+F66</f>
        <v/>
      </c>
      <c r="G56" s="563">
        <f>G57+G60+G63+G66</f>
        <v/>
      </c>
      <c r="H56" s="564" t="n"/>
      <c r="I56" s="51" t="n"/>
      <c r="J56" s="51" t="n"/>
      <c r="K56" s="51" t="n"/>
      <c r="L56" s="51" t="n"/>
      <c r="M56" s="51" t="n"/>
      <c r="N56" s="51" t="n"/>
      <c r="O56" s="51" t="n"/>
      <c r="P56" s="51" t="n"/>
      <c r="Q56" s="51" t="n"/>
      <c r="R56" s="51" t="n"/>
    </row>
    <row r="57">
      <c r="B57" s="260" t="inlineStr">
        <is>
          <t xml:space="preserve">          1. Tài sản cố định hữu hình</t>
        </is>
      </c>
      <c r="C57" s="52" t="n"/>
      <c r="D57" s="563">
        <f>SUM(D58:D59)</f>
        <v/>
      </c>
      <c r="E57" s="563">
        <f>SUM(E58:E59)</f>
        <v/>
      </c>
      <c r="F57" s="563">
        <f>SUM(F58:F59)</f>
        <v/>
      </c>
      <c r="G57" s="563">
        <f>SUM(G58:G59)</f>
        <v/>
      </c>
      <c r="H57" s="564" t="n"/>
      <c r="I57" s="51" t="n"/>
      <c r="J57" s="51" t="n"/>
      <c r="K57" s="51" t="n"/>
      <c r="L57" s="51" t="n"/>
      <c r="M57" s="51" t="n"/>
      <c r="N57" s="51" t="n"/>
      <c r="O57" s="51" t="n"/>
      <c r="P57" s="51" t="n"/>
      <c r="Q57" s="51" t="n"/>
      <c r="R57" s="51" t="n"/>
    </row>
    <row r="58">
      <c r="B58" s="260" t="inlineStr">
        <is>
          <t xml:space="preserve">            - Nguyên giá</t>
        </is>
      </c>
      <c r="C58" s="52" t="n"/>
      <c r="D58" s="565">
        <f>'02. Nhap lieu tai chinh_DD'!D58</f>
        <v/>
      </c>
      <c r="E58" s="565">
        <f>'02. Nhap lieu tai chinh_DD'!E58</f>
        <v/>
      </c>
      <c r="F58" s="565">
        <f>'02. Nhap lieu tai chinh_DD'!F58</f>
        <v/>
      </c>
      <c r="G58" s="565">
        <f>'02. Nhap lieu tai chinh_DD'!G58</f>
        <v/>
      </c>
      <c r="H58" s="571" t="n"/>
      <c r="I58" s="51" t="n"/>
      <c r="J58" s="51" t="n"/>
      <c r="K58" s="51" t="n"/>
      <c r="L58" s="51" t="n"/>
      <c r="M58" s="51" t="n"/>
      <c r="N58" s="51" t="n"/>
      <c r="O58" s="51" t="n"/>
      <c r="P58" s="51" t="n"/>
      <c r="Q58" s="51" t="n"/>
      <c r="R58" s="51" t="n"/>
    </row>
    <row r="59">
      <c r="B59" s="568" t="inlineStr">
        <is>
          <t xml:space="preserve">            - Giá trị hao mòn lũy kế</t>
        </is>
      </c>
      <c r="C59" s="52" t="n"/>
      <c r="D59" s="565">
        <f>'02. Nhap lieu tai chinh_DD'!D59</f>
        <v/>
      </c>
      <c r="E59" s="565">
        <f>'02. Nhap lieu tai chinh_DD'!E59</f>
        <v/>
      </c>
      <c r="F59" s="565">
        <f>'02. Nhap lieu tai chinh_DD'!F59</f>
        <v/>
      </c>
      <c r="G59" s="565">
        <f>'02. Nhap lieu tai chinh_DD'!G59</f>
        <v/>
      </c>
      <c r="H59" s="571" t="n"/>
      <c r="I59" s="51" t="n"/>
      <c r="J59" s="51" t="n"/>
      <c r="K59" s="51" t="n"/>
      <c r="L59" s="51" t="n"/>
      <c r="M59" s="51" t="n"/>
      <c r="N59" s="51" t="n"/>
      <c r="O59" s="51" t="n"/>
      <c r="P59" s="51" t="n"/>
      <c r="Q59" s="51" t="n"/>
      <c r="R59" s="51" t="n"/>
    </row>
    <row r="60">
      <c r="B60" s="260" t="inlineStr">
        <is>
          <t xml:space="preserve">          2. Tài sản cố định thuê tài chính</t>
        </is>
      </c>
      <c r="C60" s="52" t="n"/>
      <c r="D60" s="563">
        <f>SUM(D61:D62)</f>
        <v/>
      </c>
      <c r="E60" s="563">
        <f>SUM(E61:E62)</f>
        <v/>
      </c>
      <c r="F60" s="563">
        <f>SUM(F61:F62)</f>
        <v/>
      </c>
      <c r="G60" s="563">
        <f>SUM(G61:G62)</f>
        <v/>
      </c>
      <c r="H60" s="564" t="n"/>
      <c r="I60" s="51" t="n"/>
      <c r="J60" s="51" t="n"/>
      <c r="K60" s="51" t="n"/>
      <c r="L60" s="51" t="n"/>
      <c r="M60" s="51" t="n"/>
      <c r="N60" s="51" t="n"/>
      <c r="O60" s="51" t="n"/>
      <c r="P60" s="51" t="n"/>
      <c r="Q60" s="51" t="n"/>
      <c r="R60" s="51" t="n"/>
    </row>
    <row r="61">
      <c r="B61" s="260" t="inlineStr">
        <is>
          <t xml:space="preserve">            - Nguyên giá</t>
        </is>
      </c>
      <c r="C61" s="52" t="n"/>
      <c r="D61" s="565">
        <f>'02. Nhap lieu tai chinh_DD'!D61</f>
        <v/>
      </c>
      <c r="E61" s="565">
        <f>'02. Nhap lieu tai chinh_DD'!E61</f>
        <v/>
      </c>
      <c r="F61" s="565">
        <f>'02. Nhap lieu tai chinh_DD'!F61</f>
        <v/>
      </c>
      <c r="G61" s="565">
        <f>'02. Nhap lieu tai chinh_DD'!G61</f>
        <v/>
      </c>
      <c r="H61" s="571" t="n"/>
      <c r="I61" s="51" t="n"/>
      <c r="J61" s="51" t="n"/>
      <c r="K61" s="51" t="n"/>
      <c r="L61" s="51" t="n"/>
      <c r="M61" s="51" t="n"/>
      <c r="N61" s="51" t="n"/>
      <c r="O61" s="51" t="n"/>
      <c r="P61" s="51" t="n"/>
      <c r="Q61" s="51" t="n"/>
      <c r="R61" s="51" t="n"/>
    </row>
    <row r="62">
      <c r="B62" s="568" t="inlineStr">
        <is>
          <t xml:space="preserve">            - Giá trị hao mòn lũy kế</t>
        </is>
      </c>
      <c r="C62" s="52" t="n"/>
      <c r="D62" s="565">
        <f>'02. Nhap lieu tai chinh_DD'!D62</f>
        <v/>
      </c>
      <c r="E62" s="565">
        <f>'02. Nhap lieu tai chinh_DD'!E62</f>
        <v/>
      </c>
      <c r="F62" s="565">
        <f>'02. Nhap lieu tai chinh_DD'!F62</f>
        <v/>
      </c>
      <c r="G62" s="565">
        <f>'02. Nhap lieu tai chinh_DD'!G62</f>
        <v/>
      </c>
      <c r="H62" s="571" t="n"/>
      <c r="I62" s="51" t="n"/>
      <c r="J62" s="51" t="n"/>
      <c r="K62" s="51" t="n"/>
      <c r="L62" s="51" t="n"/>
      <c r="M62" s="51" t="n"/>
      <c r="N62" s="51" t="n"/>
      <c r="O62" s="51" t="n"/>
      <c r="P62" s="51" t="n"/>
      <c r="Q62" s="51" t="n"/>
      <c r="R62" s="51" t="n"/>
    </row>
    <row r="63">
      <c r="B63" s="260" t="inlineStr">
        <is>
          <t xml:space="preserve">          3. Tài sản cố định vô hình</t>
        </is>
      </c>
      <c r="C63" s="52" t="n"/>
      <c r="D63" s="563">
        <f>SUM(D64:D65)</f>
        <v/>
      </c>
      <c r="E63" s="563">
        <f>SUM(E64:E65)</f>
        <v/>
      </c>
      <c r="F63" s="563">
        <f>SUM(F64:F65)</f>
        <v/>
      </c>
      <c r="G63" s="563">
        <f>SUM(G64:G65)</f>
        <v/>
      </c>
      <c r="H63" s="564" t="n"/>
      <c r="I63" s="51" t="n"/>
      <c r="J63" s="51" t="n"/>
      <c r="K63" s="51" t="n"/>
      <c r="L63" s="51" t="n"/>
      <c r="M63" s="51" t="n"/>
      <c r="N63" s="51" t="n"/>
      <c r="O63" s="51" t="n"/>
      <c r="P63" s="51" t="n"/>
      <c r="Q63" s="51" t="n"/>
      <c r="R63" s="51" t="n"/>
    </row>
    <row r="64">
      <c r="B64" s="260" t="inlineStr">
        <is>
          <t xml:space="preserve">            - Nguyên giá</t>
        </is>
      </c>
      <c r="C64" s="52" t="n"/>
      <c r="D64" s="565">
        <f>'02. Nhap lieu tai chinh_DD'!D64</f>
        <v/>
      </c>
      <c r="E64" s="565">
        <f>'02. Nhap lieu tai chinh_DD'!E64</f>
        <v/>
      </c>
      <c r="F64" s="565">
        <f>'02. Nhap lieu tai chinh_DD'!F64</f>
        <v/>
      </c>
      <c r="G64" s="565">
        <f>'02. Nhap lieu tai chinh_DD'!G64</f>
        <v/>
      </c>
      <c r="H64" s="571" t="n"/>
      <c r="I64" s="51" t="n"/>
      <c r="J64" s="51" t="n"/>
      <c r="K64" s="51" t="n"/>
      <c r="L64" s="51" t="n"/>
      <c r="M64" s="51" t="n"/>
      <c r="N64" s="51" t="n"/>
      <c r="O64" s="51" t="n"/>
      <c r="P64" s="51" t="n"/>
      <c r="Q64" s="51" t="n"/>
      <c r="R64" s="51" t="n"/>
    </row>
    <row r="65">
      <c r="B65" s="568" t="inlineStr">
        <is>
          <t xml:space="preserve">            - Giá trị hao mòn lũy kế</t>
        </is>
      </c>
      <c r="C65" s="52" t="n"/>
      <c r="D65" s="565">
        <f>'02. Nhap lieu tai chinh_DD'!D65</f>
        <v/>
      </c>
      <c r="E65" s="565">
        <f>'02. Nhap lieu tai chinh_DD'!E65</f>
        <v/>
      </c>
      <c r="F65" s="565">
        <f>'02. Nhap lieu tai chinh_DD'!F65</f>
        <v/>
      </c>
      <c r="G65" s="565">
        <f>'02. Nhap lieu tai chinh_DD'!G65</f>
        <v/>
      </c>
      <c r="H65" s="571" t="n"/>
      <c r="I65" s="51" t="n"/>
      <c r="J65" s="51" t="n"/>
      <c r="K65" s="51" t="n"/>
      <c r="L65" s="51" t="n"/>
      <c r="M65" s="51" t="n"/>
      <c r="N65" s="51" t="n"/>
      <c r="O65" s="51" t="n"/>
      <c r="P65" s="51" t="n"/>
      <c r="Q65" s="51" t="n"/>
      <c r="R65" s="51" t="n"/>
    </row>
    <row r="66">
      <c r="B66" s="260" t="inlineStr">
        <is>
          <t xml:space="preserve">          4. Chi phí xây dựng cơ bản dở dang</t>
        </is>
      </c>
      <c r="C66" s="52" t="n"/>
      <c r="D66" s="565">
        <f>'02. Nhap lieu tai chinh_DD'!D66</f>
        <v/>
      </c>
      <c r="E66" s="565">
        <f>'02. Nhap lieu tai chinh_DD'!E66</f>
        <v/>
      </c>
      <c r="F66" s="565">
        <f>'02. Nhap lieu tai chinh_DD'!F66</f>
        <v/>
      </c>
      <c r="G66" s="565">
        <f>'02. Nhap lieu tai chinh_DD'!G66</f>
        <v/>
      </c>
      <c r="H66" s="571" t="n"/>
      <c r="I66" s="51" t="n"/>
      <c r="J66" s="51" t="n"/>
      <c r="K66" s="51" t="n"/>
      <c r="L66" s="51" t="n"/>
      <c r="M66" s="51" t="n"/>
      <c r="N66" s="51" t="n"/>
      <c r="O66" s="51" t="n"/>
      <c r="P66" s="51" t="n"/>
      <c r="Q66" s="51" t="n"/>
      <c r="R66" s="51" t="n"/>
    </row>
    <row r="67">
      <c r="B67" s="562" t="inlineStr">
        <is>
          <t xml:space="preserve">    III. Bất động sản đầu tư</t>
        </is>
      </c>
      <c r="C67" s="50" t="n"/>
      <c r="D67" s="563">
        <f>SUM(D68:D69)</f>
        <v/>
      </c>
      <c r="E67" s="563">
        <f>SUM(E68:E69)</f>
        <v/>
      </c>
      <c r="F67" s="563">
        <f>SUM(F68:F69)</f>
        <v/>
      </c>
      <c r="G67" s="563">
        <f>SUM(G68:G69)</f>
        <v/>
      </c>
      <c r="H67" s="564" t="n"/>
      <c r="I67" s="51" t="n"/>
      <c r="J67" s="51" t="n"/>
      <c r="K67" s="51" t="n"/>
      <c r="L67" s="51" t="n"/>
      <c r="M67" s="51" t="n"/>
      <c r="N67" s="51" t="n"/>
      <c r="O67" s="51" t="n"/>
      <c r="P67" s="51" t="n"/>
      <c r="Q67" s="51" t="n"/>
      <c r="R67" s="51" t="n"/>
    </row>
    <row r="68">
      <c r="B68" s="260" t="inlineStr">
        <is>
          <t xml:space="preserve">            - Nguyên giá</t>
        </is>
      </c>
      <c r="C68" s="52" t="n"/>
      <c r="D68" s="565">
        <f>'02. Nhap lieu tai chinh_DD'!D68</f>
        <v/>
      </c>
      <c r="E68" s="565">
        <f>'02. Nhap lieu tai chinh_DD'!E68</f>
        <v/>
      </c>
      <c r="F68" s="565">
        <f>'02. Nhap lieu tai chinh_DD'!F68</f>
        <v/>
      </c>
      <c r="G68" s="565">
        <f>'02. Nhap lieu tai chinh_DD'!G68</f>
        <v/>
      </c>
      <c r="H68" s="571" t="n"/>
      <c r="I68" s="51" t="n"/>
      <c r="J68" s="51" t="n"/>
      <c r="K68" s="51" t="n"/>
      <c r="L68" s="51" t="n"/>
      <c r="M68" s="51" t="n"/>
      <c r="N68" s="51" t="n"/>
      <c r="O68" s="51" t="n"/>
      <c r="P68" s="51" t="n"/>
      <c r="Q68" s="51" t="n"/>
      <c r="R68" s="51" t="n"/>
    </row>
    <row r="69">
      <c r="B69" s="568" t="inlineStr">
        <is>
          <t xml:space="preserve">            - Giá trị hao mòn lũy kế</t>
        </is>
      </c>
      <c r="C69" s="52" t="n"/>
      <c r="D69" s="565">
        <f>'02. Nhap lieu tai chinh_DD'!D69</f>
        <v/>
      </c>
      <c r="E69" s="565">
        <f>'02. Nhap lieu tai chinh_DD'!E69</f>
        <v/>
      </c>
      <c r="F69" s="565">
        <f>'02. Nhap lieu tai chinh_DD'!F69</f>
        <v/>
      </c>
      <c r="G69" s="565">
        <f>'02. Nhap lieu tai chinh_DD'!G69</f>
        <v/>
      </c>
      <c r="H69" s="571" t="n"/>
      <c r="I69" s="51" t="n"/>
      <c r="J69" s="51" t="n"/>
      <c r="K69" s="51" t="n"/>
      <c r="L69" s="51" t="n"/>
      <c r="M69" s="51" t="n"/>
      <c r="N69" s="51" t="n"/>
      <c r="O69" s="51" t="n"/>
      <c r="P69" s="51" t="n"/>
      <c r="Q69" s="51" t="n"/>
      <c r="R69" s="51" t="n"/>
    </row>
    <row r="70">
      <c r="B70" s="562" t="inlineStr">
        <is>
          <t xml:space="preserve">    IV. Các khoản đầu tư tài chính dài hạn</t>
        </is>
      </c>
      <c r="C70" s="50" t="n"/>
      <c r="D70" s="563">
        <f>SUM(D71:D75)</f>
        <v/>
      </c>
      <c r="E70" s="563">
        <f>SUM(E71:E75)</f>
        <v/>
      </c>
      <c r="F70" s="563">
        <f>SUM(F71:F75)</f>
        <v/>
      </c>
      <c r="G70" s="563">
        <f>SUM(G71:G75)</f>
        <v/>
      </c>
      <c r="H70" s="564" t="n"/>
      <c r="I70" s="51" t="n"/>
      <c r="J70" s="51" t="n"/>
      <c r="K70" s="51" t="n"/>
      <c r="L70" s="51" t="n"/>
      <c r="M70" s="51" t="n"/>
      <c r="N70" s="51" t="n"/>
      <c r="O70" s="51" t="n"/>
      <c r="P70" s="51" t="n"/>
      <c r="Q70" s="51" t="n"/>
      <c r="R70" s="51" t="n"/>
    </row>
    <row r="71">
      <c r="B71" s="260" t="inlineStr">
        <is>
          <t xml:space="preserve">          1. Đầu tư vào công ty con</t>
        </is>
      </c>
      <c r="C71" s="52" t="n"/>
      <c r="D71" s="565">
        <f>'02. Nhap lieu tai chinh_DD'!D71</f>
        <v/>
      </c>
      <c r="E71" s="565">
        <f>'02. Nhap lieu tai chinh_DD'!E71</f>
        <v/>
      </c>
      <c r="F71" s="565">
        <f>'02. Nhap lieu tai chinh_DD'!F71</f>
        <v/>
      </c>
      <c r="G71" s="565">
        <f>'02. Nhap lieu tai chinh_DD'!G71</f>
        <v/>
      </c>
      <c r="H71" s="571" t="n"/>
      <c r="I71" s="51" t="n"/>
      <c r="J71" s="51" t="n"/>
      <c r="K71" s="51" t="n"/>
      <c r="L71" s="51" t="n"/>
      <c r="M71" s="51" t="n"/>
      <c r="N71" s="51" t="n"/>
      <c r="O71" s="51" t="n"/>
      <c r="P71" s="51" t="n"/>
      <c r="Q71" s="51" t="n"/>
      <c r="R71" s="51" t="n"/>
    </row>
    <row r="72">
      <c r="B72" s="260" t="inlineStr">
        <is>
          <t xml:space="preserve">          2. Đầu tư vào công ty liên kết, liên doanh</t>
        </is>
      </c>
      <c r="C72" s="52" t="n"/>
      <c r="D72" s="565">
        <f>'02. Nhap lieu tai chinh_DD'!D72</f>
        <v/>
      </c>
      <c r="E72" s="565">
        <f>'02. Nhap lieu tai chinh_DD'!E72</f>
        <v/>
      </c>
      <c r="F72" s="565">
        <f>'02. Nhap lieu tai chinh_DD'!F72</f>
        <v/>
      </c>
      <c r="G72" s="565">
        <f>'02. Nhap lieu tai chinh_DD'!G72</f>
        <v/>
      </c>
      <c r="H72" s="571" t="n"/>
      <c r="I72" s="51" t="n"/>
      <c r="J72" s="51" t="n"/>
      <c r="K72" s="51" t="n"/>
      <c r="L72" s="51" t="n"/>
      <c r="M72" s="51" t="n"/>
      <c r="N72" s="51" t="n"/>
      <c r="O72" s="51" t="n"/>
      <c r="P72" s="51" t="n"/>
      <c r="Q72" s="51" t="n"/>
      <c r="R72" s="51" t="n"/>
    </row>
    <row r="73">
      <c r="B73" s="260" t="inlineStr">
        <is>
          <t xml:space="preserve">          3. Đầu tư dài hạn khác</t>
        </is>
      </c>
      <c r="C73" s="52" t="n"/>
      <c r="D73" s="565">
        <f>'02. Nhap lieu tai chinh_DD'!D73</f>
        <v/>
      </c>
      <c r="E73" s="565">
        <f>'02. Nhap lieu tai chinh_DD'!E73</f>
        <v/>
      </c>
      <c r="F73" s="565">
        <f>'02. Nhap lieu tai chinh_DD'!F73</f>
        <v/>
      </c>
      <c r="G73" s="565">
        <f>'02. Nhap lieu tai chinh_DD'!G73</f>
        <v/>
      </c>
      <c r="H73" s="571" t="n"/>
      <c r="I73" s="51" t="n"/>
      <c r="J73" s="51" t="n"/>
      <c r="K73" s="51" t="n"/>
      <c r="L73" s="51" t="n"/>
      <c r="M73" s="51" t="n"/>
      <c r="N73" s="51" t="n"/>
      <c r="O73" s="51" t="n"/>
      <c r="P73" s="51" t="n"/>
      <c r="Q73" s="51" t="n"/>
      <c r="R73" s="51" t="n"/>
    </row>
    <row r="74">
      <c r="B74" s="568" t="inlineStr">
        <is>
          <t xml:space="preserve">          4. Dự phòng giảm giá đầu tư tài chính dài hạn</t>
        </is>
      </c>
      <c r="C74" s="52" t="n"/>
      <c r="D74" s="565">
        <f>'02. Nhap lieu tai chinh_DD'!D74</f>
        <v/>
      </c>
      <c r="E74" s="565">
        <f>'02. Nhap lieu tai chinh_DD'!E74</f>
        <v/>
      </c>
      <c r="F74" s="565">
        <f>'02. Nhap lieu tai chinh_DD'!F74</f>
        <v/>
      </c>
      <c r="G74" s="565">
        <f>'02. Nhap lieu tai chinh_DD'!G74</f>
        <v/>
      </c>
      <c r="H74" s="571" t="n"/>
      <c r="I74" s="51" t="n"/>
      <c r="J74" s="51" t="n"/>
      <c r="K74" s="51" t="n"/>
      <c r="L74" s="51" t="n"/>
      <c r="M74" s="51" t="n"/>
      <c r="N74" s="51" t="n"/>
      <c r="O74" s="51" t="n"/>
      <c r="P74" s="51" t="n"/>
      <c r="Q74" s="51" t="n"/>
      <c r="R74" s="51" t="n"/>
    </row>
    <row r="75">
      <c r="B75" s="568" t="inlineStr">
        <is>
          <t xml:space="preserve">          5. Đầu tư tài chính dài hạn (trong trường hợp báo cáo không có thông tin)</t>
        </is>
      </c>
      <c r="C75" s="52" t="n"/>
      <c r="D75" s="565">
        <f>'02. Nhap lieu tai chinh_DD'!D75</f>
        <v/>
      </c>
      <c r="E75" s="565">
        <f>'02. Nhap lieu tai chinh_DD'!E75</f>
        <v/>
      </c>
      <c r="F75" s="565">
        <f>'02. Nhap lieu tai chinh_DD'!F75</f>
        <v/>
      </c>
      <c r="G75" s="565">
        <f>'02. Nhap lieu tai chinh_DD'!G75</f>
        <v/>
      </c>
      <c r="H75" s="571" t="n"/>
      <c r="I75" s="51" t="n"/>
      <c r="J75" s="51" t="n"/>
      <c r="K75" s="51" t="n"/>
      <c r="L75" s="51" t="n"/>
      <c r="M75" s="51" t="n"/>
      <c r="N75" s="51" t="n"/>
      <c r="O75" s="51" t="n"/>
      <c r="P75" s="51" t="n"/>
      <c r="Q75" s="51" t="n"/>
      <c r="R75" s="51" t="n"/>
    </row>
    <row r="76">
      <c r="B76" s="562" t="inlineStr">
        <is>
          <t xml:space="preserve">    V. Tài sản dài hạn khác</t>
        </is>
      </c>
      <c r="C76" s="50" t="n"/>
      <c r="D76" s="563">
        <f>SUM(D77:D81)</f>
        <v/>
      </c>
      <c r="E76" s="563">
        <f>SUM(E77:E81)</f>
        <v/>
      </c>
      <c r="F76" s="563">
        <f>SUM(F77:F81)</f>
        <v/>
      </c>
      <c r="G76" s="563">
        <f>SUM(G77:G81)</f>
        <v/>
      </c>
      <c r="H76" s="564" t="n"/>
      <c r="I76" s="51" t="n"/>
      <c r="J76" s="51" t="n"/>
      <c r="K76" s="51" t="n"/>
      <c r="L76" s="51" t="n"/>
      <c r="M76" s="51" t="n"/>
      <c r="N76" s="51" t="n"/>
      <c r="O76" s="51" t="n"/>
      <c r="P76" s="51" t="n"/>
      <c r="Q76" s="51" t="n"/>
      <c r="R76" s="51" t="n"/>
    </row>
    <row r="77">
      <c r="B77" s="260" t="inlineStr">
        <is>
          <t xml:space="preserve">          1. Chi phí trả trước dài hạn</t>
        </is>
      </c>
      <c r="C77" s="52" t="n"/>
      <c r="D77" s="565">
        <f>'02. Nhap lieu tai chinh_DD'!D77</f>
        <v/>
      </c>
      <c r="E77" s="565">
        <f>'02. Nhap lieu tai chinh_DD'!E77</f>
        <v/>
      </c>
      <c r="F77" s="565">
        <f>'02. Nhap lieu tai chinh_DD'!F77</f>
        <v/>
      </c>
      <c r="G77" s="565">
        <f>'02. Nhap lieu tai chinh_DD'!G77</f>
        <v/>
      </c>
      <c r="H77" s="571" t="n"/>
      <c r="I77" s="51" t="n"/>
      <c r="J77" s="51" t="n"/>
      <c r="K77" s="51" t="n"/>
      <c r="L77" s="51" t="n"/>
      <c r="M77" s="51" t="n"/>
      <c r="N77" s="51" t="n"/>
      <c r="O77" s="51" t="n"/>
      <c r="P77" s="51" t="n"/>
      <c r="Q77" s="51" t="n"/>
      <c r="R77" s="51" t="n"/>
    </row>
    <row r="78">
      <c r="B78" s="260" t="inlineStr">
        <is>
          <t xml:space="preserve">          2. Tài sản thuế thu nhập hoãn lại</t>
        </is>
      </c>
      <c r="C78" s="52" t="n"/>
      <c r="D78" s="565">
        <f>'02. Nhap lieu tai chinh_DD'!D78</f>
        <v/>
      </c>
      <c r="E78" s="565">
        <f>'02. Nhap lieu tai chinh_DD'!E78</f>
        <v/>
      </c>
      <c r="F78" s="565">
        <f>'02. Nhap lieu tai chinh_DD'!F78</f>
        <v/>
      </c>
      <c r="G78" s="565">
        <f>'02. Nhap lieu tai chinh_DD'!G78</f>
        <v/>
      </c>
      <c r="H78" s="571" t="n"/>
      <c r="I78" s="51" t="n"/>
      <c r="J78" s="51" t="n"/>
      <c r="K78" s="51" t="n"/>
      <c r="L78" s="51" t="n"/>
      <c r="M78" s="51" t="n"/>
      <c r="N78" s="51" t="n"/>
      <c r="O78" s="51" t="n"/>
      <c r="P78" s="51" t="n"/>
      <c r="Q78" s="51" t="n"/>
      <c r="R78" s="51" t="n"/>
    </row>
    <row r="79">
      <c r="B79" s="572" t="inlineStr">
        <is>
          <t xml:space="preserve">          3. Phải thu dài hạn</t>
        </is>
      </c>
      <c r="C79" s="573" t="n"/>
      <c r="D79" s="565">
        <f>'02. Nhap lieu tai chinh_DD'!D79</f>
        <v/>
      </c>
      <c r="E79" s="565">
        <f>'02. Nhap lieu tai chinh_DD'!E79</f>
        <v/>
      </c>
      <c r="F79" s="565">
        <f>'02. Nhap lieu tai chinh_DD'!F79</f>
        <v/>
      </c>
      <c r="G79" s="565">
        <f>'02. Nhap lieu tai chinh_DD'!G79</f>
        <v/>
      </c>
      <c r="H79" s="574" t="n"/>
      <c r="I79" s="51" t="n"/>
      <c r="J79" s="51" t="n"/>
      <c r="K79" s="51" t="n"/>
      <c r="L79" s="51" t="n"/>
      <c r="M79" s="51" t="n"/>
      <c r="N79" s="51" t="n"/>
      <c r="O79" s="51" t="n"/>
      <c r="P79" s="51" t="n"/>
      <c r="Q79" s="51" t="n"/>
      <c r="R79" s="51" t="n"/>
    </row>
    <row r="80">
      <c r="B80" s="575" t="inlineStr">
        <is>
          <t xml:space="preserve">          4. Tài sản dài hạn khác</t>
        </is>
      </c>
      <c r="C80" s="576" t="n"/>
      <c r="D80" s="565">
        <f>'02. Nhap lieu tai chinh_DD'!D80</f>
        <v/>
      </c>
      <c r="E80" s="565">
        <f>'02. Nhap lieu tai chinh_DD'!E80</f>
        <v/>
      </c>
      <c r="F80" s="565">
        <f>'02. Nhap lieu tai chinh_DD'!F80</f>
        <v/>
      </c>
      <c r="G80" s="565">
        <f>'02. Nhap lieu tai chinh_DD'!G80</f>
        <v/>
      </c>
      <c r="H80" s="577" t="n"/>
      <c r="I80" s="51" t="n"/>
      <c r="J80" s="51" t="n"/>
      <c r="K80" s="51" t="n"/>
      <c r="L80" s="51" t="n"/>
      <c r="M80" s="51" t="n"/>
      <c r="N80" s="51" t="n"/>
      <c r="O80" s="51" t="n"/>
      <c r="P80" s="51" t="n"/>
      <c r="Q80" s="51" t="n"/>
      <c r="R80" s="51" t="n"/>
    </row>
    <row r="81">
      <c r="B81" s="578" t="inlineStr">
        <is>
          <t xml:space="preserve">          5. Dự phòng phải thu dài hạn khó đòi</t>
        </is>
      </c>
      <c r="C81" s="579" t="n"/>
      <c r="D81" s="565">
        <f>'02. Nhap lieu tai chinh_DD'!D81</f>
        <v/>
      </c>
      <c r="E81" s="565">
        <f>'02. Nhap lieu tai chinh_DD'!E81</f>
        <v/>
      </c>
      <c r="F81" s="565">
        <f>'02. Nhap lieu tai chinh_DD'!F81</f>
        <v/>
      </c>
      <c r="G81" s="565">
        <f>'02. Nhap lieu tai chinh_DD'!G81</f>
        <v/>
      </c>
      <c r="H81" s="580" t="n"/>
      <c r="I81" s="51" t="n"/>
      <c r="J81" s="51" t="n"/>
      <c r="K81" s="51" t="n"/>
      <c r="L81" s="51" t="n"/>
      <c r="M81" s="51" t="n"/>
      <c r="N81" s="51" t="n"/>
      <c r="O81" s="51" t="n"/>
      <c r="P81" s="51" t="n"/>
      <c r="Q81" s="51" t="n"/>
      <c r="R81" s="51" t="n"/>
    </row>
    <row r="82">
      <c r="B82" s="562" t="inlineStr">
        <is>
          <t xml:space="preserve">    VI. Lợi thế thương mại</t>
        </is>
      </c>
      <c r="C82" s="579" t="n"/>
      <c r="D82" s="565">
        <f>'02. Nhap lieu tai chinh_DD'!D82</f>
        <v/>
      </c>
      <c r="E82" s="565">
        <f>'02. Nhap lieu tai chinh_DD'!E82</f>
        <v/>
      </c>
      <c r="F82" s="565">
        <f>'02. Nhap lieu tai chinh_DD'!F82</f>
        <v/>
      </c>
      <c r="G82" s="565">
        <f>'02. Nhap lieu tai chinh_DD'!G82</f>
        <v/>
      </c>
      <c r="H82" s="580" t="n"/>
      <c r="I82" s="51" t="n"/>
      <c r="J82" s="51" t="n"/>
      <c r="K82" s="51" t="n"/>
      <c r="L82" s="51" t="n"/>
      <c r="M82" s="51" t="n"/>
      <c r="N82" s="51" t="n"/>
      <c r="O82" s="51" t="n"/>
      <c r="P82" s="51" t="n"/>
      <c r="Q82" s="51" t="n"/>
      <c r="R82" s="51" t="n"/>
    </row>
    <row r="83">
      <c r="B83" s="261" t="inlineStr">
        <is>
          <t>TỔNG NGUỒN VỐN</t>
        </is>
      </c>
      <c r="C83" s="53" t="n"/>
      <c r="D83" s="581">
        <f>D84+D112</f>
        <v/>
      </c>
      <c r="E83" s="581">
        <f>E84+E112</f>
        <v/>
      </c>
      <c r="F83" s="581">
        <f>F84+F112</f>
        <v/>
      </c>
      <c r="G83" s="581">
        <f>G84+G112</f>
        <v/>
      </c>
      <c r="H83" s="582" t="n"/>
      <c r="I83" s="51" t="n"/>
      <c r="J83" s="51" t="n"/>
      <c r="K83" s="51" t="n"/>
      <c r="L83" s="51" t="n"/>
      <c r="M83" s="51" t="n"/>
      <c r="N83" s="51" t="n"/>
      <c r="O83" s="51" t="n"/>
      <c r="P83" s="51" t="n"/>
      <c r="Q83" s="51" t="n"/>
      <c r="R83" s="51" t="n"/>
    </row>
    <row r="84">
      <c r="B84" s="562" t="inlineStr">
        <is>
          <t>A. NỢ PHẢI TRẢ</t>
        </is>
      </c>
      <c r="C84" s="50" t="n"/>
      <c r="D84" s="563">
        <f>D85+D100</f>
        <v/>
      </c>
      <c r="E84" s="563">
        <f>E85+E100</f>
        <v/>
      </c>
      <c r="F84" s="563">
        <f>F85+F100</f>
        <v/>
      </c>
      <c r="G84" s="563">
        <f>G85+G100</f>
        <v/>
      </c>
      <c r="H84" s="564" t="n"/>
      <c r="I84" s="51" t="n"/>
      <c r="J84" s="51" t="n"/>
      <c r="K84" s="51" t="n"/>
      <c r="L84" s="51" t="n"/>
      <c r="M84" s="51" t="n"/>
      <c r="N84" s="51" t="n"/>
      <c r="O84" s="51" t="n"/>
      <c r="P84" s="51" t="n"/>
      <c r="Q84" s="51" t="n"/>
      <c r="R84" s="51" t="n"/>
    </row>
    <row r="85">
      <c r="B85" s="562" t="inlineStr">
        <is>
          <t xml:space="preserve">    I. Nợ ngắn hạn</t>
        </is>
      </c>
      <c r="C85" s="50" t="n"/>
      <c r="D85" s="563">
        <f>SUM(D86:D99)-D87</f>
        <v/>
      </c>
      <c r="E85" s="563">
        <f>SUM(E86:E99)-E87</f>
        <v/>
      </c>
      <c r="F85" s="563">
        <f>SUM(F86:F99)-F87</f>
        <v/>
      </c>
      <c r="G85" s="563">
        <f>SUM(G86:G99)-G87</f>
        <v/>
      </c>
      <c r="H85" s="564" t="n"/>
      <c r="I85" s="51" t="n"/>
      <c r="J85" s="51" t="n"/>
      <c r="K85" s="51" t="n"/>
      <c r="L85" s="51" t="n"/>
      <c r="M85" s="51" t="n"/>
      <c r="N85" s="51" t="n"/>
      <c r="O85" s="51" t="n"/>
      <c r="P85" s="51" t="n"/>
      <c r="Q85" s="51" t="n"/>
      <c r="R85" s="51" t="n"/>
    </row>
    <row r="86">
      <c r="B86" s="260" t="inlineStr">
        <is>
          <t xml:space="preserve">          1. Vay và nợ ngắn hạn</t>
        </is>
      </c>
      <c r="C86" s="50" t="n"/>
      <c r="D86" s="565">
        <f>'02. Nhap lieu tai chinh_DD'!D86</f>
        <v/>
      </c>
      <c r="E86" s="565">
        <f>'02. Nhap lieu tai chinh_DD'!E86</f>
        <v/>
      </c>
      <c r="F86" s="565">
        <f>'02. Nhap lieu tai chinh_DD'!F86</f>
        <v/>
      </c>
      <c r="G86" s="565">
        <f>'02. Nhap lieu tai chinh_DD'!G86</f>
        <v/>
      </c>
      <c r="H86" s="566" t="n"/>
      <c r="I86" s="51" t="n"/>
      <c r="J86" s="51" t="n"/>
      <c r="K86" s="51" t="n"/>
      <c r="L86" s="51" t="n"/>
      <c r="M86" s="51" t="n"/>
      <c r="N86" s="51" t="n"/>
      <c r="O86" s="51" t="n"/>
      <c r="P86" s="51" t="n"/>
      <c r="Q86" s="51" t="n"/>
      <c r="R86" s="51" t="n"/>
    </row>
    <row r="87">
      <c r="B87" s="260" t="inlineStr">
        <is>
          <t xml:space="preserve">             - Tr/đó: vay MSB</t>
        </is>
      </c>
      <c r="C87" s="50" t="n"/>
      <c r="D87" s="565">
        <f>'02. Nhap lieu tai chinh_DD'!D87</f>
        <v/>
      </c>
      <c r="E87" s="565">
        <f>'02. Nhap lieu tai chinh_DD'!E87</f>
        <v/>
      </c>
      <c r="F87" s="565">
        <f>'02. Nhap lieu tai chinh_DD'!F87</f>
        <v/>
      </c>
      <c r="G87" s="565">
        <f>'02. Nhap lieu tai chinh_DD'!G87</f>
        <v/>
      </c>
      <c r="H87" s="571" t="n"/>
      <c r="I87" s="51" t="n"/>
      <c r="J87" s="51" t="n"/>
      <c r="K87" s="51" t="n"/>
      <c r="L87" s="51" t="n"/>
      <c r="M87" s="51" t="n"/>
      <c r="N87" s="51" t="n"/>
      <c r="O87" s="51" t="n"/>
      <c r="P87" s="51" t="n"/>
      <c r="Q87" s="51" t="n"/>
      <c r="R87" s="51" t="n"/>
    </row>
    <row r="88">
      <c r="B88" s="260" t="inlineStr">
        <is>
          <t xml:space="preserve">          2. Phải trả người bán</t>
        </is>
      </c>
      <c r="C88" s="50" t="n"/>
      <c r="D88" s="565">
        <f>'02. Nhap lieu tai chinh_DD'!D88</f>
        <v/>
      </c>
      <c r="E88" s="565">
        <f>'02. Nhap lieu tai chinh_DD'!E88</f>
        <v/>
      </c>
      <c r="F88" s="565">
        <f>'02. Nhap lieu tai chinh_DD'!F88</f>
        <v/>
      </c>
      <c r="G88" s="565">
        <f>'02. Nhap lieu tai chinh_DD'!G88</f>
        <v/>
      </c>
      <c r="H88" s="571" t="n"/>
      <c r="I88" s="51" t="n"/>
      <c r="J88" s="51" t="n"/>
      <c r="K88" s="51" t="n"/>
      <c r="L88" s="51" t="n"/>
      <c r="M88" s="51" t="n"/>
      <c r="N88" s="51" t="n"/>
      <c r="O88" s="51" t="n"/>
      <c r="P88" s="51" t="n"/>
      <c r="Q88" s="51" t="n"/>
      <c r="R88" s="51" t="n"/>
    </row>
    <row r="89">
      <c r="B89" s="260" t="inlineStr">
        <is>
          <t xml:space="preserve">          3. Người mua trả tiền trước</t>
        </is>
      </c>
      <c r="C89" s="50" t="n"/>
      <c r="D89" s="565">
        <f>'02. Nhap lieu tai chinh_DD'!D89</f>
        <v/>
      </c>
      <c r="E89" s="565">
        <f>'02. Nhap lieu tai chinh_DD'!E89</f>
        <v/>
      </c>
      <c r="F89" s="565">
        <f>'02. Nhap lieu tai chinh_DD'!F89</f>
        <v/>
      </c>
      <c r="G89" s="565">
        <f>'02. Nhap lieu tai chinh_DD'!G89</f>
        <v/>
      </c>
      <c r="H89" s="571" t="n"/>
      <c r="I89" s="51" t="n"/>
      <c r="J89" s="51" t="n"/>
      <c r="K89" s="51" t="n"/>
      <c r="L89" s="51" t="n"/>
      <c r="M89" s="51" t="n"/>
      <c r="N89" s="51" t="n"/>
      <c r="O89" s="51" t="n"/>
      <c r="P89" s="51" t="n"/>
      <c r="Q89" s="51" t="n"/>
      <c r="R89" s="51" t="n"/>
    </row>
    <row r="90">
      <c r="B90" s="260" t="inlineStr">
        <is>
          <t xml:space="preserve">          4. Thuế và các khoản phải nộp Nhà nước</t>
        </is>
      </c>
      <c r="C90" s="50" t="n"/>
      <c r="D90" s="565">
        <f>'02. Nhap lieu tai chinh_DD'!D90</f>
        <v/>
      </c>
      <c r="E90" s="565">
        <f>'02. Nhap lieu tai chinh_DD'!E90</f>
        <v/>
      </c>
      <c r="F90" s="565">
        <f>'02. Nhap lieu tai chinh_DD'!F90</f>
        <v/>
      </c>
      <c r="G90" s="565">
        <f>'02. Nhap lieu tai chinh_DD'!G90</f>
        <v/>
      </c>
      <c r="H90" s="571" t="n"/>
      <c r="I90" s="51" t="n"/>
      <c r="J90" s="51" t="n"/>
      <c r="K90" s="51" t="n"/>
      <c r="L90" s="51" t="n"/>
      <c r="M90" s="51" t="n"/>
      <c r="N90" s="51" t="n"/>
      <c r="O90" s="51" t="n"/>
      <c r="P90" s="51" t="n"/>
      <c r="Q90" s="51" t="n"/>
      <c r="R90" s="51" t="n"/>
    </row>
    <row r="91">
      <c r="B91" s="260" t="inlineStr">
        <is>
          <t xml:space="preserve">          5. Phải trả người lao động</t>
        </is>
      </c>
      <c r="C91" s="50" t="n"/>
      <c r="D91" s="565">
        <f>'02. Nhap lieu tai chinh_DD'!D91</f>
        <v/>
      </c>
      <c r="E91" s="565">
        <f>'02. Nhap lieu tai chinh_DD'!E91</f>
        <v/>
      </c>
      <c r="F91" s="565">
        <f>'02. Nhap lieu tai chinh_DD'!F91</f>
        <v/>
      </c>
      <c r="G91" s="565">
        <f>'02. Nhap lieu tai chinh_DD'!G91</f>
        <v/>
      </c>
      <c r="H91" s="571" t="n"/>
      <c r="I91" s="51" t="n"/>
      <c r="J91" s="51" t="n"/>
      <c r="K91" s="51" t="n"/>
      <c r="L91" s="51" t="n"/>
      <c r="M91" s="51" t="n"/>
      <c r="N91" s="51" t="n"/>
      <c r="O91" s="51" t="n"/>
      <c r="P91" s="51" t="n"/>
      <c r="Q91" s="51" t="n"/>
      <c r="R91" s="51" t="n"/>
    </row>
    <row r="92">
      <c r="B92" s="260" t="inlineStr">
        <is>
          <t xml:space="preserve">          6. Chi phí phải trả</t>
        </is>
      </c>
      <c r="C92" s="50" t="n"/>
      <c r="D92" s="565">
        <f>'02. Nhap lieu tai chinh_DD'!D92</f>
        <v/>
      </c>
      <c r="E92" s="565">
        <f>'02. Nhap lieu tai chinh_DD'!E92</f>
        <v/>
      </c>
      <c r="F92" s="565">
        <f>'02. Nhap lieu tai chinh_DD'!F92</f>
        <v/>
      </c>
      <c r="G92" s="565">
        <f>'02. Nhap lieu tai chinh_DD'!G92</f>
        <v/>
      </c>
      <c r="H92" s="571" t="n"/>
      <c r="I92" s="51" t="n"/>
      <c r="J92" s="51" t="n"/>
      <c r="K92" s="51" t="n"/>
      <c r="L92" s="51" t="n"/>
      <c r="M92" s="51" t="n"/>
      <c r="N92" s="51" t="n"/>
      <c r="O92" s="51" t="n"/>
      <c r="P92" s="51" t="n"/>
      <c r="Q92" s="51" t="n"/>
      <c r="R92" s="51" t="n"/>
    </row>
    <row r="93">
      <c r="B93" s="260" t="inlineStr">
        <is>
          <t xml:space="preserve">          7. Phải trả nội bộ</t>
        </is>
      </c>
      <c r="C93" s="52" t="n"/>
      <c r="D93" s="565">
        <f>'02. Nhap lieu tai chinh_DD'!D93</f>
        <v/>
      </c>
      <c r="E93" s="565">
        <f>'02. Nhap lieu tai chinh_DD'!E93</f>
        <v/>
      </c>
      <c r="F93" s="565">
        <f>'02. Nhap lieu tai chinh_DD'!F93</f>
        <v/>
      </c>
      <c r="G93" s="565">
        <f>'02. Nhap lieu tai chinh_DD'!G93</f>
        <v/>
      </c>
      <c r="H93" s="566" t="n"/>
      <c r="I93" s="45" t="n"/>
      <c r="J93" s="45" t="n"/>
      <c r="K93" s="45" t="n"/>
      <c r="L93" s="45" t="n"/>
      <c r="M93" s="45" t="n"/>
      <c r="N93" s="45" t="n"/>
      <c r="O93" s="45" t="n"/>
      <c r="P93" s="45" t="n"/>
      <c r="Q93" s="45" t="n"/>
      <c r="R93" s="45" t="n"/>
    </row>
    <row r="94">
      <c r="B94" s="260" t="inlineStr">
        <is>
          <t xml:space="preserve">          8. Phải trả theo tiến độ kế hoạch hợp đồng xây dựng</t>
        </is>
      </c>
      <c r="C94" s="52" t="n"/>
      <c r="D94" s="565">
        <f>'02. Nhap lieu tai chinh_DD'!D94</f>
        <v/>
      </c>
      <c r="E94" s="565">
        <f>'02. Nhap lieu tai chinh_DD'!E94</f>
        <v/>
      </c>
      <c r="F94" s="565">
        <f>'02. Nhap lieu tai chinh_DD'!F94</f>
        <v/>
      </c>
      <c r="G94" s="565">
        <f>'02. Nhap lieu tai chinh_DD'!G94</f>
        <v/>
      </c>
      <c r="H94" s="566" t="n"/>
      <c r="I94" s="45" t="n"/>
      <c r="J94" s="45" t="n"/>
      <c r="K94" s="45" t="n"/>
      <c r="L94" s="45" t="n"/>
      <c r="M94" s="45" t="n"/>
      <c r="N94" s="45" t="n"/>
      <c r="O94" s="45" t="n"/>
      <c r="P94" s="45" t="n"/>
      <c r="Q94" s="45" t="n"/>
      <c r="R94" s="45" t="n"/>
    </row>
    <row r="95">
      <c r="B95" s="260" t="inlineStr">
        <is>
          <t xml:space="preserve">          9. Các khoản phải trả, phải nộp ngắn hạn khác</t>
        </is>
      </c>
      <c r="C95" s="52" t="n"/>
      <c r="D95" s="565">
        <f>'02. Nhap lieu tai chinh_DD'!D95</f>
        <v/>
      </c>
      <c r="E95" s="565">
        <f>'02. Nhap lieu tai chinh_DD'!E95</f>
        <v/>
      </c>
      <c r="F95" s="565">
        <f>'02. Nhap lieu tai chinh_DD'!F95</f>
        <v/>
      </c>
      <c r="G95" s="565">
        <f>'02. Nhap lieu tai chinh_DD'!G95</f>
        <v/>
      </c>
      <c r="H95" s="566" t="n"/>
      <c r="I95" s="45" t="n"/>
      <c r="J95" s="45" t="n"/>
      <c r="K95" s="45" t="n"/>
      <c r="L95" s="45" t="n"/>
      <c r="M95" s="45" t="n"/>
      <c r="N95" s="45" t="n"/>
      <c r="O95" s="45" t="n"/>
      <c r="P95" s="45" t="n"/>
      <c r="Q95" s="45" t="n"/>
      <c r="R95" s="45" t="n"/>
    </row>
    <row r="96">
      <c r="B96" s="260" t="inlineStr">
        <is>
          <t xml:space="preserve">          10. Dự phòng phải trả ngắn hạn</t>
        </is>
      </c>
      <c r="C96" s="52" t="n"/>
      <c r="D96" s="565">
        <f>'02. Nhap lieu tai chinh_DD'!D96</f>
        <v/>
      </c>
      <c r="E96" s="565">
        <f>'02. Nhap lieu tai chinh_DD'!E96</f>
        <v/>
      </c>
      <c r="F96" s="565">
        <f>'02. Nhap lieu tai chinh_DD'!F96</f>
        <v/>
      </c>
      <c r="G96" s="565">
        <f>'02. Nhap lieu tai chinh_DD'!G96</f>
        <v/>
      </c>
      <c r="H96" s="566" t="n"/>
      <c r="I96" s="45" t="n"/>
      <c r="J96" s="45" t="n"/>
      <c r="K96" s="45" t="n"/>
      <c r="L96" s="45" t="n"/>
      <c r="M96" s="45" t="n"/>
      <c r="N96" s="45" t="n"/>
      <c r="O96" s="45" t="n"/>
      <c r="P96" s="45" t="n"/>
      <c r="Q96" s="45" t="n"/>
      <c r="R96" s="45" t="n"/>
    </row>
    <row r="97">
      <c r="B97" s="260" t="inlineStr">
        <is>
          <t xml:space="preserve">          11. Quỹ khen thưởng, phúc lợi</t>
        </is>
      </c>
      <c r="C97" s="52" t="n"/>
      <c r="D97" s="565">
        <f>'02. Nhap lieu tai chinh_DD'!D97</f>
        <v/>
      </c>
      <c r="E97" s="565">
        <f>'02. Nhap lieu tai chinh_DD'!E97</f>
        <v/>
      </c>
      <c r="F97" s="565">
        <f>'02. Nhap lieu tai chinh_DD'!F97</f>
        <v/>
      </c>
      <c r="G97" s="565">
        <f>'02. Nhap lieu tai chinh_DD'!G97</f>
        <v/>
      </c>
      <c r="H97" s="566" t="n"/>
      <c r="I97" s="45" t="n"/>
      <c r="J97" s="45" t="n"/>
      <c r="K97" s="45" t="n"/>
      <c r="L97" s="45" t="n"/>
      <c r="M97" s="45" t="n"/>
      <c r="N97" s="45" t="n"/>
      <c r="O97" s="45" t="n"/>
      <c r="P97" s="45" t="n"/>
      <c r="Q97" s="45" t="n"/>
      <c r="R97" s="45" t="n"/>
    </row>
    <row r="98">
      <c r="B98" s="260" t="inlineStr">
        <is>
          <t xml:space="preserve">          12. Giao dịch mua bán lại trái phiếu chính phủ</t>
        </is>
      </c>
      <c r="C98" s="52" t="n"/>
      <c r="D98" s="565">
        <f>'02. Nhap lieu tai chinh_DD'!D98</f>
        <v/>
      </c>
      <c r="E98" s="565">
        <f>'02. Nhap lieu tai chinh_DD'!E98</f>
        <v/>
      </c>
      <c r="F98" s="565">
        <f>'02. Nhap lieu tai chinh_DD'!F98</f>
        <v/>
      </c>
      <c r="G98" s="565">
        <f>'02. Nhap lieu tai chinh_DD'!G98</f>
        <v/>
      </c>
      <c r="H98" s="566" t="n"/>
      <c r="I98" s="45" t="n"/>
      <c r="J98" s="45" t="n"/>
      <c r="K98" s="45" t="n"/>
      <c r="L98" s="45" t="n"/>
      <c r="M98" s="45" t="n"/>
      <c r="N98" s="45" t="n"/>
      <c r="O98" s="45" t="n"/>
      <c r="P98" s="45" t="n"/>
      <c r="Q98" s="45" t="n"/>
      <c r="R98" s="45" t="n"/>
    </row>
    <row r="99">
      <c r="B99" s="260" t="inlineStr">
        <is>
          <t xml:space="preserve">          13. Doanh thu chưa thực hiện ngắn hạn</t>
        </is>
      </c>
      <c r="C99" s="52" t="n"/>
      <c r="D99" s="565">
        <f>'02. Nhap lieu tai chinh_DD'!D99</f>
        <v/>
      </c>
      <c r="E99" s="565">
        <f>'02. Nhap lieu tai chinh_DD'!E99</f>
        <v/>
      </c>
      <c r="F99" s="565">
        <f>'02. Nhap lieu tai chinh_DD'!F99</f>
        <v/>
      </c>
      <c r="G99" s="565">
        <f>'02. Nhap lieu tai chinh_DD'!G99</f>
        <v/>
      </c>
      <c r="H99" s="566" t="n"/>
      <c r="I99" s="45" t="n"/>
      <c r="J99" s="45" t="n"/>
      <c r="K99" s="45" t="n"/>
      <c r="L99" s="45" t="n"/>
      <c r="M99" s="45" t="n"/>
      <c r="N99" s="45" t="n"/>
      <c r="O99" s="45" t="n"/>
      <c r="P99" s="45" t="n"/>
      <c r="Q99" s="45" t="n"/>
      <c r="R99" s="45" t="n"/>
    </row>
    <row r="100">
      <c r="B100" s="562" t="inlineStr">
        <is>
          <t xml:space="preserve">     II. Nợ dài hạn</t>
        </is>
      </c>
      <c r="C100" s="50" t="n"/>
      <c r="D100" s="563">
        <f>SUM(D101:D111)-D105</f>
        <v/>
      </c>
      <c r="E100" s="563">
        <f>SUM(E101:E111)-E105</f>
        <v/>
      </c>
      <c r="F100" s="563">
        <f>SUM(F101:F111)-F105</f>
        <v/>
      </c>
      <c r="G100" s="563">
        <f>SUM(G101:G111)-G105</f>
        <v/>
      </c>
      <c r="H100" s="564" t="n"/>
      <c r="I100" s="51" t="n"/>
      <c r="J100" s="51" t="n"/>
      <c r="K100" s="51" t="n"/>
      <c r="L100" s="51" t="n"/>
      <c r="M100" s="51" t="n"/>
      <c r="N100" s="51" t="n"/>
      <c r="O100" s="51" t="n"/>
      <c r="P100" s="51" t="n"/>
      <c r="Q100" s="51" t="n"/>
      <c r="R100" s="51" t="n"/>
    </row>
    <row r="101">
      <c r="B101" s="260" t="inlineStr">
        <is>
          <t xml:space="preserve">          1. Phải trả dài hạn người bán</t>
        </is>
      </c>
      <c r="C101" s="50" t="n"/>
      <c r="D101" s="565">
        <f>'02. Nhap lieu tai chinh_DD'!D101</f>
        <v/>
      </c>
      <c r="E101" s="565">
        <f>'02. Nhap lieu tai chinh_DD'!E101</f>
        <v/>
      </c>
      <c r="F101" s="565">
        <f>'02. Nhap lieu tai chinh_DD'!F101</f>
        <v/>
      </c>
      <c r="G101" s="565">
        <f>'02. Nhap lieu tai chinh_DD'!G101</f>
        <v/>
      </c>
      <c r="H101" s="571" t="n"/>
      <c r="I101" s="51" t="n"/>
      <c r="J101" s="51" t="n"/>
      <c r="K101" s="51" t="n"/>
      <c r="L101" s="51" t="n"/>
      <c r="M101" s="51" t="n"/>
      <c r="N101" s="51" t="n"/>
      <c r="O101" s="51" t="n"/>
      <c r="P101" s="51" t="n"/>
      <c r="Q101" s="51" t="n"/>
      <c r="R101" s="51" t="n"/>
    </row>
    <row r="102">
      <c r="B102" s="260" t="inlineStr">
        <is>
          <t xml:space="preserve">          2. Phải trả dài hạn nội bộ</t>
        </is>
      </c>
      <c r="C102" s="50" t="n"/>
      <c r="D102" s="565">
        <f>'02. Nhap lieu tai chinh_DD'!D102</f>
        <v/>
      </c>
      <c r="E102" s="565">
        <f>'02. Nhap lieu tai chinh_DD'!E102</f>
        <v/>
      </c>
      <c r="F102" s="565">
        <f>'02. Nhap lieu tai chinh_DD'!F102</f>
        <v/>
      </c>
      <c r="G102" s="565">
        <f>'02. Nhap lieu tai chinh_DD'!G102</f>
        <v/>
      </c>
      <c r="H102" s="571" t="n"/>
      <c r="I102" s="51" t="n"/>
      <c r="J102" s="51" t="n"/>
      <c r="K102" s="51" t="n"/>
      <c r="L102" s="51" t="n"/>
      <c r="M102" s="51" t="n"/>
      <c r="N102" s="51" t="n"/>
      <c r="O102" s="51" t="n"/>
      <c r="P102" s="51" t="n"/>
      <c r="Q102" s="51" t="n"/>
      <c r="R102" s="51" t="n"/>
    </row>
    <row r="103">
      <c r="B103" s="260" t="inlineStr">
        <is>
          <t xml:space="preserve">          3. Phải trả dài hạn khác</t>
        </is>
      </c>
      <c r="C103" s="50" t="n"/>
      <c r="D103" s="565">
        <f>'02. Nhap lieu tai chinh_DD'!D103</f>
        <v/>
      </c>
      <c r="E103" s="565">
        <f>'02. Nhap lieu tai chinh_DD'!E103</f>
        <v/>
      </c>
      <c r="F103" s="565">
        <f>'02. Nhap lieu tai chinh_DD'!F103</f>
        <v/>
      </c>
      <c r="G103" s="565">
        <f>'02. Nhap lieu tai chinh_DD'!G103</f>
        <v/>
      </c>
      <c r="H103" s="571" t="n"/>
      <c r="I103" s="51" t="n"/>
      <c r="J103" s="51" t="n"/>
      <c r="K103" s="51" t="n"/>
      <c r="L103" s="51" t="n"/>
      <c r="M103" s="51" t="n"/>
      <c r="N103" s="51" t="n"/>
      <c r="O103" s="51" t="n"/>
      <c r="P103" s="51" t="n"/>
      <c r="Q103" s="51" t="n"/>
      <c r="R103" s="51" t="n"/>
    </row>
    <row r="104">
      <c r="B104" s="260" t="inlineStr">
        <is>
          <t xml:space="preserve">          4. Vay và nợ dài hạn</t>
        </is>
      </c>
      <c r="C104" s="50" t="n"/>
      <c r="D104" s="565">
        <f>'02. Nhap lieu tai chinh_DD'!D104</f>
        <v/>
      </c>
      <c r="E104" s="565">
        <f>'02. Nhap lieu tai chinh_DD'!E104</f>
        <v/>
      </c>
      <c r="F104" s="565">
        <f>'02. Nhap lieu tai chinh_DD'!F104</f>
        <v/>
      </c>
      <c r="G104" s="565">
        <f>'02. Nhap lieu tai chinh_DD'!G104</f>
        <v/>
      </c>
      <c r="H104" s="566" t="n"/>
      <c r="I104" s="51" t="n"/>
      <c r="J104" s="51" t="n"/>
      <c r="K104" s="51" t="n"/>
      <c r="L104" s="51" t="n"/>
      <c r="M104" s="51" t="n"/>
      <c r="N104" s="51" t="n"/>
      <c r="O104" s="51" t="n"/>
      <c r="P104" s="51" t="n"/>
      <c r="Q104" s="51" t="n"/>
      <c r="R104" s="51" t="n"/>
    </row>
    <row r="105">
      <c r="B105" s="260" t="inlineStr">
        <is>
          <t xml:space="preserve">             - Tr/đó: vay MSB</t>
        </is>
      </c>
      <c r="C105" s="50" t="n"/>
      <c r="D105" s="565">
        <f>'02. Nhap lieu tai chinh_DD'!D105</f>
        <v/>
      </c>
      <c r="E105" s="565">
        <f>'02. Nhap lieu tai chinh_DD'!E105</f>
        <v/>
      </c>
      <c r="F105" s="565">
        <f>'02. Nhap lieu tai chinh_DD'!F105</f>
        <v/>
      </c>
      <c r="G105" s="565">
        <f>'02. Nhap lieu tai chinh_DD'!G105</f>
        <v/>
      </c>
      <c r="H105" s="571" t="n"/>
      <c r="I105" s="51" t="n"/>
      <c r="J105" s="51" t="n"/>
      <c r="K105" s="51" t="n"/>
      <c r="L105" s="51" t="n"/>
      <c r="M105" s="51" t="n"/>
      <c r="N105" s="51" t="n"/>
      <c r="O105" s="51" t="n"/>
      <c r="P105" s="51" t="n"/>
      <c r="Q105" s="51" t="n"/>
      <c r="R105" s="51" t="n"/>
    </row>
    <row r="106">
      <c r="B106" s="260" t="inlineStr">
        <is>
          <t xml:space="preserve">          5. Thuế thu nhập hoãn lại phải trả</t>
        </is>
      </c>
      <c r="C106" s="52" t="n"/>
      <c r="D106" s="565">
        <f>'02. Nhap lieu tai chinh_DD'!D106</f>
        <v/>
      </c>
      <c r="E106" s="565">
        <f>'02. Nhap lieu tai chinh_DD'!E106</f>
        <v/>
      </c>
      <c r="F106" s="565">
        <f>'02. Nhap lieu tai chinh_DD'!F106</f>
        <v/>
      </c>
      <c r="G106" s="565">
        <f>'02. Nhap lieu tai chinh_DD'!G106</f>
        <v/>
      </c>
      <c r="H106" s="566" t="n"/>
      <c r="I106" s="45" t="n"/>
      <c r="J106" s="45" t="n"/>
      <c r="K106" s="45" t="n"/>
      <c r="L106" s="45" t="n"/>
      <c r="M106" s="45" t="n"/>
      <c r="N106" s="45" t="n"/>
      <c r="O106" s="45" t="n"/>
      <c r="P106" s="45" t="n"/>
      <c r="Q106" s="45" t="n"/>
      <c r="R106" s="45" t="n"/>
    </row>
    <row r="107">
      <c r="B107" s="260" t="inlineStr">
        <is>
          <t xml:space="preserve">          6. Dự phòng trợ cấp mất việc làm</t>
        </is>
      </c>
      <c r="C107" s="52" t="n"/>
      <c r="D107" s="565">
        <f>'02. Nhap lieu tai chinh_DD'!D107</f>
        <v/>
      </c>
      <c r="E107" s="565">
        <f>'02. Nhap lieu tai chinh_DD'!E107</f>
        <v/>
      </c>
      <c r="F107" s="565">
        <f>'02. Nhap lieu tai chinh_DD'!F107</f>
        <v/>
      </c>
      <c r="G107" s="565">
        <f>'02. Nhap lieu tai chinh_DD'!G107</f>
        <v/>
      </c>
      <c r="H107" s="566" t="n"/>
      <c r="I107" s="45" t="n"/>
      <c r="J107" s="45" t="n"/>
      <c r="K107" s="45" t="n"/>
      <c r="L107" s="45" t="n"/>
      <c r="M107" s="45" t="n"/>
      <c r="N107" s="45" t="n"/>
      <c r="O107" s="45" t="n"/>
      <c r="P107" s="45" t="n"/>
      <c r="Q107" s="45" t="n"/>
      <c r="R107" s="45" t="n"/>
    </row>
    <row r="108">
      <c r="B108" s="260" t="inlineStr">
        <is>
          <t xml:space="preserve">          7. Dự phòng phải trả người bán</t>
        </is>
      </c>
      <c r="C108" s="52" t="n"/>
      <c r="D108" s="565">
        <f>'02. Nhap lieu tai chinh_DD'!D108</f>
        <v/>
      </c>
      <c r="E108" s="565">
        <f>'02. Nhap lieu tai chinh_DD'!E108</f>
        <v/>
      </c>
      <c r="F108" s="565">
        <f>'02. Nhap lieu tai chinh_DD'!F108</f>
        <v/>
      </c>
      <c r="G108" s="565">
        <f>'02. Nhap lieu tai chinh_DD'!G108</f>
        <v/>
      </c>
      <c r="H108" s="566" t="n"/>
      <c r="I108" s="45" t="n"/>
      <c r="J108" s="45" t="n"/>
      <c r="K108" s="45" t="n"/>
      <c r="L108" s="45" t="n"/>
      <c r="M108" s="45" t="n"/>
      <c r="N108" s="45" t="n"/>
      <c r="O108" s="45" t="n"/>
      <c r="P108" s="45" t="n"/>
      <c r="Q108" s="45" t="n"/>
      <c r="R108" s="45" t="n"/>
    </row>
    <row r="109">
      <c r="B109" s="260" t="inlineStr">
        <is>
          <t xml:space="preserve">          8. Doanh thu chưa thực hiện</t>
        </is>
      </c>
      <c r="C109" s="52" t="n"/>
      <c r="D109" s="565">
        <f>'02. Nhap lieu tai chinh_DD'!D109</f>
        <v/>
      </c>
      <c r="E109" s="565">
        <f>'02. Nhap lieu tai chinh_DD'!E109</f>
        <v/>
      </c>
      <c r="F109" s="565">
        <f>'02. Nhap lieu tai chinh_DD'!F109</f>
        <v/>
      </c>
      <c r="G109" s="565">
        <f>'02. Nhap lieu tai chinh_DD'!G109</f>
        <v/>
      </c>
      <c r="H109" s="566" t="n"/>
      <c r="I109" s="45" t="n"/>
      <c r="J109" s="45" t="n"/>
      <c r="K109" s="45" t="n"/>
      <c r="L109" s="45" t="n"/>
      <c r="M109" s="45" t="n"/>
      <c r="N109" s="45" t="n"/>
      <c r="O109" s="45" t="n"/>
      <c r="P109" s="45" t="n"/>
      <c r="Q109" s="45" t="n"/>
      <c r="R109" s="45" t="n"/>
    </row>
    <row r="110">
      <c r="B110" s="260" t="inlineStr">
        <is>
          <t xml:space="preserve">          9. Quỹ phát triển khoa học công nghệ</t>
        </is>
      </c>
      <c r="C110" s="52" t="n"/>
      <c r="D110" s="565">
        <f>'02. Nhap lieu tai chinh_DD'!D110</f>
        <v/>
      </c>
      <c r="E110" s="565">
        <f>'02. Nhap lieu tai chinh_DD'!E110</f>
        <v/>
      </c>
      <c r="F110" s="565">
        <f>'02. Nhap lieu tai chinh_DD'!F110</f>
        <v/>
      </c>
      <c r="G110" s="565">
        <f>'02. Nhap lieu tai chinh_DD'!G110</f>
        <v/>
      </c>
      <c r="H110" s="566" t="n"/>
      <c r="I110" s="45" t="n"/>
      <c r="J110" s="45" t="n"/>
      <c r="K110" s="45" t="n"/>
      <c r="L110" s="45" t="n"/>
      <c r="M110" s="45" t="n"/>
      <c r="N110" s="45" t="n"/>
      <c r="O110" s="45" t="n"/>
      <c r="P110" s="45" t="n"/>
      <c r="Q110" s="45" t="n"/>
      <c r="R110" s="45" t="n"/>
    </row>
    <row r="111">
      <c r="B111" s="260" t="inlineStr">
        <is>
          <t xml:space="preserve">         10. Phải trả, phải nộp dài hạn khác</t>
        </is>
      </c>
      <c r="C111" s="52" t="n"/>
      <c r="D111" s="565">
        <f>'02. Nhap lieu tai chinh_DD'!D111</f>
        <v/>
      </c>
      <c r="E111" s="565">
        <f>'02. Nhap lieu tai chinh_DD'!E111</f>
        <v/>
      </c>
      <c r="F111" s="565">
        <f>'02. Nhap lieu tai chinh_DD'!F111</f>
        <v/>
      </c>
      <c r="G111" s="565">
        <f>'02. Nhap lieu tai chinh_DD'!G111</f>
        <v/>
      </c>
      <c r="H111" s="566" t="n"/>
      <c r="I111" s="45" t="n"/>
      <c r="J111" s="45" t="n"/>
      <c r="K111" s="45" t="n"/>
      <c r="L111" s="45" t="n"/>
      <c r="M111" s="45" t="n"/>
      <c r="N111" s="45" t="n"/>
      <c r="O111" s="45" t="n"/>
      <c r="P111" s="45" t="n"/>
      <c r="Q111" s="45" t="n"/>
      <c r="R111" s="45" t="n"/>
    </row>
    <row r="112">
      <c r="B112" s="562" t="inlineStr">
        <is>
          <t>B. VỐN CHỦ SỞ HỮU</t>
        </is>
      </c>
      <c r="C112" s="50" t="n"/>
      <c r="D112" s="563">
        <f>D113+D126</f>
        <v/>
      </c>
      <c r="E112" s="563">
        <f>E113+E126</f>
        <v/>
      </c>
      <c r="F112" s="563">
        <f>F113+F126</f>
        <v/>
      </c>
      <c r="G112" s="563">
        <f>G113+G126</f>
        <v/>
      </c>
      <c r="H112" s="564" t="n"/>
      <c r="I112" s="51" t="n"/>
      <c r="J112" s="51" t="n"/>
      <c r="K112" s="51" t="n"/>
      <c r="L112" s="51" t="n"/>
      <c r="M112" s="51" t="n"/>
      <c r="N112" s="51" t="n"/>
      <c r="O112" s="51" t="n"/>
      <c r="P112" s="51" t="n"/>
      <c r="Q112" s="51" t="n"/>
      <c r="R112" s="51" t="n"/>
    </row>
    <row r="113">
      <c r="B113" s="562" t="inlineStr">
        <is>
          <t xml:space="preserve">    I. Vốn chủ sở hữu</t>
        </is>
      </c>
      <c r="C113" s="583" t="n"/>
      <c r="D113" s="584">
        <f>SUM(D114:D125)</f>
        <v/>
      </c>
      <c r="E113" s="584">
        <f>SUM(E114:E125)</f>
        <v/>
      </c>
      <c r="F113" s="584">
        <f>SUM(F114:F125)</f>
        <v/>
      </c>
      <c r="G113" s="584">
        <f>SUM(G114:G125)</f>
        <v/>
      </c>
      <c r="H113" s="585" t="n"/>
      <c r="I113" s="51" t="n"/>
      <c r="J113" s="51" t="n"/>
      <c r="K113" s="51" t="n"/>
      <c r="L113" s="51" t="n"/>
      <c r="M113" s="51" t="n"/>
      <c r="N113" s="51" t="n"/>
      <c r="O113" s="51" t="n"/>
      <c r="P113" s="51" t="n"/>
      <c r="Q113" s="51" t="n"/>
      <c r="R113" s="51" t="n"/>
    </row>
    <row r="114">
      <c r="B114" s="260" t="inlineStr">
        <is>
          <t xml:space="preserve">          1. Vốn đầu tư của chủ sở hữu</t>
        </is>
      </c>
      <c r="C114" s="583" t="n"/>
      <c r="D114" s="565">
        <f>'02. Nhap lieu tai chinh_DD'!D114</f>
        <v/>
      </c>
      <c r="E114" s="565">
        <f>'02. Nhap lieu tai chinh_DD'!E114</f>
        <v/>
      </c>
      <c r="F114" s="565">
        <f>'02. Nhap lieu tai chinh_DD'!F114</f>
        <v/>
      </c>
      <c r="G114" s="565">
        <f>'02. Nhap lieu tai chinh_DD'!G114</f>
        <v/>
      </c>
      <c r="H114" s="586" t="n"/>
      <c r="I114" s="51" t="n"/>
      <c r="J114" s="51" t="n"/>
      <c r="K114" s="51" t="n"/>
      <c r="L114" s="51" t="n"/>
      <c r="M114" s="51" t="n"/>
      <c r="N114" s="51" t="n"/>
      <c r="O114" s="51" t="n"/>
      <c r="P114" s="51" t="n"/>
      <c r="Q114" s="51" t="n"/>
      <c r="R114" s="51" t="n"/>
    </row>
    <row r="115">
      <c r="B115" s="260" t="inlineStr">
        <is>
          <t xml:space="preserve">          2. Thặng dư vốn cổ phần</t>
        </is>
      </c>
      <c r="C115" s="583" t="n"/>
      <c r="D115" s="565">
        <f>'02. Nhap lieu tai chinh_DD'!D115</f>
        <v/>
      </c>
      <c r="E115" s="565">
        <f>'02. Nhap lieu tai chinh_DD'!E115</f>
        <v/>
      </c>
      <c r="F115" s="565">
        <f>'02. Nhap lieu tai chinh_DD'!F115</f>
        <v/>
      </c>
      <c r="G115" s="565">
        <f>'02. Nhap lieu tai chinh_DD'!G115</f>
        <v/>
      </c>
      <c r="H115" s="574" t="n"/>
      <c r="I115" s="51" t="n"/>
      <c r="J115" s="51" t="n"/>
      <c r="K115" s="51" t="n"/>
      <c r="L115" s="51" t="n"/>
      <c r="M115" s="51" t="n"/>
      <c r="N115" s="51" t="n"/>
      <c r="O115" s="51" t="n"/>
      <c r="P115" s="51" t="n"/>
      <c r="Q115" s="51" t="n"/>
      <c r="R115" s="51" t="n"/>
    </row>
    <row r="116">
      <c r="B116" s="260" t="inlineStr">
        <is>
          <t xml:space="preserve">          3. Vốn khác của chủ sở hữu</t>
        </is>
      </c>
      <c r="C116" s="583" t="n"/>
      <c r="D116" s="565">
        <f>'02. Nhap lieu tai chinh_DD'!D116</f>
        <v/>
      </c>
      <c r="E116" s="565">
        <f>'02. Nhap lieu tai chinh_DD'!E116</f>
        <v/>
      </c>
      <c r="F116" s="565">
        <f>'02. Nhap lieu tai chinh_DD'!F116</f>
        <v/>
      </c>
      <c r="G116" s="565">
        <f>'02. Nhap lieu tai chinh_DD'!G116</f>
        <v/>
      </c>
      <c r="H116" s="574" t="n"/>
      <c r="I116" s="51" t="n"/>
      <c r="J116" s="51" t="n"/>
      <c r="K116" s="51" t="n"/>
      <c r="L116" s="51" t="n"/>
      <c r="M116" s="51" t="n"/>
      <c r="N116" s="51" t="n"/>
      <c r="O116" s="51" t="n"/>
      <c r="P116" s="51" t="n"/>
      <c r="Q116" s="51" t="n"/>
      <c r="R116" s="51" t="n"/>
    </row>
    <row r="117">
      <c r="B117" s="587" t="inlineStr">
        <is>
          <t xml:space="preserve">          4. Cổ phiếu quỹ</t>
        </is>
      </c>
      <c r="C117" s="583" t="n"/>
      <c r="D117" s="565">
        <f>'02. Nhap lieu tai chinh_DD'!D117</f>
        <v/>
      </c>
      <c r="E117" s="565">
        <f>'02. Nhap lieu tai chinh_DD'!E117</f>
        <v/>
      </c>
      <c r="F117" s="565">
        <f>'02. Nhap lieu tai chinh_DD'!F117</f>
        <v/>
      </c>
      <c r="G117" s="565">
        <f>'02. Nhap lieu tai chinh_DD'!G117</f>
        <v/>
      </c>
      <c r="H117" s="574" t="n"/>
      <c r="I117" s="51" t="n"/>
      <c r="J117" s="51" t="n"/>
      <c r="K117" s="51" t="n"/>
      <c r="L117" s="51" t="n"/>
      <c r="M117" s="51" t="n"/>
      <c r="N117" s="51" t="n"/>
      <c r="O117" s="51" t="n"/>
      <c r="P117" s="51" t="n"/>
      <c r="Q117" s="51" t="n"/>
      <c r="R117" s="51" t="n"/>
    </row>
    <row r="118">
      <c r="B118" s="587" t="inlineStr">
        <is>
          <t xml:space="preserve">          5. Chênh lệch đánh giá lại tài sản</t>
        </is>
      </c>
      <c r="C118" s="583" t="n"/>
      <c r="D118" s="565">
        <f>'02. Nhap lieu tai chinh_DD'!D118</f>
        <v/>
      </c>
      <c r="E118" s="565">
        <f>'02. Nhap lieu tai chinh_DD'!E118</f>
        <v/>
      </c>
      <c r="F118" s="565">
        <f>'02. Nhap lieu tai chinh_DD'!F118</f>
        <v/>
      </c>
      <c r="G118" s="565">
        <f>'02. Nhap lieu tai chinh_DD'!G118</f>
        <v/>
      </c>
      <c r="H118" s="574" t="n"/>
      <c r="I118" s="51" t="n"/>
      <c r="J118" s="51" t="n"/>
      <c r="K118" s="51" t="n"/>
      <c r="L118" s="51" t="n"/>
      <c r="M118" s="51" t="n"/>
      <c r="N118" s="51" t="n"/>
      <c r="O118" s="51" t="n"/>
      <c r="P118" s="51" t="n"/>
      <c r="Q118" s="51" t="n"/>
      <c r="R118" s="51" t="n"/>
    </row>
    <row r="119">
      <c r="B119" s="587" t="inlineStr">
        <is>
          <t xml:space="preserve">          6. Chênh lệch tỷ giá hối đoái</t>
        </is>
      </c>
      <c r="C119" s="583" t="n"/>
      <c r="D119" s="565">
        <f>'02. Nhap lieu tai chinh_DD'!D119</f>
        <v/>
      </c>
      <c r="E119" s="565">
        <f>'02. Nhap lieu tai chinh_DD'!E119</f>
        <v/>
      </c>
      <c r="F119" s="565">
        <f>'02. Nhap lieu tai chinh_DD'!F119</f>
        <v/>
      </c>
      <c r="G119" s="565">
        <f>'02. Nhap lieu tai chinh_DD'!G119</f>
        <v/>
      </c>
      <c r="H119" s="574" t="n"/>
      <c r="I119" s="51" t="n"/>
      <c r="J119" s="51" t="n"/>
      <c r="K119" s="51" t="n"/>
      <c r="L119" s="51" t="n"/>
      <c r="M119" s="51" t="n"/>
      <c r="N119" s="51" t="n"/>
      <c r="O119" s="51" t="n"/>
      <c r="P119" s="51" t="n"/>
      <c r="Q119" s="51" t="n"/>
      <c r="R119" s="51" t="n"/>
    </row>
    <row r="120">
      <c r="B120" s="260" t="inlineStr">
        <is>
          <t xml:space="preserve">          7. Quỹ đầu tư phát triển</t>
        </is>
      </c>
      <c r="C120" s="583" t="n"/>
      <c r="D120" s="565">
        <f>'02. Nhap lieu tai chinh_DD'!D120</f>
        <v/>
      </c>
      <c r="E120" s="565">
        <f>'02. Nhap lieu tai chinh_DD'!E120</f>
        <v/>
      </c>
      <c r="F120" s="565">
        <f>'02. Nhap lieu tai chinh_DD'!F120</f>
        <v/>
      </c>
      <c r="G120" s="565">
        <f>'02. Nhap lieu tai chinh_DD'!G120</f>
        <v/>
      </c>
      <c r="H120" s="574" t="n"/>
      <c r="I120" s="51" t="n"/>
      <c r="J120" s="51" t="n"/>
      <c r="K120" s="51" t="n"/>
      <c r="L120" s="51" t="n"/>
      <c r="M120" s="51" t="n"/>
      <c r="N120" s="51" t="n"/>
      <c r="O120" s="51" t="n"/>
      <c r="P120" s="51" t="n"/>
      <c r="Q120" s="51" t="n"/>
      <c r="R120" s="51" t="n"/>
    </row>
    <row r="121">
      <c r="B121" s="260" t="inlineStr">
        <is>
          <t xml:space="preserve">          8. Quỹ dự phòng tài chính</t>
        </is>
      </c>
      <c r="C121" s="583" t="n"/>
      <c r="D121" s="565">
        <f>'02. Nhap lieu tai chinh_DD'!D121</f>
        <v/>
      </c>
      <c r="E121" s="565">
        <f>'02. Nhap lieu tai chinh_DD'!E121</f>
        <v/>
      </c>
      <c r="F121" s="565">
        <f>'02. Nhap lieu tai chinh_DD'!F121</f>
        <v/>
      </c>
      <c r="G121" s="565">
        <f>'02. Nhap lieu tai chinh_DD'!G121</f>
        <v/>
      </c>
      <c r="H121" s="574" t="n"/>
      <c r="I121" s="51" t="n"/>
      <c r="J121" s="51" t="n"/>
      <c r="K121" s="51" t="n"/>
      <c r="L121" s="51" t="n"/>
      <c r="M121" s="51" t="n"/>
      <c r="N121" s="51" t="n"/>
      <c r="O121" s="51" t="n"/>
      <c r="P121" s="51" t="n"/>
      <c r="Q121" s="51" t="n"/>
      <c r="R121" s="51" t="n"/>
    </row>
    <row r="122">
      <c r="B122" s="260" t="inlineStr">
        <is>
          <t xml:space="preserve">          9. Quỹ khác thuộc vốn chủ sở hữu</t>
        </is>
      </c>
      <c r="C122" s="583" t="n"/>
      <c r="D122" s="565">
        <f>'02. Nhap lieu tai chinh_DD'!D122</f>
        <v/>
      </c>
      <c r="E122" s="565">
        <f>'02. Nhap lieu tai chinh_DD'!E122</f>
        <v/>
      </c>
      <c r="F122" s="565">
        <f>'02. Nhap lieu tai chinh_DD'!F122</f>
        <v/>
      </c>
      <c r="G122" s="565">
        <f>'02. Nhap lieu tai chinh_DD'!G122</f>
        <v/>
      </c>
      <c r="H122" s="574" t="n"/>
      <c r="I122" s="51" t="n"/>
      <c r="J122" s="51" t="n"/>
      <c r="K122" s="51" t="n"/>
      <c r="L122" s="51" t="n"/>
      <c r="M122" s="51" t="n"/>
      <c r="N122" s="51" t="n"/>
      <c r="O122" s="51" t="n"/>
      <c r="P122" s="51" t="n"/>
      <c r="Q122" s="51" t="n"/>
      <c r="R122" s="51" t="n"/>
    </row>
    <row r="123">
      <c r="B123" s="260" t="inlineStr">
        <is>
          <t xml:space="preserve">          10. Lợi nhuận sau thuế chưa phân phối</t>
        </is>
      </c>
      <c r="C123" s="583" t="n"/>
      <c r="D123" s="565">
        <f>'02. Nhap lieu tai chinh_DD'!D123</f>
        <v/>
      </c>
      <c r="E123" s="565">
        <f>'02. Nhap lieu tai chinh_DD'!E123</f>
        <v/>
      </c>
      <c r="F123" s="565">
        <f>'02. Nhap lieu tai chinh_DD'!F123</f>
        <v/>
      </c>
      <c r="G123" s="565">
        <f>'02. Nhap lieu tai chinh_DD'!G123</f>
        <v/>
      </c>
      <c r="H123" s="574" t="n"/>
      <c r="I123" s="51" t="n"/>
      <c r="J123" s="51" t="n"/>
      <c r="K123" s="51" t="n"/>
      <c r="L123" s="51" t="n"/>
      <c r="M123" s="51" t="n"/>
      <c r="N123" s="51" t="n"/>
      <c r="O123" s="51" t="n"/>
      <c r="P123" s="51" t="n"/>
      <c r="Q123" s="51" t="n"/>
      <c r="R123" s="51" t="n"/>
    </row>
    <row r="124">
      <c r="B124" s="260" t="inlineStr">
        <is>
          <t xml:space="preserve">          11. Nguồn vốn đầu tư XDCB</t>
        </is>
      </c>
      <c r="C124" s="583" t="n"/>
      <c r="D124" s="565">
        <f>'02. Nhap lieu tai chinh_DD'!D124</f>
        <v/>
      </c>
      <c r="E124" s="565">
        <f>'02. Nhap lieu tai chinh_DD'!E124</f>
        <v/>
      </c>
      <c r="F124" s="565">
        <f>'02. Nhap lieu tai chinh_DD'!F124</f>
        <v/>
      </c>
      <c r="G124" s="565">
        <f>'02. Nhap lieu tai chinh_DD'!G124</f>
        <v/>
      </c>
      <c r="H124" s="574" t="n"/>
      <c r="I124" s="51" t="n"/>
      <c r="J124" s="51" t="n"/>
      <c r="K124" s="51" t="n"/>
      <c r="L124" s="51" t="n"/>
      <c r="M124" s="51" t="n"/>
      <c r="N124" s="51" t="n"/>
      <c r="O124" s="51" t="n"/>
      <c r="P124" s="51" t="n"/>
      <c r="Q124" s="51" t="n"/>
      <c r="R124" s="51" t="n"/>
    </row>
    <row r="125">
      <c r="B125" s="260" t="inlineStr">
        <is>
          <t xml:space="preserve">          12. Quỹ hỗ trợ sắp xếp doanh nghiệp</t>
        </is>
      </c>
      <c r="C125" s="583" t="n"/>
      <c r="D125" s="565">
        <f>'02. Nhap lieu tai chinh_DD'!D125</f>
        <v/>
      </c>
      <c r="E125" s="565">
        <f>'02. Nhap lieu tai chinh_DD'!E125</f>
        <v/>
      </c>
      <c r="F125" s="565">
        <f>'02. Nhap lieu tai chinh_DD'!F125</f>
        <v/>
      </c>
      <c r="G125" s="565">
        <f>'02. Nhap lieu tai chinh_DD'!G125</f>
        <v/>
      </c>
      <c r="H125" s="574" t="n"/>
      <c r="I125" s="51" t="n"/>
      <c r="J125" s="51" t="n"/>
      <c r="K125" s="51" t="n"/>
      <c r="L125" s="51" t="n"/>
      <c r="M125" s="51" t="n"/>
      <c r="N125" s="51" t="n"/>
      <c r="O125" s="51" t="n"/>
      <c r="P125" s="51" t="n"/>
      <c r="Q125" s="51" t="n"/>
      <c r="R125" s="51" t="n"/>
    </row>
    <row r="126">
      <c r="B126" s="588" t="inlineStr">
        <is>
          <t xml:space="preserve">     II. Nguồn kinh phí </t>
        </is>
      </c>
      <c r="C126" s="583" t="n"/>
      <c r="D126" s="584">
        <f>SUM(D127:D128)</f>
        <v/>
      </c>
      <c r="E126" s="584">
        <f>SUM(E127:E128)</f>
        <v/>
      </c>
      <c r="F126" s="584">
        <f>SUM(F127:F128)</f>
        <v/>
      </c>
      <c r="G126" s="584">
        <f>SUM(G127:G128)</f>
        <v/>
      </c>
      <c r="H126" s="585" t="n"/>
      <c r="I126" s="51" t="n"/>
      <c r="J126" s="51" t="n"/>
      <c r="K126" s="51" t="n"/>
      <c r="L126" s="51" t="n"/>
      <c r="M126" s="51" t="n"/>
      <c r="N126" s="51" t="n"/>
      <c r="O126" s="51" t="n"/>
      <c r="P126" s="51" t="n"/>
      <c r="Q126" s="51" t="n"/>
      <c r="R126" s="51" t="n"/>
    </row>
    <row r="127">
      <c r="B127" s="260" t="inlineStr">
        <is>
          <t xml:space="preserve">          1. Nguồn kinh phí</t>
        </is>
      </c>
      <c r="C127" s="583" t="n"/>
      <c r="D127" s="565">
        <f>'02. Nhap lieu tai chinh_DD'!D127</f>
        <v/>
      </c>
      <c r="E127" s="565">
        <f>'02. Nhap lieu tai chinh_DD'!E127</f>
        <v/>
      </c>
      <c r="F127" s="565">
        <f>'02. Nhap lieu tai chinh_DD'!F127</f>
        <v/>
      </c>
      <c r="G127" s="565">
        <f>'02. Nhap lieu tai chinh_DD'!G127</f>
        <v/>
      </c>
      <c r="H127" s="574" t="n"/>
      <c r="I127" s="51" t="n"/>
      <c r="J127" s="51" t="n"/>
      <c r="K127" s="51" t="n"/>
      <c r="L127" s="51" t="n"/>
      <c r="M127" s="51" t="n"/>
      <c r="N127" s="51" t="n"/>
      <c r="O127" s="51" t="n"/>
      <c r="P127" s="51" t="n"/>
      <c r="Q127" s="51" t="n"/>
      <c r="R127" s="51" t="n"/>
    </row>
    <row r="128" ht="15.75" customHeight="1" s="782" thickBot="1">
      <c r="B128" s="589" t="inlineStr">
        <is>
          <t xml:space="preserve">          2. Nguồn kinh phí đã hình thành TSCĐ</t>
        </is>
      </c>
      <c r="C128" s="590" t="n"/>
      <c r="D128" s="591">
        <f>'02. Nhap lieu tai chinh_DD'!D128</f>
        <v/>
      </c>
      <c r="E128" s="591">
        <f>'02. Nhap lieu tai chinh_DD'!E128</f>
        <v/>
      </c>
      <c r="F128" s="591">
        <f>'02. Nhap lieu tai chinh_DD'!F128</f>
        <v/>
      </c>
      <c r="G128" s="591">
        <f>'02. Nhap lieu tai chinh_DD'!G128</f>
        <v/>
      </c>
      <c r="H128" s="592" t="n"/>
      <c r="I128" s="51" t="n"/>
      <c r="J128" s="51" t="n"/>
      <c r="K128" s="51" t="n"/>
      <c r="L128" s="51" t="n"/>
      <c r="M128" s="51" t="n"/>
      <c r="N128" s="51" t="n"/>
      <c r="O128" s="51" t="n"/>
      <c r="P128" s="51" t="n"/>
      <c r="Q128" s="51" t="n"/>
      <c r="R128" s="51" t="n"/>
    </row>
    <row r="129" ht="15.75" customHeight="1" s="782" thickTop="1">
      <c r="B129" s="45" t="n"/>
      <c r="C129" s="45" t="n"/>
      <c r="D129" s="593" t="n"/>
      <c r="E129" s="594" t="n"/>
      <c r="F129" s="595" t="n"/>
      <c r="G129" s="595" t="n"/>
      <c r="H129" s="595" t="n"/>
      <c r="I129" s="45" t="n"/>
      <c r="J129" s="45" t="n"/>
      <c r="K129" s="45" t="n"/>
      <c r="L129" s="45" t="n"/>
      <c r="M129" s="45" t="n"/>
      <c r="N129" s="45" t="n"/>
      <c r="O129" s="45" t="n"/>
      <c r="P129" s="45" t="n"/>
      <c r="Q129" s="45" t="n"/>
      <c r="R129" s="45" t="n"/>
    </row>
    <row r="130">
      <c r="B130" s="54" t="inlineStr">
        <is>
          <t>II. Các chỉ tiêu ngoài bảng cân đối kế toán (nếu có)</t>
        </is>
      </c>
      <c r="C130" s="54" t="n"/>
      <c r="D130" s="596" t="n"/>
      <c r="E130" s="597" t="n"/>
      <c r="F130" s="598" t="n"/>
      <c r="G130" s="598" t="n"/>
      <c r="H130" s="599" t="n"/>
      <c r="I130" s="45" t="n"/>
      <c r="J130" s="45" t="n"/>
      <c r="K130" s="45" t="n"/>
      <c r="L130" s="45" t="n"/>
      <c r="M130" s="45" t="n"/>
      <c r="N130" s="45" t="n"/>
      <c r="O130" s="45" t="n"/>
      <c r="P130" s="45" t="n"/>
      <c r="Q130" s="45" t="n"/>
      <c r="R130" s="45" t="n"/>
    </row>
    <row r="131" ht="15.75" customHeight="1" s="782" thickBot="1">
      <c r="B131" s="43" t="n"/>
      <c r="C131" s="43" t="n"/>
      <c r="D131" s="600" t="n"/>
      <c r="E131" s="601" t="n"/>
      <c r="F131" s="602" t="n"/>
      <c r="G131" s="602" t="n"/>
      <c r="H131" s="603" t="n"/>
      <c r="I131" s="45" t="n"/>
      <c r="J131" s="45" t="n"/>
      <c r="K131" s="45" t="n"/>
      <c r="L131" s="45" t="n"/>
      <c r="M131" s="45" t="n"/>
      <c r="N131" s="45" t="n"/>
      <c r="O131" s="45" t="n"/>
      <c r="P131" s="45" t="n"/>
      <c r="Q131" s="45" t="n"/>
      <c r="R131" s="45" t="n"/>
    </row>
    <row r="132" ht="15.75" customHeight="1" s="782" thickTop="1">
      <c r="B132" s="262" t="inlineStr">
        <is>
          <t>Chỉ tiêu</t>
        </is>
      </c>
      <c r="C132" s="55" t="n"/>
      <c r="D132" s="924">
        <f>D5</f>
        <v/>
      </c>
      <c r="E132" s="924">
        <f>E5</f>
        <v/>
      </c>
      <c r="F132" s="605">
        <f>F5</f>
        <v/>
      </c>
      <c r="G132" s="606">
        <f>G5</f>
        <v/>
      </c>
      <c r="H132" s="607">
        <f>H5</f>
        <v/>
      </c>
      <c r="I132" s="45" t="n"/>
      <c r="J132" s="45" t="n"/>
      <c r="K132" s="45" t="n"/>
      <c r="L132" s="45" t="n"/>
      <c r="M132" s="45" t="n"/>
      <c r="N132" s="45" t="n"/>
      <c r="O132" s="45" t="n"/>
      <c r="P132" s="45" t="n"/>
      <c r="Q132" s="45" t="n"/>
      <c r="R132" s="45" t="n"/>
    </row>
    <row r="133">
      <c r="B133" s="263" t="inlineStr">
        <is>
          <t>Tài sản thuê ngoài</t>
        </is>
      </c>
      <c r="C133" s="49" t="n"/>
      <c r="D133" s="608" t="n"/>
      <c r="E133" s="609" t="n"/>
      <c r="F133" s="609" t="n"/>
      <c r="G133" s="609" t="n"/>
      <c r="H133" s="56" t="n"/>
      <c r="I133" s="51" t="n"/>
      <c r="J133" s="51" t="n"/>
      <c r="K133" s="51" t="n"/>
      <c r="L133" s="57" t="n"/>
      <c r="M133" s="51" t="n"/>
      <c r="N133" s="51" t="n"/>
      <c r="O133" s="51" t="n"/>
      <c r="P133" s="51" t="n"/>
      <c r="Q133" s="51" t="n"/>
      <c r="R133" s="51" t="n"/>
    </row>
    <row r="134">
      <c r="B134" s="264" t="inlineStr">
        <is>
          <t>Vật tư, hàng hóa nhận giữ hộ, nhận gia công</t>
        </is>
      </c>
      <c r="C134" s="59" t="n"/>
      <c r="D134" s="610" t="n"/>
      <c r="E134" s="611" t="n"/>
      <c r="F134" s="611" t="n"/>
      <c r="G134" s="611" t="n"/>
      <c r="H134" s="60" t="n"/>
      <c r="I134" s="45" t="n"/>
      <c r="J134" s="45" t="n"/>
      <c r="K134" s="45" t="n"/>
      <c r="L134" s="45" t="n"/>
      <c r="M134" s="45" t="n"/>
      <c r="N134" s="45" t="n"/>
      <c r="O134" s="45" t="n"/>
      <c r="P134" s="45" t="n"/>
      <c r="Q134" s="45" t="n"/>
      <c r="R134" s="45" t="n"/>
    </row>
    <row r="135">
      <c r="B135" s="264" t="inlineStr">
        <is>
          <t>Vật tư, hàng hóa nhận bán hộ, nhận ký gửi, ký cược</t>
        </is>
      </c>
      <c r="C135" s="61" t="n"/>
      <c r="D135" s="612" t="n"/>
      <c r="E135" s="613" t="n"/>
      <c r="F135" s="613" t="n"/>
      <c r="G135" s="613" t="n"/>
      <c r="H135" s="62" t="n"/>
      <c r="I135" s="51" t="n"/>
      <c r="J135" s="51" t="n"/>
      <c r="K135" s="51" t="n"/>
      <c r="L135" s="51" t="n"/>
      <c r="M135" s="51" t="n"/>
      <c r="N135" s="51" t="n"/>
      <c r="O135" s="51" t="n"/>
      <c r="P135" s="51" t="n"/>
      <c r="Q135" s="51" t="n"/>
      <c r="R135" s="51" t="n"/>
    </row>
    <row r="136">
      <c r="B136" s="264" t="inlineStr">
        <is>
          <t>Nợ khó đòi đã xử lý</t>
        </is>
      </c>
      <c r="C136" s="59" t="n"/>
      <c r="D136" s="610" t="n"/>
      <c r="E136" s="611" t="n"/>
      <c r="F136" s="611" t="n"/>
      <c r="G136" s="611" t="n"/>
      <c r="H136" s="60" t="n"/>
      <c r="I136" s="45" t="n"/>
      <c r="J136" s="45" t="n"/>
      <c r="K136" s="45" t="n"/>
      <c r="L136" s="45" t="n"/>
      <c r="M136" s="45" t="n"/>
      <c r="N136" s="45" t="n"/>
      <c r="O136" s="45" t="n"/>
      <c r="P136" s="45" t="n"/>
      <c r="Q136" s="45" t="n"/>
      <c r="R136" s="45" t="n"/>
    </row>
    <row r="137">
      <c r="B137" s="264" t="inlineStr">
        <is>
          <t>Ngoại  tệ các loại</t>
        </is>
      </c>
      <c r="C137" s="61" t="n"/>
      <c r="D137" s="612" t="n"/>
      <c r="E137" s="613" t="n"/>
      <c r="F137" s="613" t="n"/>
      <c r="G137" s="613" t="n"/>
      <c r="H137" s="62" t="n"/>
      <c r="I137" s="51" t="n"/>
      <c r="J137" s="51" t="n"/>
      <c r="K137" s="51" t="n"/>
      <c r="L137" s="51" t="n"/>
      <c r="M137" s="51" t="n"/>
      <c r="N137" s="51" t="n"/>
      <c r="O137" s="51" t="n"/>
      <c r="P137" s="51" t="n"/>
      <c r="Q137" s="51" t="n"/>
      <c r="R137" s="51" t="n"/>
    </row>
    <row r="138" ht="15.75" customHeight="1" s="782" thickBot="1">
      <c r="B138" s="265" t="inlineStr">
        <is>
          <t>Dự toán chi phí sự nghiệp dự án</t>
        </is>
      </c>
      <c r="C138" s="63" t="n"/>
      <c r="D138" s="614" t="n"/>
      <c r="E138" s="615" t="n"/>
      <c r="F138" s="615" t="n"/>
      <c r="G138" s="615" t="n"/>
      <c r="H138" s="64" t="n"/>
      <c r="I138" s="45" t="n"/>
      <c r="J138" s="45" t="n"/>
      <c r="K138" s="45" t="n"/>
      <c r="L138" s="45" t="n"/>
      <c r="M138" s="45" t="n"/>
      <c r="N138" s="45" t="n"/>
      <c r="O138" s="45" t="n"/>
      <c r="P138" s="45" t="n"/>
      <c r="Q138" s="45" t="n"/>
      <c r="R138" s="45" t="n"/>
    </row>
    <row r="139" ht="15.75" customHeight="1" s="782" thickTop="1">
      <c r="B139" s="45" t="n"/>
      <c r="C139" s="45" t="n"/>
      <c r="D139" s="593" t="n"/>
      <c r="E139" s="594" t="n"/>
      <c r="F139" s="595" t="n"/>
      <c r="G139" s="595" t="n"/>
      <c r="H139" s="595" t="n"/>
      <c r="I139" s="45" t="n"/>
      <c r="J139" s="45" t="n"/>
      <c r="K139" s="45" t="n"/>
      <c r="L139" s="45" t="n"/>
      <c r="M139" s="45" t="n"/>
      <c r="N139" s="45" t="n"/>
      <c r="O139" s="45" t="n"/>
      <c r="P139" s="45" t="n"/>
      <c r="Q139" s="45" t="n"/>
      <c r="R139" s="45" t="n"/>
    </row>
    <row r="140">
      <c r="B140" s="54" t="inlineStr">
        <is>
          <t xml:space="preserve">III. Báo cáo kết quả hoạt động SXKD </t>
        </is>
      </c>
      <c r="C140" s="54" t="n"/>
      <c r="D140" s="596" t="n"/>
      <c r="E140" s="597" t="n"/>
      <c r="F140" s="598" t="n"/>
      <c r="G140" s="598" t="n"/>
      <c r="H140" s="599" t="n"/>
      <c r="I140" s="45" t="n"/>
      <c r="J140" s="45" t="n"/>
      <c r="K140" s="45" t="n"/>
      <c r="L140" s="45" t="n"/>
      <c r="M140" s="45" t="n"/>
      <c r="N140" s="45" t="n"/>
      <c r="O140" s="45" t="n"/>
      <c r="P140" s="45" t="n"/>
      <c r="Q140" s="45" t="n"/>
      <c r="R140" s="45" t="n"/>
    </row>
    <row r="141" ht="15.75" customHeight="1" s="782" thickBot="1">
      <c r="B141" s="43" t="n"/>
      <c r="C141" s="43" t="n"/>
      <c r="D141" s="600" t="n"/>
      <c r="E141" s="601" t="n"/>
      <c r="F141" s="602" t="n"/>
      <c r="G141" s="602" t="n"/>
      <c r="H141" s="603" t="n"/>
      <c r="I141" s="45" t="n"/>
      <c r="J141" s="45" t="n"/>
      <c r="K141" s="45" t="n"/>
      <c r="L141" s="45" t="n"/>
      <c r="M141" s="45" t="n"/>
      <c r="N141" s="45" t="n"/>
      <c r="O141" s="45" t="n"/>
      <c r="P141" s="45" t="n"/>
      <c r="Q141" s="45" t="n"/>
      <c r="R141" s="45" t="n"/>
    </row>
    <row r="142" ht="15.75" customHeight="1" s="782" thickTop="1">
      <c r="B142" s="262" t="inlineStr">
        <is>
          <t>Chỉ tiêu</t>
        </is>
      </c>
      <c r="C142" s="55" t="n"/>
      <c r="D142" s="924">
        <f>D5</f>
        <v/>
      </c>
      <c r="E142" s="924">
        <f>E5</f>
        <v/>
      </c>
      <c r="F142" s="605">
        <f>F5</f>
        <v/>
      </c>
      <c r="G142" s="554">
        <f>+G5</f>
        <v/>
      </c>
      <c r="H142" s="607">
        <f>+H5</f>
        <v/>
      </c>
      <c r="I142" s="45" t="n"/>
      <c r="J142" s="45" t="n"/>
      <c r="K142" s="45" t="n"/>
      <c r="L142" s="45" t="n"/>
      <c r="M142" s="45" t="n"/>
      <c r="N142" s="45" t="n"/>
      <c r="O142" s="45" t="n"/>
      <c r="P142" s="45" t="n"/>
      <c r="Q142" s="45" t="n"/>
      <c r="R142" s="45" t="n"/>
    </row>
    <row r="143">
      <c r="B143" s="263" t="inlineStr">
        <is>
          <t>Doanh thu bán hàng và cung cấp dịch vụ</t>
        </is>
      </c>
      <c r="C143" s="49" t="n"/>
      <c r="D143" s="609">
        <f>'02. Nhap lieu tai chinh_DD'!D130</f>
        <v/>
      </c>
      <c r="E143" s="609">
        <f>'02. Nhap lieu tai chinh_DD'!E130</f>
        <v/>
      </c>
      <c r="F143" s="609">
        <f>'02. Nhap lieu tai chinh_DD'!F130</f>
        <v/>
      </c>
      <c r="G143" s="609">
        <f>'02. Nhap lieu tai chinh_DD'!G130</f>
        <v/>
      </c>
      <c r="H143" s="56" t="n"/>
      <c r="I143" s="51" t="n"/>
      <c r="J143" s="51" t="n"/>
      <c r="K143" s="51" t="n"/>
      <c r="L143" s="57" t="n"/>
      <c r="M143" s="51" t="n"/>
      <c r="N143" s="51" t="n"/>
      <c r="O143" s="51" t="n"/>
      <c r="P143" s="51" t="n"/>
      <c r="Q143" s="51" t="n"/>
      <c r="R143" s="51" t="n"/>
    </row>
    <row r="144">
      <c r="B144" s="264" t="inlineStr">
        <is>
          <t>Các khoản giảm trừ doanh thu</t>
        </is>
      </c>
      <c r="C144" s="59" t="n"/>
      <c r="D144" s="616">
        <f>'02. Nhap lieu tai chinh_DD'!D131</f>
        <v/>
      </c>
      <c r="E144" s="616">
        <f>'02. Nhap lieu tai chinh_DD'!E131</f>
        <v/>
      </c>
      <c r="F144" s="616">
        <f>'02. Nhap lieu tai chinh_DD'!F131</f>
        <v/>
      </c>
      <c r="G144" s="616">
        <f>'02. Nhap lieu tai chinh_DD'!G131</f>
        <v/>
      </c>
      <c r="H144" s="617" t="n"/>
      <c r="I144" s="45" t="n"/>
      <c r="J144" s="45" t="n"/>
      <c r="K144" s="45" t="n"/>
      <c r="L144" s="45" t="n"/>
      <c r="M144" s="45" t="n"/>
      <c r="N144" s="45" t="n"/>
      <c r="O144" s="45" t="n"/>
      <c r="P144" s="45" t="n"/>
      <c r="Q144" s="45" t="n"/>
      <c r="R144" s="45" t="n"/>
    </row>
    <row r="145">
      <c r="B145" s="260" t="inlineStr">
        <is>
          <t xml:space="preserve">      - Chiết khấu</t>
        </is>
      </c>
      <c r="C145" s="59" t="n"/>
      <c r="D145" s="618">
        <f>'02. Nhap lieu tai chinh_DD'!D132</f>
        <v/>
      </c>
      <c r="E145" s="618">
        <f>'02. Nhap lieu tai chinh_DD'!E132</f>
        <v/>
      </c>
      <c r="F145" s="618">
        <f>'02. Nhap lieu tai chinh_DD'!F132</f>
        <v/>
      </c>
      <c r="G145" s="618">
        <f>'02. Nhap lieu tai chinh_DD'!G132</f>
        <v/>
      </c>
      <c r="H145" s="60" t="n"/>
      <c r="I145" s="45" t="n"/>
      <c r="J145" s="45" t="n"/>
      <c r="K145" s="45" t="n"/>
      <c r="L145" s="45" t="n"/>
      <c r="M145" s="45" t="n"/>
      <c r="N145" s="45" t="n"/>
      <c r="O145" s="45" t="n"/>
      <c r="P145" s="45" t="n"/>
      <c r="Q145" s="45" t="n"/>
      <c r="R145" s="45" t="n"/>
    </row>
    <row r="146">
      <c r="B146" s="260" t="inlineStr">
        <is>
          <t xml:space="preserve">      - Giảm giá</t>
        </is>
      </c>
      <c r="C146" s="59" t="n"/>
      <c r="D146" s="618">
        <f>'02. Nhap lieu tai chinh_DD'!D133</f>
        <v/>
      </c>
      <c r="E146" s="618">
        <f>'02. Nhap lieu tai chinh_DD'!E133</f>
        <v/>
      </c>
      <c r="F146" s="618">
        <f>'02. Nhap lieu tai chinh_DD'!F133</f>
        <v/>
      </c>
      <c r="G146" s="618">
        <f>'02. Nhap lieu tai chinh_DD'!G133</f>
        <v/>
      </c>
      <c r="H146" s="60" t="n"/>
      <c r="I146" s="45" t="n"/>
      <c r="J146" s="45" t="n"/>
      <c r="K146" s="45" t="n"/>
      <c r="L146" s="45" t="n"/>
      <c r="M146" s="45" t="n"/>
      <c r="N146" s="45" t="n"/>
      <c r="O146" s="45" t="n"/>
      <c r="P146" s="45" t="n"/>
      <c r="Q146" s="45" t="n"/>
      <c r="R146" s="45" t="n"/>
    </row>
    <row r="147">
      <c r="B147" s="260" t="inlineStr">
        <is>
          <t xml:space="preserve">      - Hàng bán bị trả lại</t>
        </is>
      </c>
      <c r="C147" s="59" t="n"/>
      <c r="D147" s="618">
        <f>'02. Nhap lieu tai chinh_DD'!D134</f>
        <v/>
      </c>
      <c r="E147" s="618">
        <f>'02. Nhap lieu tai chinh_DD'!E134</f>
        <v/>
      </c>
      <c r="F147" s="618">
        <f>'02. Nhap lieu tai chinh_DD'!F134</f>
        <v/>
      </c>
      <c r="G147" s="618">
        <f>'02. Nhap lieu tai chinh_DD'!G134</f>
        <v/>
      </c>
      <c r="H147" s="60" t="n"/>
      <c r="I147" s="45" t="n"/>
      <c r="J147" s="45" t="n"/>
      <c r="K147" s="45" t="n"/>
      <c r="L147" s="45" t="n"/>
      <c r="M147" s="45" t="n"/>
      <c r="N147" s="45" t="n"/>
      <c r="O147" s="45" t="n"/>
      <c r="P147" s="45" t="n"/>
      <c r="Q147" s="45" t="n"/>
      <c r="R147" s="45" t="n"/>
    </row>
    <row r="148">
      <c r="B148" s="260" t="inlineStr">
        <is>
          <t xml:space="preserve">      - Thuế VAT, thuế xuất khẩu</t>
        </is>
      </c>
      <c r="C148" s="59" t="n"/>
      <c r="D148" s="618">
        <f>'02. Nhap lieu tai chinh_DD'!D135</f>
        <v/>
      </c>
      <c r="E148" s="618">
        <f>'02. Nhap lieu tai chinh_DD'!E135</f>
        <v/>
      </c>
      <c r="F148" s="618">
        <f>'02. Nhap lieu tai chinh_DD'!E135</f>
        <v/>
      </c>
      <c r="G148" s="618">
        <f>'02. Nhap lieu tai chinh_DD'!G135</f>
        <v/>
      </c>
      <c r="H148" s="60" t="n"/>
      <c r="I148" s="45" t="n"/>
      <c r="J148" s="45" t="n"/>
      <c r="K148" s="45" t="n"/>
      <c r="L148" s="45" t="n"/>
      <c r="M148" s="45" t="n"/>
      <c r="N148" s="45" t="n"/>
      <c r="O148" s="45" t="n"/>
      <c r="P148" s="45" t="n"/>
      <c r="Q148" s="45" t="n"/>
      <c r="R148" s="45" t="n"/>
    </row>
    <row r="149">
      <c r="B149" s="264" t="inlineStr">
        <is>
          <t>Doanh thu thuần về bán hàng và cung cấp dịch vụ</t>
        </is>
      </c>
      <c r="C149" s="61" t="n"/>
      <c r="D149" s="616">
        <f>D143-D144</f>
        <v/>
      </c>
      <c r="E149" s="616">
        <f>E143-E144</f>
        <v/>
      </c>
      <c r="F149" s="616">
        <f>F143-F144</f>
        <v/>
      </c>
      <c r="G149" s="616">
        <f>G143-G144</f>
        <v/>
      </c>
      <c r="H149" s="617" t="n"/>
      <c r="I149" s="51" t="n"/>
      <c r="J149" s="51">
        <f>IF(E143="","",E143-E144)</f>
        <v/>
      </c>
      <c r="K149" s="51">
        <f>IF(F143="","",F143-F144)</f>
        <v/>
      </c>
      <c r="L149" s="51" t="n"/>
      <c r="M149" s="51" t="n"/>
      <c r="N149" s="51" t="n"/>
      <c r="O149" s="51" t="n"/>
      <c r="P149" s="51" t="n"/>
      <c r="Q149" s="51" t="n"/>
      <c r="R149" s="51" t="n"/>
    </row>
    <row r="150">
      <c r="B150" s="264" t="inlineStr">
        <is>
          <t>Giá vốn hàng bán</t>
        </is>
      </c>
      <c r="C150" s="59" t="n"/>
      <c r="D150" s="618">
        <f>'02. Nhap lieu tai chinh_DD'!D137</f>
        <v/>
      </c>
      <c r="E150" s="618">
        <f>'02. Nhap lieu tai chinh_DD'!E137</f>
        <v/>
      </c>
      <c r="F150" s="618">
        <f>'02. Nhap lieu tai chinh_DD'!F137</f>
        <v/>
      </c>
      <c r="G150" s="618">
        <f>'02. Nhap lieu tai chinh_DD'!G137</f>
        <v/>
      </c>
      <c r="H150" s="60" t="n"/>
      <c r="I150" s="45" t="n"/>
      <c r="J150" s="45" t="n"/>
      <c r="K150" s="45" t="n"/>
      <c r="L150" s="45" t="n"/>
      <c r="M150" s="45" t="n"/>
      <c r="N150" s="45" t="n"/>
      <c r="O150" s="45" t="n"/>
      <c r="P150" s="45" t="n"/>
      <c r="Q150" s="45" t="n"/>
      <c r="R150" s="45" t="n"/>
    </row>
    <row r="151">
      <c r="B151" s="266" t="inlineStr">
        <is>
          <t xml:space="preserve">     - Tr/đó: Khấu hao trong giá vốn hàng bán</t>
        </is>
      </c>
      <c r="C151" s="59" t="n"/>
      <c r="D151" s="618">
        <f>'02. Nhap lieu tai chinh_DD'!D138</f>
        <v/>
      </c>
      <c r="E151" s="618">
        <f>'02. Nhap lieu tai chinh_DD'!E138</f>
        <v/>
      </c>
      <c r="F151" s="618">
        <f>'02. Nhap lieu tai chinh_DD'!F138</f>
        <v/>
      </c>
      <c r="G151" s="618">
        <f>'02. Nhap lieu tai chinh_DD'!G138</f>
        <v/>
      </c>
      <c r="H151" s="60" t="n"/>
      <c r="I151" s="45" t="n"/>
      <c r="J151" s="45" t="n"/>
      <c r="K151" s="45" t="n"/>
      <c r="L151" s="45" t="n"/>
      <c r="M151" s="45" t="n"/>
      <c r="N151" s="45" t="n"/>
      <c r="O151" s="45" t="n"/>
      <c r="P151" s="45" t="n"/>
      <c r="Q151" s="45" t="n"/>
      <c r="R151" s="45" t="n"/>
    </row>
    <row r="152">
      <c r="B152" s="264" t="inlineStr">
        <is>
          <t>Lợi nhuận gộp về bán hàng và cung cấp dịch vụ</t>
        </is>
      </c>
      <c r="C152" s="61" t="n"/>
      <c r="D152" s="616">
        <f>D149-D150</f>
        <v/>
      </c>
      <c r="E152" s="616">
        <f>E149-E150</f>
        <v/>
      </c>
      <c r="F152" s="616">
        <f>F149-F150</f>
        <v/>
      </c>
      <c r="G152" s="616">
        <f>G149-G150</f>
        <v/>
      </c>
      <c r="H152" s="617" t="n"/>
      <c r="I152" s="51" t="n"/>
      <c r="J152" s="51" t="n"/>
      <c r="K152" s="51" t="n"/>
      <c r="L152" s="51" t="n"/>
      <c r="M152" s="51" t="n"/>
      <c r="N152" s="51" t="n"/>
      <c r="O152" s="51" t="n"/>
      <c r="P152" s="51" t="n"/>
      <c r="Q152" s="51" t="n"/>
      <c r="R152" s="51" t="n"/>
    </row>
    <row r="153">
      <c r="B153" s="264" t="inlineStr">
        <is>
          <t>Doanh thu hoạt động tài chính</t>
        </is>
      </c>
      <c r="C153" s="61" t="n"/>
      <c r="D153" s="618">
        <f>'02. Nhap lieu tai chinh_DD'!D140</f>
        <v/>
      </c>
      <c r="E153" s="618">
        <f>'02. Nhap lieu tai chinh_DD'!E140</f>
        <v/>
      </c>
      <c r="F153" s="618">
        <f>'02. Nhap lieu tai chinh_DD'!F140</f>
        <v/>
      </c>
      <c r="G153" s="618">
        <f>'02. Nhap lieu tai chinh_DD'!G140</f>
        <v/>
      </c>
      <c r="H153" s="60" t="n"/>
      <c r="I153" s="51" t="n"/>
      <c r="J153" s="51" t="n"/>
      <c r="K153" s="51" t="n"/>
      <c r="L153" s="51" t="n"/>
      <c r="M153" s="51" t="n"/>
      <c r="N153" s="51" t="n"/>
      <c r="O153" s="51" t="n"/>
      <c r="P153" s="51" t="n"/>
      <c r="Q153" s="51" t="n"/>
      <c r="R153" s="51" t="n"/>
    </row>
    <row r="154">
      <c r="B154" s="264" t="inlineStr">
        <is>
          <t>Chi phí tài chính</t>
        </is>
      </c>
      <c r="C154" s="61" t="n"/>
      <c r="D154" s="618">
        <f>'02. Nhap lieu tai chinh_DD'!D141</f>
        <v/>
      </c>
      <c r="E154" s="618">
        <f>'02. Nhap lieu tai chinh_DD'!E141</f>
        <v/>
      </c>
      <c r="F154" s="618">
        <f>'02. Nhap lieu tai chinh_DD'!F141</f>
        <v/>
      </c>
      <c r="G154" s="618">
        <f>'02. Nhap lieu tai chinh_DD'!G141</f>
        <v/>
      </c>
      <c r="H154" s="60" t="n"/>
      <c r="I154" s="51" t="n"/>
      <c r="J154" s="51" t="n"/>
      <c r="K154" s="51" t="n"/>
      <c r="L154" s="51" t="n"/>
      <c r="M154" s="51" t="n"/>
      <c r="N154" s="51" t="n"/>
      <c r="O154" s="51" t="n"/>
      <c r="P154" s="51" t="n"/>
      <c r="Q154" s="51" t="n"/>
      <c r="R154" s="51" t="n"/>
    </row>
    <row r="155">
      <c r="B155" s="266" t="inlineStr">
        <is>
          <t xml:space="preserve">     - Tr/đó: Chi phí lãi vay</t>
        </is>
      </c>
      <c r="C155" s="61" t="n"/>
      <c r="D155" s="618">
        <f>'02. Nhap lieu tai chinh_DD'!D142</f>
        <v/>
      </c>
      <c r="E155" s="618">
        <f>'02. Nhap lieu tai chinh_DD'!E142</f>
        <v/>
      </c>
      <c r="F155" s="618">
        <f>'02. Nhap lieu tai chinh_DD'!F142</f>
        <v/>
      </c>
      <c r="G155" s="618">
        <f>'02. Nhap lieu tai chinh_DD'!G142</f>
        <v/>
      </c>
      <c r="H155" s="60" t="n"/>
      <c r="I155" s="51" t="n"/>
      <c r="J155" s="51" t="n"/>
      <c r="K155" s="51" t="n"/>
      <c r="L155" s="51" t="n"/>
      <c r="M155" s="51" t="n"/>
      <c r="N155" s="51" t="n"/>
      <c r="O155" s="51" t="n"/>
      <c r="P155" s="51" t="n"/>
      <c r="Q155" s="51" t="n"/>
      <c r="R155" s="51" t="n"/>
    </row>
    <row r="156">
      <c r="B156" s="264" t="inlineStr">
        <is>
          <t>Chi phí bán hàng</t>
        </is>
      </c>
      <c r="C156" s="61" t="n"/>
      <c r="D156" s="618">
        <f>'02. Nhap lieu tai chinh_DD'!D143</f>
        <v/>
      </c>
      <c r="E156" s="618">
        <f>'02. Nhap lieu tai chinh_DD'!E143</f>
        <v/>
      </c>
      <c r="F156" s="618">
        <f>'02. Nhap lieu tai chinh_DD'!F143</f>
        <v/>
      </c>
      <c r="G156" s="618">
        <f>'02. Nhap lieu tai chinh_DD'!G143</f>
        <v/>
      </c>
      <c r="H156" s="62" t="n"/>
      <c r="I156" s="51" t="n"/>
      <c r="J156" s="51" t="n"/>
      <c r="K156" s="51" t="n"/>
      <c r="L156" s="51" t="n"/>
      <c r="M156" s="51" t="n"/>
      <c r="N156" s="51" t="n"/>
      <c r="O156" s="51" t="n"/>
      <c r="P156" s="51" t="n"/>
      <c r="Q156" s="51" t="n"/>
      <c r="R156" s="51" t="n"/>
    </row>
    <row r="157">
      <c r="B157" s="266" t="inlineStr">
        <is>
          <t xml:space="preserve">     - Tr/đó: Khấu hao trong giá vốn hàng bán</t>
        </is>
      </c>
      <c r="C157" s="61" t="n"/>
      <c r="D157" s="618">
        <f>'02. Nhap lieu tai chinh_DD'!D144</f>
        <v/>
      </c>
      <c r="E157" s="618">
        <f>'02. Nhap lieu tai chinh_DD'!E144</f>
        <v/>
      </c>
      <c r="F157" s="618">
        <f>'02. Nhap lieu tai chinh_DD'!F144</f>
        <v/>
      </c>
      <c r="G157" s="618">
        <f>'02. Nhap lieu tai chinh_DD'!G144</f>
        <v/>
      </c>
      <c r="H157" s="62" t="n"/>
      <c r="I157" s="51" t="n"/>
      <c r="J157" s="51" t="n"/>
      <c r="K157" s="51" t="n"/>
      <c r="L157" s="51" t="n"/>
      <c r="M157" s="51" t="n"/>
      <c r="N157" s="51" t="n"/>
      <c r="O157" s="51" t="n"/>
      <c r="P157" s="51" t="n"/>
      <c r="Q157" s="51" t="n"/>
      <c r="R157" s="51" t="n"/>
    </row>
    <row r="158">
      <c r="B158" s="264" t="inlineStr">
        <is>
          <t>Chi phí quản lý doanh nghiệp</t>
        </is>
      </c>
      <c r="C158" s="61" t="n"/>
      <c r="D158" s="618">
        <f>'02. Nhap lieu tai chinh_DD'!D145</f>
        <v/>
      </c>
      <c r="E158" s="618">
        <f>'02. Nhap lieu tai chinh_DD'!E145</f>
        <v/>
      </c>
      <c r="F158" s="618">
        <f>'02. Nhap lieu tai chinh_DD'!F145</f>
        <v/>
      </c>
      <c r="G158" s="618">
        <f>'02. Nhap lieu tai chinh_DD'!G145</f>
        <v/>
      </c>
      <c r="H158" s="62" t="n"/>
      <c r="I158" s="51" t="n"/>
      <c r="J158" s="51" t="n"/>
      <c r="K158" s="51" t="n"/>
      <c r="L158" s="51" t="n"/>
      <c r="M158" s="51" t="n"/>
      <c r="N158" s="51" t="n"/>
      <c r="O158" s="51" t="n"/>
      <c r="P158" s="51" t="n"/>
      <c r="Q158" s="51" t="n"/>
      <c r="R158" s="51" t="n"/>
    </row>
    <row r="159">
      <c r="B159" s="266" t="inlineStr">
        <is>
          <t xml:space="preserve">     - Tr/đó: Khấu hao trong giá vốn hàng bán</t>
        </is>
      </c>
      <c r="C159" s="61" t="n"/>
      <c r="D159" s="618">
        <f>'02. Nhap lieu tai chinh_DD'!D146</f>
        <v/>
      </c>
      <c r="E159" s="618">
        <f>'02. Nhap lieu tai chinh_DD'!E146</f>
        <v/>
      </c>
      <c r="F159" s="618">
        <f>'02. Nhap lieu tai chinh_DD'!F146</f>
        <v/>
      </c>
      <c r="G159" s="618">
        <f>'02. Nhap lieu tai chinh_DD'!G146</f>
        <v/>
      </c>
      <c r="H159" s="62" t="n"/>
      <c r="I159" s="51" t="n"/>
      <c r="J159" s="51" t="n"/>
      <c r="K159" s="51" t="n"/>
      <c r="L159" s="51" t="n"/>
      <c r="M159" s="51" t="n"/>
      <c r="N159" s="51" t="n"/>
      <c r="O159" s="51" t="n"/>
      <c r="P159" s="51" t="n"/>
      <c r="Q159" s="51" t="n"/>
      <c r="R159" s="51" t="n"/>
    </row>
    <row r="160">
      <c r="B160" s="264" t="inlineStr">
        <is>
          <t>Lợi nhuận thuần từ HĐKD</t>
        </is>
      </c>
      <c r="C160" s="61" t="n"/>
      <c r="D160" s="616">
        <f>D152+D153-D154-D156-D158</f>
        <v/>
      </c>
      <c r="E160" s="616">
        <f>E152+E153-E154-E156-E158</f>
        <v/>
      </c>
      <c r="F160" s="616">
        <f>F152+F153-F154-F156-F158</f>
        <v/>
      </c>
      <c r="G160" s="616">
        <f>G152+G153-G154-G156-G158</f>
        <v/>
      </c>
      <c r="H160" s="617" t="n"/>
      <c r="I160" s="51" t="n"/>
      <c r="J160" s="51" t="n"/>
      <c r="K160" s="51" t="n"/>
      <c r="L160" s="51" t="n"/>
      <c r="M160" s="51" t="n"/>
      <c r="N160" s="51" t="n"/>
      <c r="O160" s="51" t="n"/>
      <c r="P160" s="51" t="n"/>
      <c r="Q160" s="51" t="n"/>
      <c r="R160" s="51" t="n"/>
    </row>
    <row r="161">
      <c r="B161" s="264" t="inlineStr">
        <is>
          <t>Thu nhập khác</t>
        </is>
      </c>
      <c r="C161" s="59" t="n"/>
      <c r="D161" s="618">
        <f>'02. Nhap lieu tai chinh_DD'!D148</f>
        <v/>
      </c>
      <c r="E161" s="618">
        <f>'02. Nhap lieu tai chinh_DD'!E148</f>
        <v/>
      </c>
      <c r="F161" s="618">
        <f>'02. Nhap lieu tai chinh_DD'!F148</f>
        <v/>
      </c>
      <c r="G161" s="618">
        <f>'02. Nhap lieu tai chinh_DD'!G148</f>
        <v/>
      </c>
      <c r="H161" s="60" t="n"/>
      <c r="I161" s="45" t="n"/>
      <c r="J161" s="45" t="n"/>
      <c r="K161" s="45" t="n"/>
      <c r="L161" s="45" t="n"/>
      <c r="M161" s="45" t="n"/>
      <c r="N161" s="45" t="n"/>
      <c r="O161" s="45" t="n"/>
      <c r="P161" s="45" t="n"/>
      <c r="Q161" s="45" t="n"/>
      <c r="R161" s="45" t="n"/>
    </row>
    <row r="162">
      <c r="B162" s="264" t="inlineStr">
        <is>
          <t>Chi phí khác</t>
        </is>
      </c>
      <c r="C162" s="59" t="n"/>
      <c r="D162" s="618">
        <f>'02. Nhap lieu tai chinh_DD'!D149</f>
        <v/>
      </c>
      <c r="E162" s="618">
        <f>'02. Nhap lieu tai chinh_DD'!E149</f>
        <v/>
      </c>
      <c r="F162" s="618">
        <f>'02. Nhap lieu tai chinh_DD'!F149</f>
        <v/>
      </c>
      <c r="G162" s="618">
        <f>'02. Nhap lieu tai chinh_DD'!G149</f>
        <v/>
      </c>
      <c r="H162" s="60" t="n"/>
      <c r="I162" s="45" t="n"/>
      <c r="J162" s="45" t="n"/>
      <c r="K162" s="45" t="n"/>
      <c r="L162" s="45" t="n"/>
      <c r="M162" s="45" t="n"/>
      <c r="N162" s="45" t="n"/>
      <c r="O162" s="45" t="n"/>
      <c r="P162" s="45" t="n"/>
      <c r="Q162" s="45" t="n"/>
      <c r="R162" s="45" t="n"/>
    </row>
    <row r="163">
      <c r="B163" s="264" t="inlineStr">
        <is>
          <t>Lợi nhuận khác</t>
        </is>
      </c>
      <c r="C163" s="61" t="n"/>
      <c r="D163" s="616">
        <f>D161-D162</f>
        <v/>
      </c>
      <c r="E163" s="616">
        <f>E161-E162</f>
        <v/>
      </c>
      <c r="F163" s="616">
        <f>F161-F162</f>
        <v/>
      </c>
      <c r="G163" s="616">
        <f>G161-G162</f>
        <v/>
      </c>
      <c r="H163" s="617" t="n"/>
      <c r="I163" s="51" t="n"/>
      <c r="J163" s="51" t="n"/>
      <c r="K163" s="51" t="n"/>
      <c r="L163" s="51" t="n"/>
      <c r="M163" s="51" t="n"/>
      <c r="N163" s="51" t="n"/>
      <c r="O163" s="51" t="n"/>
      <c r="P163" s="51" t="n"/>
      <c r="Q163" s="51" t="n"/>
      <c r="R163" s="51" t="n"/>
    </row>
    <row r="164">
      <c r="B164" s="264" t="inlineStr">
        <is>
          <t>Tổng lợi nhuận kế toán trước thuế</t>
        </is>
      </c>
      <c r="C164" s="59" t="n"/>
      <c r="D164" s="616">
        <f>D160+D163</f>
        <v/>
      </c>
      <c r="E164" s="616">
        <f>E160+E163</f>
        <v/>
      </c>
      <c r="F164" s="616">
        <f>F160+F163</f>
        <v/>
      </c>
      <c r="G164" s="616">
        <f>G160+G163</f>
        <v/>
      </c>
      <c r="H164" s="617" t="n"/>
      <c r="I164" s="45" t="n"/>
      <c r="J164" s="45" t="n"/>
      <c r="K164" s="45" t="n"/>
      <c r="L164" s="45" t="n"/>
      <c r="M164" s="45" t="n"/>
      <c r="N164" s="45" t="n"/>
      <c r="O164" s="45" t="n"/>
      <c r="P164" s="45" t="n"/>
      <c r="Q164" s="45" t="n"/>
      <c r="R164" s="45" t="n"/>
    </row>
    <row r="165">
      <c r="B165" s="264" t="inlineStr">
        <is>
          <t>Chi phí thuế TNDN hiện hành</t>
        </is>
      </c>
      <c r="C165" s="59" t="n"/>
      <c r="D165" s="618">
        <f>'02. Nhap lieu tai chinh_DD'!D152</f>
        <v/>
      </c>
      <c r="E165" s="618">
        <f>'02. Nhap lieu tai chinh_DD'!E152</f>
        <v/>
      </c>
      <c r="F165" s="618">
        <f>'02. Nhap lieu tai chinh_DD'!F152</f>
        <v/>
      </c>
      <c r="G165" s="618">
        <f>'02. Nhap lieu tai chinh_DD'!G152</f>
        <v/>
      </c>
      <c r="H165" s="60" t="n"/>
      <c r="I165" s="45" t="n"/>
      <c r="J165" s="45" t="n"/>
      <c r="K165" s="45" t="n"/>
      <c r="L165" s="45" t="n"/>
      <c r="M165" s="45" t="n"/>
      <c r="N165" s="45" t="n"/>
      <c r="O165" s="45" t="n"/>
      <c r="P165" s="45" t="n"/>
      <c r="Q165" s="45" t="n"/>
      <c r="R165" s="45" t="n"/>
    </row>
    <row r="166">
      <c r="B166" s="264" t="inlineStr">
        <is>
          <t>Chi phí thuế TNDN hoãn lại</t>
        </is>
      </c>
      <c r="C166" s="619" t="n"/>
      <c r="D166" s="618">
        <f>'02. Nhap lieu tai chinh_DD'!D153</f>
        <v/>
      </c>
      <c r="E166" s="618">
        <f>'02. Nhap lieu tai chinh_DD'!E153</f>
        <v/>
      </c>
      <c r="F166" s="618">
        <f>'02. Nhap lieu tai chinh_DD'!F153</f>
        <v/>
      </c>
      <c r="G166" s="618">
        <f>'02. Nhap lieu tai chinh_DD'!G153</f>
        <v/>
      </c>
      <c r="H166" s="62" t="n"/>
      <c r="I166" s="51" t="n"/>
      <c r="J166" s="51" t="n"/>
      <c r="K166" s="51" t="n"/>
      <c r="L166" s="51" t="n"/>
      <c r="M166" s="51" t="n"/>
      <c r="N166" s="51" t="n"/>
      <c r="O166" s="51" t="n"/>
      <c r="P166" s="51" t="n"/>
      <c r="Q166" s="51" t="n"/>
      <c r="R166" s="51" t="n"/>
    </row>
    <row r="167">
      <c r="B167" s="264" t="inlineStr">
        <is>
          <t>Lợi nhuận sau thuế TNDN</t>
        </is>
      </c>
      <c r="C167" s="58" t="n"/>
      <c r="D167" s="616">
        <f>D164-D165-D166</f>
        <v/>
      </c>
      <c r="E167" s="616">
        <f>E164-E165-E166</f>
        <v/>
      </c>
      <c r="F167" s="616">
        <f>F164-F165-F166</f>
        <v/>
      </c>
      <c r="G167" s="616">
        <f>G164-G165-G166</f>
        <v/>
      </c>
      <c r="H167" s="617" t="n"/>
      <c r="I167" s="45" t="n"/>
      <c r="J167" s="45" t="n"/>
      <c r="K167" s="45" t="n"/>
      <c r="L167" s="45" t="n"/>
      <c r="M167" s="45" t="n"/>
      <c r="N167" s="45" t="n"/>
      <c r="O167" s="45" t="n"/>
      <c r="P167" s="45" t="n"/>
      <c r="Q167" s="45" t="n"/>
      <c r="R167" s="45" t="n"/>
    </row>
    <row r="168" ht="15.75" customHeight="1" s="782" thickBot="1">
      <c r="B168" s="267" t="inlineStr">
        <is>
          <t>Lãi cơ bản trên cổ phiếu</t>
        </is>
      </c>
      <c r="C168" s="65" t="n"/>
      <c r="D168" s="618">
        <f>'02. Nhap lieu tai chinh_DD'!D155</f>
        <v/>
      </c>
      <c r="E168" s="618">
        <f>'02. Nhap lieu tai chinh_DD'!E155</f>
        <v/>
      </c>
      <c r="F168" s="618">
        <f>'02. Nhap lieu tai chinh_DD'!F155</f>
        <v/>
      </c>
      <c r="G168" s="618">
        <f>'02. Nhap lieu tai chinh_DD'!G155</f>
        <v/>
      </c>
      <c r="H168" s="66" t="n"/>
      <c r="I168" s="51" t="n"/>
      <c r="J168" s="51" t="n"/>
      <c r="K168" s="51" t="n"/>
      <c r="L168" s="51" t="n"/>
      <c r="M168" s="51" t="n"/>
      <c r="N168" s="51" t="n"/>
      <c r="O168" s="51" t="n"/>
      <c r="P168" s="51" t="n"/>
      <c r="Q168" s="51" t="n"/>
      <c r="R168" s="51" t="n"/>
    </row>
    <row r="169" ht="15.75" customHeight="1" s="782" thickTop="1">
      <c r="B169" s="67" t="n"/>
      <c r="C169" s="67" t="n"/>
      <c r="D169" s="620" t="n"/>
      <c r="E169" s="925" t="n"/>
      <c r="F169" s="925" t="n"/>
      <c r="G169" s="925" t="n"/>
      <c r="H169" s="886" t="n"/>
      <c r="I169" s="51" t="n"/>
      <c r="J169" s="51" t="n"/>
      <c r="K169" s="51" t="n"/>
      <c r="L169" s="51" t="n"/>
      <c r="M169" s="51" t="n"/>
      <c r="N169" s="51" t="n"/>
      <c r="O169" s="51" t="n"/>
      <c r="P169" s="51" t="n"/>
      <c r="Q169" s="51" t="n"/>
      <c r="R169" s="51" t="n"/>
    </row>
    <row r="170">
      <c r="B170" s="69" t="inlineStr">
        <is>
          <t>IV. Kết quả tính các chỉ số phân tích</t>
        </is>
      </c>
      <c r="C170" s="69" t="n"/>
      <c r="D170" s="622" t="n"/>
      <c r="E170" s="887" t="n"/>
      <c r="F170" s="826" t="n"/>
      <c r="G170" s="863" t="n"/>
      <c r="I170" s="73" t="n"/>
      <c r="J170" s="73" t="n"/>
      <c r="K170" s="73" t="n"/>
      <c r="L170" s="73" t="n"/>
      <c r="M170" s="73" t="n"/>
      <c r="N170" s="73" t="n"/>
      <c r="O170" s="73" t="n"/>
      <c r="P170" s="73" t="n"/>
      <c r="Q170" s="73" t="n"/>
      <c r="R170" s="73" t="n"/>
    </row>
    <row r="171" ht="15.75" customHeight="1" s="782" thickBot="1">
      <c r="B171" s="74" t="n"/>
      <c r="C171" s="74" t="n"/>
      <c r="D171" s="623" t="n"/>
      <c r="E171" s="74" t="n"/>
      <c r="F171" s="74" t="n"/>
      <c r="G171" s="864" t="n"/>
      <c r="I171" s="45" t="n"/>
      <c r="J171" s="45" t="n"/>
      <c r="K171" s="45" t="n"/>
      <c r="L171" s="45" t="n"/>
      <c r="M171" s="45" t="n"/>
      <c r="N171" s="45" t="n"/>
      <c r="O171" s="45" t="n"/>
      <c r="P171" s="45" t="n"/>
      <c r="Q171" s="45" t="n"/>
      <c r="R171" s="45" t="n"/>
    </row>
    <row r="172" ht="15.75" customHeight="1" s="782" thickTop="1">
      <c r="B172" s="75" t="inlineStr">
        <is>
          <t>Chỉ tiêu</t>
        </is>
      </c>
      <c r="C172" s="76" t="n"/>
      <c r="D172" s="624">
        <f>D142</f>
        <v/>
      </c>
      <c r="E172" s="624">
        <f>E142</f>
        <v/>
      </c>
      <c r="F172" s="624">
        <f>F5</f>
        <v/>
      </c>
      <c r="G172" s="625">
        <f>G5</f>
        <v/>
      </c>
      <c r="H172" s="626">
        <f>H5</f>
        <v/>
      </c>
      <c r="I172" s="45" t="n"/>
      <c r="J172" s="828" t="inlineStr">
        <is>
          <t>Trong trường hợp các chỉ giá trị ở mẫu số bằng 0, chương trình tự động cộng thêm 1 vào mẫu số</t>
        </is>
      </c>
      <c r="M172" s="45" t="n"/>
      <c r="N172" s="45" t="inlineStr">
        <is>
          <t>Năm N-2 so với TB ngành</t>
        </is>
      </c>
      <c r="O172" s="45" t="inlineStr">
        <is>
          <t>Năm N-1 so với TB ngành</t>
        </is>
      </c>
      <c r="P172" s="45" t="inlineStr">
        <is>
          <t>Năm N so với TB ngành</t>
        </is>
      </c>
      <c r="Q172" s="45" t="n"/>
      <c r="R172" s="45" t="inlineStr">
        <is>
          <t>Năm N+1 so với TB ngành</t>
        </is>
      </c>
    </row>
    <row r="173">
      <c r="B173" s="77" t="inlineStr">
        <is>
          <t>Chỉ tiêu thanh khoản</t>
        </is>
      </c>
      <c r="C173" s="78" t="n"/>
      <c r="D173" s="627" t="n"/>
      <c r="E173" s="926" t="n"/>
      <c r="F173" s="927" t="n"/>
      <c r="G173" s="927" t="n"/>
      <c r="H173" s="928" t="n"/>
      <c r="I173" s="45" t="n"/>
      <c r="M173" s="45" t="n"/>
      <c r="N173" s="45" t="n"/>
      <c r="O173" s="45" t="n"/>
      <c r="P173" s="45" t="n"/>
      <c r="Q173" s="45" t="n"/>
      <c r="R173" s="45" t="n"/>
    </row>
    <row r="174">
      <c r="B174" s="79" t="inlineStr">
        <is>
          <t>1.Khả năng thanh toán hiện hành (lần)</t>
        </is>
      </c>
      <c r="C174" s="80" t="n"/>
      <c r="D174" s="631">
        <f>IF(D85&lt;&gt;0,D12/D85,-99999)</f>
        <v/>
      </c>
      <c r="E174" s="631">
        <f>IF(E85&lt;&gt;0,E12/E85,-99999)</f>
        <v/>
      </c>
      <c r="F174" s="631">
        <f>IF(F85&lt;&gt;0,F12/F85,-99999)</f>
        <v/>
      </c>
      <c r="G174" s="631">
        <f>IF(G85&lt;&gt;0,G12/G85,-99999)</f>
        <v/>
      </c>
      <c r="H174" s="631">
        <f>IF(H85&lt;&gt;0,H12/H85,-99999)</f>
        <v/>
      </c>
      <c r="I174" s="81" t="n"/>
      <c r="M174" s="81" t="n"/>
      <c r="N174" s="45">
        <f>IF(D174&gt;$G$220,"&gt;",IF(D174=$G$220,"=","&lt;"))</f>
        <v/>
      </c>
      <c r="O174" s="45">
        <f>IF(E174&gt;G220,"&gt;",IF(E174=G220,"=","&lt;"))</f>
        <v/>
      </c>
      <c r="P174" s="45">
        <f>IF(F174&gt;G220,"&gt;",IF(F174=G220,"=","&lt;"))</f>
        <v/>
      </c>
      <c r="Q174" s="45">
        <f>IF(G174&gt;$G$220,"&gt;",IF(G174=$G$220,"=","&lt;"))</f>
        <v/>
      </c>
      <c r="R174" s="45">
        <f>IF(H174&gt;G220,"&gt;",IF(H174=G220,"=","&lt;"))</f>
        <v/>
      </c>
    </row>
    <row r="175">
      <c r="B175" s="79" t="inlineStr">
        <is>
          <t>2. Khả năng thanh toán nhanh (lần)</t>
        </is>
      </c>
      <c r="C175" s="80" t="n"/>
      <c r="D175" s="631">
        <f>IF(D85&lt;&gt;0,(D12-D31)/D85,-99999)</f>
        <v/>
      </c>
      <c r="E175" s="631">
        <f>IF(E85&lt;&gt;0,(E12-E31)/E85,-99999)</f>
        <v/>
      </c>
      <c r="F175" s="631">
        <f>IF(F85&lt;&gt;0,(F12-F31)/F85,-99999)</f>
        <v/>
      </c>
      <c r="G175" s="631">
        <f>IF(G85&lt;&gt;0,(G12-G31)/G85,-99999)</f>
        <v/>
      </c>
      <c r="H175" s="631">
        <f>IF(H85&lt;&gt;0,(H12-H31)/H85,-99999)</f>
        <v/>
      </c>
      <c r="I175" s="81" t="n"/>
      <c r="J175" s="81" t="n"/>
      <c r="K175" s="81" t="n"/>
      <c r="L175" s="81" t="n"/>
      <c r="M175" s="81" t="n"/>
      <c r="N175" s="45">
        <f>IF(D175&gt;$G$220,"&gt;",IF(D175=$G$220,"=","&lt;"))</f>
        <v/>
      </c>
      <c r="O175" s="45">
        <f>IF(E175&gt;G221,"&gt;",IF(E175=G221,"=","&lt;"))</f>
        <v/>
      </c>
      <c r="P175" s="45">
        <f>IF(F175&gt;G221,"&gt;",IF(F175=G221,"=","&lt;"))</f>
        <v/>
      </c>
      <c r="Q175" s="45" t="n"/>
      <c r="R175" s="45">
        <f>IF(H175&gt;G221,"&gt;",IF(H175=G221,"=","&lt;"))</f>
        <v/>
      </c>
    </row>
    <row r="176">
      <c r="B176" s="79" t="inlineStr">
        <is>
          <t>3. Khả năng thanh toán tức thời (lần)</t>
        </is>
      </c>
      <c r="C176" s="80" t="n"/>
      <c r="D176" s="631">
        <f>IF(D85&lt;&gt;0,(D13+D19)/D85,-99999)</f>
        <v/>
      </c>
      <c r="E176" s="631">
        <f>IF(E85&lt;&gt;0,(E13+E19)/E85,-99999)</f>
        <v/>
      </c>
      <c r="F176" s="631">
        <f>IF(F85&lt;&gt;0,(F13+F19)/F85,-99999)</f>
        <v/>
      </c>
      <c r="G176" s="631">
        <f>IF(G85&lt;&gt;0,(G13+G19)/G85,-99999)</f>
        <v/>
      </c>
      <c r="H176" s="631">
        <f>IF(H85&lt;&gt;0,(H13+H19)/H85,-99999)</f>
        <v/>
      </c>
      <c r="I176" s="81" t="n"/>
      <c r="J176" s="81" t="n"/>
      <c r="K176" s="81" t="n"/>
      <c r="L176" s="81" t="n"/>
      <c r="M176" s="81" t="n"/>
      <c r="N176" s="45">
        <f>IF(D176&gt;$G$220,"&gt;",IF(D176=$G$220,"=","&lt;"))</f>
        <v/>
      </c>
      <c r="O176" s="45">
        <f>IF(E176&gt;G222,"&gt;",IF(E176=G222,"=","&lt;"))</f>
        <v/>
      </c>
      <c r="P176" s="45">
        <f>IF(F176&gt;G222,"&gt;",IF(F176=G222,"=","&lt;"))</f>
        <v/>
      </c>
      <c r="Q176" s="45" t="n"/>
      <c r="R176" s="45">
        <f>IF(H176&gt;G222,"&gt;",IF(H176=G222,"=","&lt;"))</f>
        <v/>
      </c>
    </row>
    <row r="177">
      <c r="B177" s="77" t="inlineStr">
        <is>
          <t>Chỉ tiêu hoạt động</t>
        </is>
      </c>
      <c r="C177" s="82" t="n"/>
      <c r="D177" s="632" t="n"/>
      <c r="E177" s="633" t="n"/>
      <c r="F177" s="633" t="n"/>
      <c r="G177" s="633" t="n"/>
      <c r="H177" s="634" t="n"/>
      <c r="I177" s="81" t="n"/>
      <c r="J177" s="81" t="n"/>
      <c r="K177" s="81" t="n"/>
      <c r="L177" s="81" t="n"/>
      <c r="M177" s="81" t="n"/>
      <c r="N177" s="45" t="n"/>
      <c r="O177" s="45" t="n"/>
      <c r="P177" s="45" t="n"/>
      <c r="Q177" s="45" t="n"/>
      <c r="R177" s="45" t="n"/>
    </row>
    <row r="178" customFormat="1" s="733">
      <c r="B178" s="79" t="inlineStr">
        <is>
          <t>4. Vòng quay vốn lưu động (vòng)</t>
        </is>
      </c>
      <c r="C178" s="304" t="n"/>
      <c r="D178" s="631">
        <f>IF(D12&lt;&gt;0,D149/D12,-99999)</f>
        <v/>
      </c>
      <c r="E178" s="631">
        <f>IF(E12&lt;&gt;0,E149/E12,-99999)</f>
        <v/>
      </c>
      <c r="F178" s="631">
        <f>IF(F12&lt;&gt;0,F149/F12,-99999)</f>
        <v/>
      </c>
      <c r="G178" s="631">
        <f>IF(G12&lt;&gt;0,G149/G12,-99999)</f>
        <v/>
      </c>
      <c r="H178" s="631">
        <f>IF(H12&lt;&gt;0,H149/H12,-99999)</f>
        <v/>
      </c>
      <c r="I178" s="305" t="n"/>
      <c r="J178" s="305" t="n"/>
      <c r="K178" s="305" t="n"/>
      <c r="L178" s="305" t="n"/>
      <c r="M178" s="305" t="n"/>
      <c r="N178" s="305">
        <f>IF(D178&gt;G224,"&gt;",IF(D178=G224,"=","&lt;"))</f>
        <v/>
      </c>
      <c r="O178" s="305">
        <f>IF(E178&gt;G224,"&gt;",IF(E178=G224,"=","&lt;"))</f>
        <v/>
      </c>
      <c r="P178" s="305">
        <f>IF(F178&gt;G224,"&gt;",IF(F178=G224,"=","&lt;"))</f>
        <v/>
      </c>
      <c r="Q178" s="305" t="n"/>
      <c r="R178" s="305">
        <f>IF(H178&gt;G224,"&gt;",IF(H178=G224,"=","&lt;"))</f>
        <v/>
      </c>
    </row>
    <row r="179" customFormat="1" s="733">
      <c r="B179" s="79" t="inlineStr">
        <is>
          <t>5. Vòng quay hàng tồn kho (vòng) - Q2a</t>
        </is>
      </c>
      <c r="C179" s="304" t="n"/>
      <c r="D179" s="631">
        <f>IF(D31&lt;&gt;0,D150/D31,-99999)</f>
        <v/>
      </c>
      <c r="E179" s="631">
        <f>IF(E31&lt;&gt;0,E150/E31,-99999)</f>
        <v/>
      </c>
      <c r="F179" s="631">
        <f>IF(F31&lt;&gt;0,F150/F31,-99999)</f>
        <v/>
      </c>
      <c r="G179" s="631">
        <f>IF(G31&lt;&gt;0,G150/G31,-99999)</f>
        <v/>
      </c>
      <c r="H179" s="631">
        <f>IF(H31&lt;&gt;0,H150/H31,-99999)</f>
        <v/>
      </c>
      <c r="I179" s="305" t="n"/>
      <c r="J179" s="305" t="n"/>
      <c r="K179" s="305" t="n"/>
      <c r="L179" s="305" t="n"/>
      <c r="M179" s="305" t="n"/>
      <c r="N179" s="305">
        <f>IF(D179&gt;G225,"&gt;",IF(D179=G225,"=","&lt;"))</f>
        <v/>
      </c>
      <c r="O179" s="305">
        <f>IF(E179&gt;G225,"&gt;",IF(E179=G225,"=","&lt;"))</f>
        <v/>
      </c>
      <c r="P179" s="305">
        <f>IF(F179&gt;G225,"&gt;",IF(F179=G225,"=","&lt;"))</f>
        <v/>
      </c>
      <c r="Q179" s="305" t="n"/>
      <c r="R179" s="305">
        <f>IF(H179&gt;G225,"&gt;",IF(H179=G225,"=","&lt;"))</f>
        <v/>
      </c>
    </row>
    <row r="180" customFormat="1" s="733">
      <c r="B180" s="79" t="inlineStr">
        <is>
          <t>6. Vòng quay các khoản phải thu (vòng) - Q2b</t>
        </is>
      </c>
      <c r="C180" s="304" t="n"/>
      <c r="D180" s="631">
        <f>IF(D25&lt;&gt;0,D149/D25,-99999)</f>
        <v/>
      </c>
      <c r="E180" s="631">
        <f>IF(E25&lt;&gt;0,E149/E25,-99999)</f>
        <v/>
      </c>
      <c r="F180" s="631">
        <f>IF(F25&lt;&gt;0,F149/F25,-99999)</f>
        <v/>
      </c>
      <c r="G180" s="631">
        <f>IF(G25&lt;&gt;0,G149/G25,-99999)</f>
        <v/>
      </c>
      <c r="H180" s="631">
        <f>IF(H25&lt;&gt;0,H149/H25,-99999)</f>
        <v/>
      </c>
      <c r="I180" s="305" t="n"/>
      <c r="J180" s="305" t="n"/>
      <c r="K180" s="305" t="n"/>
      <c r="L180" s="305" t="n"/>
      <c r="M180" s="305" t="n"/>
      <c r="N180" s="305">
        <f>IF(D180&gt;G226,"&gt;",IF(D180=G226,"=","&lt;"))</f>
        <v/>
      </c>
      <c r="O180" s="305">
        <f>IF(E180&gt;G226,"&gt;",IF(E180=G226,"=","&lt;"))</f>
        <v/>
      </c>
      <c r="P180" s="305">
        <f>IF(F180&gt;G226,"&gt;",IF(F180=G226,"=","&lt;"))</f>
        <v/>
      </c>
      <c r="Q180" s="305" t="n"/>
      <c r="R180" s="305">
        <f>IF(H180&gt;G226,"&gt;",IF(H180=G226,"=","&lt;"))</f>
        <v/>
      </c>
    </row>
    <row r="181" customFormat="1" s="389">
      <c r="B181" s="79" t="inlineStr">
        <is>
          <t>7. Vòng quay khoản phải trả (Payables Turnover) - Q2c</t>
        </is>
      </c>
      <c r="C181" s="307" t="n"/>
      <c r="D181" s="631">
        <f>IF(D88&lt;&gt;0,D150/D88,-99999)</f>
        <v/>
      </c>
      <c r="E181" s="631">
        <f>IF(E88&lt;&gt;0,E150/E88,-99999)</f>
        <v/>
      </c>
      <c r="F181" s="631">
        <f>IF(F88&lt;&gt;0,F150/F88,-99999)</f>
        <v/>
      </c>
      <c r="G181" s="631">
        <f>IF(G88&lt;&gt;0,G150/G88,-99999)</f>
        <v/>
      </c>
      <c r="H181" s="631">
        <f>IF(H88&lt;&gt;0,H150/H88,-99999)</f>
        <v/>
      </c>
      <c r="I181" s="308" t="n"/>
      <c r="J181" s="308" t="n"/>
      <c r="K181" s="308" t="n"/>
      <c r="L181" s="308" t="n"/>
      <c r="M181" s="308" t="n"/>
      <c r="N181" s="308" t="n"/>
      <c r="O181" s="308" t="n"/>
      <c r="P181" s="305">
        <f>IF(F181&gt;G227,"&gt;",IF(F181=G227,"=","&lt;"))</f>
        <v/>
      </c>
      <c r="Q181" s="308" t="n"/>
      <c r="R181" s="308" t="n"/>
    </row>
    <row r="182" customFormat="1" s="733">
      <c r="B182" s="79" t="inlineStr">
        <is>
          <t>8. Hiệu suất sử dụng TSCĐ (lần)</t>
        </is>
      </c>
      <c r="C182" s="304" t="n"/>
      <c r="D182" s="631">
        <f>IF(D56&lt;&gt;0,D149/D56,-99999)</f>
        <v/>
      </c>
      <c r="E182" s="631">
        <f>IF(E56&lt;&gt;0,E149/E56,-99999)</f>
        <v/>
      </c>
      <c r="F182" s="631">
        <f>IF(F56&lt;&gt;0,F149/F56,-99999)</f>
        <v/>
      </c>
      <c r="G182" s="631">
        <f>IF(G56&lt;&gt;0,G149/G56,-99999)</f>
        <v/>
      </c>
      <c r="H182" s="631">
        <f>IF(H56&lt;&gt;0,H149/H56,-99999)</f>
        <v/>
      </c>
      <c r="I182" s="305" t="n"/>
      <c r="J182" s="305" t="n"/>
      <c r="K182" s="305" t="n"/>
      <c r="L182" s="305" t="n"/>
      <c r="M182" s="305" t="n"/>
      <c r="N182" s="305">
        <f>IF(D182&gt;G227,"&gt;",IF(D182=G227,"=","&lt;"))</f>
        <v/>
      </c>
      <c r="O182" s="305">
        <f>IF(E182&gt;G227,"&gt;",IF(E182=G227,"=","&lt;"))</f>
        <v/>
      </c>
      <c r="P182" s="305">
        <f>IF(F182&gt;G227,"&gt;",IF(F182=G227,"=","&lt;"))</f>
        <v/>
      </c>
      <c r="Q182" s="305" t="n"/>
      <c r="R182" s="305">
        <f>IF(H182&gt;G227,"&gt;",IF(H182=G227,"=","&lt;"))</f>
        <v/>
      </c>
    </row>
    <row r="183" customFormat="1" s="389">
      <c r="B183" s="79" t="inlineStr">
        <is>
          <t>9. Vòng quay kinh doanh</t>
        </is>
      </c>
      <c r="C183" s="307" t="n"/>
      <c r="D183" s="631">
        <f>IF(AND(D179&lt;&gt;-99999,D180&lt;&gt;-99999),365/(365/D179 + 365/D180),-99999)</f>
        <v/>
      </c>
      <c r="E183" s="631">
        <f>IF(AND(E179&lt;&gt;-99999,E180&lt;&gt;-99999),365/(365/E179 + 365/E180),-99999)</f>
        <v/>
      </c>
      <c r="F183" s="631">
        <f>IF(AND(F179&lt;&gt;-99999,F180&lt;&gt;-99999),365/(365/F179 + 365/F180),-99999)</f>
        <v/>
      </c>
      <c r="G183" s="631">
        <f>IF(AND(G179&lt;&gt;-99999,G180&lt;&gt;-99999),365/(365/G179 + 365/G180),-99999)</f>
        <v/>
      </c>
      <c r="H183" s="631">
        <f>IF(AND(H179&lt;&gt;-99999,H180&lt;&gt;-99999),365/(365/H179 + 365/H180),-99999)</f>
        <v/>
      </c>
      <c r="I183" s="308" t="n"/>
      <c r="J183" s="308" t="n"/>
      <c r="K183" s="308" t="n"/>
      <c r="L183" s="308" t="n"/>
      <c r="M183" s="308" t="n"/>
      <c r="N183" s="308" t="n"/>
      <c r="O183" s="308" t="n"/>
      <c r="P183" s="305">
        <f>IF(F183&gt;G228,"&gt;",IF(F183=G228,"=","&lt;"))</f>
        <v/>
      </c>
      <c r="Q183" s="308" t="n"/>
      <c r="R183" s="308" t="n"/>
    </row>
    <row r="184" customFormat="1" s="389">
      <c r="B184" s="79" t="inlineStr">
        <is>
          <t>10. Tiền và tương đương tiền/Tổng tài sản</t>
        </is>
      </c>
      <c r="C184" s="307" t="n"/>
      <c r="D184" s="631">
        <f>IF(D11&lt;&gt;0,D13/D11,-99999)</f>
        <v/>
      </c>
      <c r="E184" s="631">
        <f>IF(E11&lt;&gt;0,E13/E11,-99999)</f>
        <v/>
      </c>
      <c r="F184" s="631">
        <f>IF(F11&lt;&gt;0,F13/F11,-99999)</f>
        <v/>
      </c>
      <c r="G184" s="631">
        <f>IF(G11&lt;&gt;0,G13/G11,-99999)</f>
        <v/>
      </c>
      <c r="H184" s="631">
        <f>IF(H11&lt;&gt;0,H13/H11,-99999)</f>
        <v/>
      </c>
      <c r="I184" s="308" t="n"/>
      <c r="J184" s="308" t="n"/>
      <c r="K184" s="308" t="n"/>
      <c r="L184" s="308" t="n"/>
      <c r="M184" s="308" t="n"/>
      <c r="N184" s="308" t="n"/>
      <c r="O184" s="308" t="n"/>
      <c r="P184" s="305">
        <f>IF(F184&gt;G229,"&gt;",IF(F184=G229,"=","&lt;"))</f>
        <v/>
      </c>
      <c r="Q184" s="308" t="n"/>
      <c r="R184" s="308" t="n"/>
    </row>
    <row r="185" customFormat="1" s="389">
      <c r="B185" s="79" t="inlineStr">
        <is>
          <t>11. Phải thu khác/Tài sản ngắn hạn</t>
        </is>
      </c>
      <c r="C185" s="307" t="n"/>
      <c r="D185" s="631">
        <f>IF(D12&lt;&gt;0,(D29+D54)/D12,-99999)</f>
        <v/>
      </c>
      <c r="E185" s="631">
        <f>IF(E12&lt;&gt;0,(E29+E54)/E12,-99999)</f>
        <v/>
      </c>
      <c r="F185" s="631">
        <f>IF(F12&lt;&gt;0,(F29+F54)/F12,-99999)</f>
        <v/>
      </c>
      <c r="G185" s="631">
        <f>IF(G12&lt;&gt;0,(G29+G54)/G12,-99999)</f>
        <v/>
      </c>
      <c r="H185" s="631">
        <f>IF(H12&lt;&gt;0,(H29+H54)/H12,-99999)</f>
        <v/>
      </c>
      <c r="I185" s="308" t="n"/>
      <c r="J185" s="308" t="n"/>
      <c r="K185" s="308" t="n"/>
      <c r="L185" s="308" t="n"/>
      <c r="M185" s="308" t="n"/>
      <c r="N185" s="308" t="n"/>
      <c r="O185" s="308" t="n"/>
      <c r="P185" s="305" t="n"/>
      <c r="Q185" s="308" t="n"/>
      <c r="R185" s="308" t="n"/>
    </row>
    <row r="186" customFormat="1" s="389">
      <c r="B186" s="708" t="inlineStr">
        <is>
          <t>12. Số ngày thiếu tiền</t>
        </is>
      </c>
      <c r="C186" s="307" t="n"/>
      <c r="D186" s="635">
        <f>IF(AND(D179&lt;&gt;-99999,D180&lt;&gt;-99999,D181&lt;&gt;-99999),365/D179 + 365/D180-365/D181,-99999)</f>
        <v/>
      </c>
      <c r="E186" s="635">
        <f>IF(AND(E179&lt;&gt;-99999,E180&lt;&gt;-99999,E181&lt;&gt;-99999),365/E179 + 365/E180-365/E181,-99999)</f>
        <v/>
      </c>
      <c r="F186" s="635">
        <f>IF(AND(F179&lt;&gt;-99999,F180&lt;&gt;-99999,F181&lt;&gt;-99999),365/F179 + 365/F180-365/F181,-99999)</f>
        <v/>
      </c>
      <c r="G186" s="635">
        <f>IF(AND(G179&lt;&gt;-99999,G180&lt;&gt;-99999,G181&lt;&gt;-99999),365/G179 + 365/G180-365/G181,-99999)</f>
        <v/>
      </c>
      <c r="H186" s="635">
        <f>IF(AND(H179&lt;&gt;-99999,H180&lt;&gt;-99999,H181&lt;&gt;-99999),365/H179 + 365/H180-365/H181,-99999)</f>
        <v/>
      </c>
      <c r="I186" s="308" t="n"/>
      <c r="J186" s="308" t="n"/>
      <c r="K186" s="308" t="n"/>
      <c r="L186" s="308" t="n"/>
      <c r="M186" s="308" t="n"/>
      <c r="N186" s="308" t="n"/>
      <c r="O186" s="308" t="n"/>
      <c r="P186" s="305" t="n"/>
      <c r="Q186" s="308" t="n"/>
      <c r="R186" s="308" t="n"/>
    </row>
    <row r="187" customFormat="1" s="389">
      <c r="B187" s="708" t="inlineStr">
        <is>
          <t>13. Nhu cầu vốn 1 chu kỳ</t>
        </is>
      </c>
      <c r="C187" s="307" t="n"/>
      <c r="D187" s="635">
        <f>IF(D186&lt;&gt;-99999,D186*D150/365,-99999)</f>
        <v/>
      </c>
      <c r="E187" s="635">
        <f>IF(E186&lt;&gt;-99999,E186*E150/365,-99999)</f>
        <v/>
      </c>
      <c r="F187" s="635">
        <f>IF(F186&lt;&gt;-99999,F186*F150/365,-99999)</f>
        <v/>
      </c>
      <c r="G187" s="635">
        <f>IF(G186&lt;&gt;-99999,G186*G150/365,-99999)</f>
        <v/>
      </c>
      <c r="H187" s="635">
        <f>IF(H186&lt;&gt;-99999,H186*H150/365,-99999)</f>
        <v/>
      </c>
      <c r="I187" s="308" t="n"/>
      <c r="J187" s="308" t="n"/>
      <c r="K187" s="308" t="n"/>
      <c r="L187" s="308" t="n"/>
      <c r="M187" s="308" t="n"/>
      <c r="N187" s="308" t="n"/>
      <c r="O187" s="308" t="n"/>
      <c r="P187" s="305" t="n"/>
      <c r="Q187" s="308" t="n"/>
      <c r="R187" s="308" t="n"/>
    </row>
    <row r="188" customFormat="1" s="389">
      <c r="B188" s="708" t="inlineStr">
        <is>
          <t>14. Nhu cầu vốn 1 chu kì/Tiền và tương đương tiền</t>
        </is>
      </c>
      <c r="C188" s="307" t="n"/>
      <c r="D188" s="635">
        <f>IF(D187&lt;&gt;-99999,D187/D13,-99999)</f>
        <v/>
      </c>
      <c r="E188" s="635">
        <f>IF(E187&lt;&gt;-99999,E187/E13,-99999)</f>
        <v/>
      </c>
      <c r="F188" s="635">
        <f>IF(F187&lt;&gt;-99999,F187/F13,-99999)</f>
        <v/>
      </c>
      <c r="G188" s="635">
        <f>IF(G187&lt;&gt;-99999,G187/G13,-99999)</f>
        <v/>
      </c>
      <c r="H188" s="635">
        <f>IF(H187&lt;&gt;-99999,H187/H13,-99999)</f>
        <v/>
      </c>
      <c r="I188" s="308" t="n"/>
      <c r="J188" s="308" t="n"/>
      <c r="K188" s="308" t="n"/>
      <c r="L188" s="308" t="n"/>
      <c r="M188" s="308" t="n"/>
      <c r="N188" s="308" t="n"/>
      <c r="O188" s="308" t="n"/>
      <c r="P188" s="305" t="n"/>
      <c r="Q188" s="308" t="n"/>
      <c r="R188" s="308" t="n"/>
    </row>
    <row r="189" customFormat="1" s="389">
      <c r="B189" s="708" t="inlineStr">
        <is>
          <t>15. Nhu cầu vốn 1 chu kì / Nợ vay ngắn hạn</t>
        </is>
      </c>
      <c r="C189" s="307" t="n"/>
      <c r="D189" s="635">
        <f>IF(D187&lt;&gt;-99999,D187/D86,-99999)</f>
        <v/>
      </c>
      <c r="E189" s="635">
        <f>IF(E187&lt;&gt;-99999,E187/E86,-99999)</f>
        <v/>
      </c>
      <c r="F189" s="635">
        <f>IF(F187&lt;&gt;-99999,F187/F86,-99999)</f>
        <v/>
      </c>
      <c r="G189" s="635">
        <f>IF(G187&lt;&gt;-99999,G187/G86,-99999)</f>
        <v/>
      </c>
      <c r="H189" s="635">
        <f>IF(H187&lt;&gt;-99999,H187/H86,-99999)</f>
        <v/>
      </c>
      <c r="I189" s="308" t="n"/>
      <c r="J189" s="308" t="n"/>
      <c r="K189" s="308" t="n"/>
      <c r="L189" s="308" t="n"/>
      <c r="M189" s="308" t="n"/>
      <c r="N189" s="308" t="n"/>
      <c r="O189" s="308" t="n"/>
      <c r="P189" s="305" t="n"/>
      <c r="Q189" s="308" t="n"/>
      <c r="R189" s="308" t="n"/>
    </row>
    <row r="190" ht="30" customFormat="1" customHeight="1" s="389">
      <c r="B190" s="708" t="inlineStr">
        <is>
          <t>16. (Phải thu ngắn hạn - Phải thu khách hàng ngắn hạn)/Tài sản ngắn hạn</t>
        </is>
      </c>
      <c r="C190" s="307" t="n"/>
      <c r="D190" s="635">
        <f>IF(D12&lt;&gt;0,(D24-D25)/D12,-99999)</f>
        <v/>
      </c>
      <c r="E190" s="635">
        <f>IF(E12&lt;&gt;0,(E24-E25)/E12,-99999)</f>
        <v/>
      </c>
      <c r="F190" s="635">
        <f>IF(F12&lt;&gt;0,(F24-F25)/F12,-99999)</f>
        <v/>
      </c>
      <c r="G190" s="635">
        <f>IF(G12&lt;&gt;0,(G24-G25)/G12,-99999)</f>
        <v/>
      </c>
      <c r="H190" s="635">
        <f>IF(H12&lt;&gt;0,(H24-H25)/H12,-99999)</f>
        <v/>
      </c>
      <c r="I190" s="308" t="n"/>
      <c r="J190" s="308" t="n"/>
      <c r="K190" s="308" t="n"/>
      <c r="L190" s="308" t="n"/>
      <c r="M190" s="308" t="n"/>
      <c r="N190" s="308" t="n"/>
      <c r="O190" s="308" t="n"/>
      <c r="P190" s="305" t="n"/>
      <c r="Q190" s="308" t="n"/>
      <c r="R190" s="308" t="n"/>
    </row>
    <row r="191" ht="18.75" customFormat="1" customHeight="1" s="389">
      <c r="B191" s="708" t="inlineStr">
        <is>
          <t>17. (Phải thu ngắn hạn khác + Phải thu dài hạn khác)/Tổng tài sản</t>
        </is>
      </c>
      <c r="C191" s="307" t="n"/>
      <c r="D191" s="635">
        <f>IF(D11&lt;&gt;0,(D29+D54)/D11,-99999)</f>
        <v/>
      </c>
      <c r="E191" s="635">
        <f>IF(E11&lt;&gt;0,(E29+E54)/E11,-99999)</f>
        <v/>
      </c>
      <c r="F191" s="635">
        <f>IF(F11&lt;&gt;0,(F29+F54)/F11,-99999)</f>
        <v/>
      </c>
      <c r="G191" s="635">
        <f>IF(G11&lt;&gt;0,(G29+G54)/G11,-99999)</f>
        <v/>
      </c>
      <c r="H191" s="635">
        <f>IF(H11&lt;&gt;0,(H29+H54)/H11,-99999)</f>
        <v/>
      </c>
      <c r="I191" s="308" t="n"/>
      <c r="J191" s="308" t="n"/>
      <c r="K191" s="308" t="n"/>
      <c r="L191" s="308" t="n"/>
      <c r="M191" s="308" t="n"/>
      <c r="N191" s="308" t="n"/>
      <c r="O191" s="308" t="n"/>
      <c r="P191" s="305" t="n"/>
      <c r="Q191" s="308" t="n"/>
      <c r="R191" s="308" t="n"/>
    </row>
    <row r="192">
      <c r="B192" s="77" t="inlineStr">
        <is>
          <t>Chỉ tiêu cân nợ</t>
        </is>
      </c>
      <c r="C192" s="82" t="n"/>
      <c r="D192" s="632" t="n"/>
      <c r="E192" s="633" t="n"/>
      <c r="F192" s="633" t="n"/>
      <c r="G192" s="633" t="n"/>
      <c r="H192" s="634" t="n"/>
      <c r="I192" s="45" t="n"/>
      <c r="J192" s="45" t="n"/>
      <c r="K192" s="45" t="n"/>
      <c r="L192" s="45" t="n"/>
      <c r="M192" s="45" t="n"/>
      <c r="N192" s="45" t="n"/>
      <c r="O192" s="45" t="n"/>
      <c r="P192" s="45" t="n"/>
      <c r="Q192" s="45" t="n"/>
      <c r="R192" s="45" t="n"/>
    </row>
    <row r="193">
      <c r="B193" s="79" t="inlineStr">
        <is>
          <t>18. Tổng nợ phải trả/ Tổng tài sản (lần)</t>
        </is>
      </c>
      <c r="C193" s="82" t="n"/>
      <c r="D193" s="631">
        <f>IF(D11&lt;&gt;0,D84/D11,-99999)</f>
        <v/>
      </c>
      <c r="E193" s="631">
        <f>IF(E11&lt;&gt;0,E84/E11,-99999)</f>
        <v/>
      </c>
      <c r="F193" s="631">
        <f>IF(F11&lt;&gt;0,F84/F11,-99999)</f>
        <v/>
      </c>
      <c r="G193" s="631">
        <f>IF(G11&lt;&gt;0,G84/G11,-99999)</f>
        <v/>
      </c>
      <c r="H193" s="631">
        <f>IF(H11&lt;&gt;0,H84/H11,-99999)</f>
        <v/>
      </c>
      <c r="I193" s="45" t="n"/>
      <c r="J193" s="45" t="n"/>
      <c r="K193" s="45" t="n"/>
      <c r="L193" s="45" t="n"/>
      <c r="M193" s="45" t="n"/>
      <c r="N193" s="45">
        <f>IF(D193&gt;G229,"&gt;",IF(D193=G229,"=","&lt;"))</f>
        <v/>
      </c>
      <c r="O193" s="45">
        <f>IF(E193&gt;G229,"&gt;",IF(E193=G229,"=","&lt;"))</f>
        <v/>
      </c>
      <c r="P193" s="45">
        <f>IF(F193&gt;G229,"&gt;",IF(F193=G229,"=","&lt;"))</f>
        <v/>
      </c>
      <c r="Q193" s="45" t="n"/>
      <c r="R193" s="45">
        <f>IF(H193&gt;G229,"&gt;",IF(H193=G229,"=","&lt;"))</f>
        <v/>
      </c>
    </row>
    <row r="194">
      <c r="B194" s="79" t="inlineStr">
        <is>
          <t>19. Nợ dài dạn/Vốn CSH (lần)</t>
        </is>
      </c>
      <c r="C194" s="80" t="n"/>
      <c r="D194" s="631">
        <f>IF(D112&lt;&gt;0,D100/D112,-99999)</f>
        <v/>
      </c>
      <c r="E194" s="631">
        <f>IF(E112&lt;&gt;0,E100/E112,-99999)</f>
        <v/>
      </c>
      <c r="F194" s="631">
        <f>IF(F112&lt;&gt;0,F100/F112,-99999)</f>
        <v/>
      </c>
      <c r="G194" s="631">
        <f>IF(G112&lt;&gt;0,G100/G112,-99999)</f>
        <v/>
      </c>
      <c r="H194" s="631">
        <f>IF(H112&lt;&gt;0,H100/H112,-99999)</f>
        <v/>
      </c>
      <c r="I194" s="45" t="n"/>
      <c r="J194" s="45" t="n"/>
      <c r="K194" s="45" t="n"/>
      <c r="L194" s="45" t="n"/>
      <c r="M194" s="45" t="n"/>
      <c r="N194" s="45">
        <f>IF(D194&gt;G230,"&gt;",IF(D194=G230,"=","&lt;"))</f>
        <v/>
      </c>
      <c r="O194" s="45">
        <f>IF(E194&gt;G230,"&gt;",IF(E194=G230,"=","&lt;"))</f>
        <v/>
      </c>
      <c r="P194" s="45">
        <f>IF(F194&gt;G230,"&gt;",IF(F194=G230,"=","&lt;"))</f>
        <v/>
      </c>
      <c r="Q194" s="45" t="n"/>
      <c r="R194" s="45">
        <f>IF(H194&gt;G230,"&gt;",IF(H194=G230,"=","&lt;"))</f>
        <v/>
      </c>
    </row>
    <row r="195" customFormat="1" s="733">
      <c r="B195" s="79" t="inlineStr">
        <is>
          <t>20. Tổng nợ/Vốn CSH (lần)</t>
        </is>
      </c>
      <c r="C195" s="304" t="n"/>
      <c r="D195" s="631">
        <f>IF(D112&lt;&gt;0,D84/D112,-99999)</f>
        <v/>
      </c>
      <c r="E195" s="631">
        <f>IF(E112&lt;&gt;0,E84/E112,-99999)</f>
        <v/>
      </c>
      <c r="F195" s="631">
        <f>IF(F112&lt;&gt;0,F84/F112,-99999)</f>
        <v/>
      </c>
      <c r="G195" s="631">
        <f>IF(G112&lt;&gt;0,G84/G112,-99999)</f>
        <v/>
      </c>
      <c r="H195" s="631">
        <f>IF(H112&lt;&gt;0,H84/H112,-99999)</f>
        <v/>
      </c>
      <c r="I195" s="305" t="n"/>
      <c r="J195" s="305" t="n"/>
      <c r="K195" s="305" t="n"/>
      <c r="L195" s="305" t="n"/>
      <c r="M195" s="305" t="n"/>
      <c r="N195" s="305">
        <f>IF(D195&gt;G231,"&gt;",IF(D195=G231,"=","&lt;"))</f>
        <v/>
      </c>
      <c r="O195" s="305">
        <f>IF(E195&gt;G231,"&gt;",IF(E195=G231,"=","&lt;"))</f>
        <v/>
      </c>
      <c r="P195" s="305">
        <f>IF(F195&gt;G231,"&gt;",IF(F195=G231,"=","&lt;"))</f>
        <v/>
      </c>
      <c r="Q195" s="305" t="n"/>
      <c r="R195" s="305">
        <f>IF(H195&gt;G231,"&gt;",IF(H195=G231,"=","&lt;"))</f>
        <v/>
      </c>
    </row>
    <row r="196" customFormat="1" s="389">
      <c r="B196" s="79" t="inlineStr">
        <is>
          <t>21. Khả năng thực hiện nghĩa vụ trả nợ ngắn hạn</t>
        </is>
      </c>
      <c r="C196" s="307" t="n"/>
      <c r="D196" s="631">
        <f>IF((D86 +D88)&lt;&gt;0,(D13+D25+D31)/(D86+ D88),-99999)</f>
        <v/>
      </c>
      <c r="E196" s="631">
        <f>IF((E86 +E88)&lt;&gt;0,(E13+E25+E31)/(E86+ E88),-99999)</f>
        <v/>
      </c>
      <c r="F196" s="631">
        <f>IF((F86 +F88)&lt;&gt;0,(F13+F25+F31)/(F86+ F88),-99999)</f>
        <v/>
      </c>
      <c r="G196" s="631">
        <f>IF((G86 +G88)&lt;&gt;0,(G13+G25+G31)/(G86+ G88),-99999)</f>
        <v/>
      </c>
      <c r="H196" s="631">
        <f>IF((H86 +H88)&lt;&gt;0,(H13+H25+H31)/(H86+ H88),-99999)</f>
        <v/>
      </c>
      <c r="I196" s="308" t="n"/>
      <c r="J196" s="308" t="n"/>
      <c r="K196" s="308" t="n"/>
      <c r="L196" s="308" t="n"/>
      <c r="M196" s="308" t="n"/>
      <c r="N196" s="308" t="n"/>
      <c r="O196" s="308" t="n"/>
      <c r="P196" s="308" t="n"/>
      <c r="Q196" s="308" t="n"/>
      <c r="R196" s="308" t="n"/>
    </row>
    <row r="197" ht="15.75" customFormat="1" customHeight="1" s="389" thickBot="1">
      <c r="B197" s="769" t="inlineStr">
        <is>
          <t>36. Tổng nợ vay/Vốn CSH</t>
        </is>
      </c>
      <c r="C197" s="307" t="n"/>
      <c r="D197" s="631">
        <f>IF(D112&lt;&gt;0,(D86+D104)/D112,-99999)</f>
        <v/>
      </c>
      <c r="E197" s="631">
        <f>IF(E112&lt;&gt;0,(E86+E104)/E112,-99999)</f>
        <v/>
      </c>
      <c r="F197" s="631">
        <f>IF(F112&lt;&gt;0,(F86+F104)/F112,-99999)</f>
        <v/>
      </c>
      <c r="G197" s="631">
        <f>IF(G112&lt;&gt;0,(G86+G104)/G112,-99999)</f>
        <v/>
      </c>
      <c r="H197" s="631">
        <f>IF(H112&lt;&gt;0,(H86+H104)/H112,-99999)</f>
        <v/>
      </c>
      <c r="I197" s="308" t="n"/>
      <c r="J197" s="308" t="n"/>
      <c r="K197" s="308" t="n"/>
      <c r="L197" s="308" t="n"/>
      <c r="M197" s="308" t="n"/>
      <c r="N197" s="308" t="n"/>
      <c r="O197" s="308" t="n"/>
      <c r="P197" s="308" t="n"/>
      <c r="Q197" s="308" t="n"/>
      <c r="R197" s="308" t="n"/>
    </row>
    <row r="198" ht="15.75" customHeight="1" s="782" thickTop="1">
      <c r="B198" s="77" t="inlineStr">
        <is>
          <t>Chỉ tiêu thu nhập</t>
        </is>
      </c>
      <c r="C198" s="80" t="n"/>
      <c r="D198" s="632" t="n"/>
      <c r="E198" s="633" t="n"/>
      <c r="F198" s="633" t="n"/>
      <c r="G198" s="633" t="n"/>
      <c r="H198" s="634" t="n"/>
      <c r="I198" s="45" t="n"/>
      <c r="J198" s="45" t="n"/>
      <c r="K198" s="81" t="n"/>
      <c r="L198" s="81" t="n"/>
      <c r="M198" s="81" t="n"/>
      <c r="N198" s="45" t="n"/>
      <c r="O198" s="45" t="n"/>
      <c r="P198" s="45" t="n"/>
      <c r="Q198" s="45" t="n"/>
      <c r="R198" s="45" t="n"/>
    </row>
    <row r="199" customFormat="1" s="389">
      <c r="B199" s="79" t="inlineStr">
        <is>
          <t>22. Lợi nhuận từ hoạt động kinh doanh</t>
        </is>
      </c>
      <c r="C199" s="307" t="n"/>
      <c r="D199" s="636">
        <f>D160-D153+D154</f>
        <v/>
      </c>
      <c r="E199" s="636">
        <f>E160-E153+E154</f>
        <v/>
      </c>
      <c r="F199" s="636">
        <f>F160-F153+F154</f>
        <v/>
      </c>
      <c r="G199" s="636">
        <f>G160-G153+G154</f>
        <v/>
      </c>
      <c r="H199" s="637">
        <f>H160-H153+H154</f>
        <v/>
      </c>
      <c r="I199" s="308" t="n"/>
      <c r="J199" s="308" t="n"/>
      <c r="K199" s="310" t="n"/>
      <c r="L199" s="310" t="n"/>
      <c r="M199" s="310" t="n"/>
      <c r="N199" s="308" t="n"/>
      <c r="O199" s="308" t="n"/>
      <c r="P199" s="305">
        <f>IF(F199&gt;G235,"&gt;",IF(F199=G235,"=","&lt;"))</f>
        <v/>
      </c>
      <c r="Q199" s="308" t="n"/>
      <c r="R199" s="308" t="n"/>
    </row>
    <row r="200">
      <c r="B200" s="79" t="inlineStr">
        <is>
          <t>23. Lợi nhuận gộp/Doanh thu thuần (lần)</t>
        </is>
      </c>
      <c r="C200" s="82" t="n"/>
      <c r="D200" s="631">
        <f>IF(D149&lt;&gt;0,D152/D149,-99999)</f>
        <v/>
      </c>
      <c r="E200" s="631">
        <f>IF(E149&lt;&gt;0,E152/E149,-99999)</f>
        <v/>
      </c>
      <c r="F200" s="631">
        <f>IF(F149&lt;&gt;0,F152/F149,-99999)</f>
        <v/>
      </c>
      <c r="G200" s="631">
        <f>IF(G149&lt;&gt;0,G152/G149,-99999)</f>
        <v/>
      </c>
      <c r="H200" s="631">
        <f>IF(H149&lt;&gt;0,H152/H149,-99999)</f>
        <v/>
      </c>
      <c r="I200" s="45" t="n"/>
      <c r="J200" s="45" t="n"/>
      <c r="K200" s="81" t="n"/>
      <c r="L200" s="81" t="n"/>
      <c r="M200" s="81" t="n"/>
      <c r="N200" s="45">
        <f>IF(D200&gt;G233,"&gt;",IF(D200=G233,"=","&lt;"))</f>
        <v/>
      </c>
      <c r="O200" s="45">
        <f>IF(E200&gt;G233,"&gt;",IF(E200=G233,"=","&lt;"))</f>
        <v/>
      </c>
      <c r="P200" s="45">
        <f>IF(F200&gt;G233,"&gt;",IF(F200=G233,"=","&lt;"))</f>
        <v/>
      </c>
      <c r="Q200" s="45" t="n"/>
      <c r="R200" s="45">
        <f>IF(H200&gt;G233,"&gt;",IF(H200=G233,"=","&lt;"))</f>
        <v/>
      </c>
    </row>
    <row r="201">
      <c r="B201" s="79" t="inlineStr">
        <is>
          <t>24. Lợi nhuận từ hoạt động KD/Doanh thu thuần (lần)</t>
        </is>
      </c>
      <c r="C201" s="80" t="n"/>
      <c r="D201" s="631">
        <f>IF(D149&lt;&gt;0,(D160-D153+D154)/D149,-99999)</f>
        <v/>
      </c>
      <c r="E201" s="631">
        <f>IF(E149&lt;&gt;0,(E160-E153+E154)/E149,-99999)</f>
        <v/>
      </c>
      <c r="F201" s="631">
        <f>IF(F149&lt;&gt;0,(F160-F153+F154)/F149,-99999)</f>
        <v/>
      </c>
      <c r="G201" s="631">
        <f>IF(G149&lt;&gt;0,(G160-G153+G154)/G149,-99999)</f>
        <v/>
      </c>
      <c r="H201" s="631">
        <f>IF(H149&lt;&gt;0,(H160-H153+H154)/H149,-99999)</f>
        <v/>
      </c>
      <c r="I201" s="45" t="n"/>
      <c r="J201" s="45" t="n"/>
      <c r="K201" s="81" t="n"/>
      <c r="L201" s="81" t="n"/>
      <c r="M201" s="81" t="n"/>
      <c r="N201" s="45">
        <f>IF(D201&gt;G234,"&gt;",IF(D201=G234,"=","&lt;"))</f>
        <v/>
      </c>
      <c r="O201" s="45">
        <f>IF(E201&gt;G234,"&gt;",IF(E201=G234,"=","&lt;"))</f>
        <v/>
      </c>
      <c r="P201" s="45">
        <f>IF(F201&gt;G234,"&gt;",IF(F201=G234,"=","&lt;"))</f>
        <v/>
      </c>
      <c r="Q201" s="45" t="n"/>
      <c r="R201" s="45">
        <f>IF(H201&gt;G234,"&gt;",IF(H201=G234,"=","&lt;"))</f>
        <v/>
      </c>
    </row>
    <row r="202">
      <c r="B202" s="708" t="inlineStr">
        <is>
          <t>25. Lợi nhuận sau thuế/Vốn CSH (lần)</t>
        </is>
      </c>
      <c r="C202" s="80" t="n"/>
      <c r="D202" s="631">
        <f>IF(D112&lt;&gt;0,D167/D112,-99999)</f>
        <v/>
      </c>
      <c r="E202" s="631">
        <f>IF(E112&lt;&gt;0,E167/E112,-99999)</f>
        <v/>
      </c>
      <c r="F202" s="631">
        <f>IF(F112&lt;&gt;0,F167/F112,-99999)</f>
        <v/>
      </c>
      <c r="G202" s="631">
        <f>IF(G112&lt;&gt;0,G167/G112,-99999)</f>
        <v/>
      </c>
      <c r="H202" s="631">
        <f>IF(H112&lt;&gt;0,H167/H112,-99999)</f>
        <v/>
      </c>
      <c r="I202" s="45" t="n"/>
      <c r="J202" s="45" t="n"/>
      <c r="K202" s="45" t="n"/>
      <c r="L202" s="45" t="n"/>
      <c r="M202" s="45" t="n"/>
      <c r="N202" s="45">
        <f>IF(D202&gt;G235,"&gt;",IF(D202=G235,"=","&lt;"))</f>
        <v/>
      </c>
      <c r="O202" s="45">
        <f>IF(E202&gt;G235,"&gt;",IF(E202=G235,"=","&lt;"))</f>
        <v/>
      </c>
      <c r="P202" s="45">
        <f>IF(F202&gt;G235,"&gt;",IF(F202=G235,"=","&lt;"))</f>
        <v/>
      </c>
      <c r="Q202" s="45" t="n"/>
      <c r="R202" s="45">
        <f>IF(H202&gt;G235,"&gt;",IF(H202=G235,"=","&lt;"))</f>
        <v/>
      </c>
    </row>
    <row r="203" customFormat="1" s="733">
      <c r="B203" s="79" t="inlineStr">
        <is>
          <t>26. Lợi nhuận sau thuế/Tổng tài sản bình quân (lần)</t>
        </is>
      </c>
      <c r="C203" s="304" t="n"/>
      <c r="D203" s="631">
        <f>IF(D11&lt;&gt;0,D167/D11,-99999)</f>
        <v/>
      </c>
      <c r="E203" s="631">
        <f>IF(E11&lt;&gt;0,E167/E11,-99999)</f>
        <v/>
      </c>
      <c r="F203" s="631">
        <f>IF(F11&lt;&gt;0,F167/F11,-99999)</f>
        <v/>
      </c>
      <c r="G203" s="631">
        <f>IF(G11&lt;&gt;0,G167/G11,-99999)</f>
        <v/>
      </c>
      <c r="H203" s="631">
        <f>IF(H11&lt;&gt;0,H167/H11,-99999)</f>
        <v/>
      </c>
      <c r="I203" s="305" t="n"/>
      <c r="J203" s="305" t="n"/>
      <c r="K203" s="305" t="n"/>
      <c r="L203" s="305" t="n"/>
      <c r="M203" s="305" t="n"/>
      <c r="N203" s="305">
        <f>IF(D203&gt;G236,"&gt;",IF(D203=G236,"=","&lt;"))</f>
        <v/>
      </c>
      <c r="O203" s="305">
        <f>IF(E203&gt;G236,"&gt;",IF(E203=G236,"=","&lt;"))</f>
        <v/>
      </c>
      <c r="P203" s="305">
        <f>IF(F203&gt;G236,"&gt;",IF(F203=G236,"=","&lt;"))</f>
        <v/>
      </c>
      <c r="Q203" s="305" t="n"/>
      <c r="R203" s="305">
        <f>IF(H203&gt;G236,"&gt;",IF(H203=G236,"=","&lt;"))</f>
        <v/>
      </c>
    </row>
    <row r="204" customFormat="1" s="389">
      <c r="B204" s="79" t="inlineStr">
        <is>
          <t>27. Lợi nhuận gộp/Tổng tài sản</t>
        </is>
      </c>
      <c r="C204" s="307" t="n"/>
      <c r="D204" s="631">
        <f>IF(D11&lt;&gt;0,D152/D11,-99999)</f>
        <v/>
      </c>
      <c r="E204" s="631">
        <f>IF(E11&lt;&gt;0,E152/E11,-99999)</f>
        <v/>
      </c>
      <c r="F204" s="631">
        <f>IF(F11&lt;&gt;0,F152/F11,-99999)</f>
        <v/>
      </c>
      <c r="G204" s="631">
        <f>IF(G11&lt;&gt;0,G152/G11,-99999)</f>
        <v/>
      </c>
      <c r="H204" s="631">
        <f>IF(H11&lt;&gt;0,H152/H11,-99999)</f>
        <v/>
      </c>
      <c r="I204" s="308" t="n"/>
      <c r="J204" s="308" t="n"/>
      <c r="K204" s="310" t="n"/>
      <c r="L204" s="310" t="n"/>
      <c r="M204" s="310" t="n"/>
      <c r="N204" s="308" t="n"/>
      <c r="O204" s="308" t="n"/>
      <c r="P204" s="305">
        <f>IF(F204&gt;G240,"&gt;",IF(F204=G240,"=","&lt;"))</f>
        <v/>
      </c>
      <c r="Q204" s="308" t="n"/>
      <c r="R204" s="308" t="n"/>
    </row>
    <row r="205">
      <c r="B205" s="79" t="inlineStr">
        <is>
          <t>28. EBIT/Chi phí lãi vay (lần)</t>
        </is>
      </c>
      <c r="C205" s="80" t="n"/>
      <c r="D205" s="631">
        <f>IF(D155&lt;&gt;0,(D164+D155)/D155,-99999)</f>
        <v/>
      </c>
      <c r="E205" s="631">
        <f>IF(E155&lt;&gt;0,(E164+E155)/E155,-99999)</f>
        <v/>
      </c>
      <c r="F205" s="631">
        <f>IF(F155&lt;&gt;0,(F164+F155)/F155,-99999)</f>
        <v/>
      </c>
      <c r="G205" s="631">
        <f>IF(G155&lt;&gt;0,(G164+G155)/G155,-99999)</f>
        <v/>
      </c>
      <c r="H205" s="631">
        <f>IF(H155&lt;&gt;0,(H164+H155)/H155,-99999)</f>
        <v/>
      </c>
      <c r="I205" s="45" t="n"/>
      <c r="J205" s="45" t="n"/>
      <c r="K205" s="81" t="n"/>
      <c r="L205" s="81" t="n"/>
      <c r="M205" s="81" t="n"/>
      <c r="N205" s="45">
        <f>IF(D205&gt;G237,"&gt;",IF(D205=G237,"=","&lt;"))</f>
        <v/>
      </c>
      <c r="O205" s="45">
        <f>IF(E205&gt;G237,"&gt;",IF(E205=G237,"=","&lt;"))</f>
        <v/>
      </c>
      <c r="P205" s="45">
        <f>IF(F205&gt;G237,"&gt;",IF(F205=G237,"=","&lt;"))</f>
        <v/>
      </c>
      <c r="Q205" s="45" t="n"/>
      <c r="R205" s="45">
        <f>IF(H205&gt;G237,"&gt;",IF(H205=G237,"=","&lt;"))</f>
        <v/>
      </c>
    </row>
    <row r="206" customFormat="1" s="389">
      <c r="B206" s="79" t="inlineStr">
        <is>
          <t>29. Doanh thu thuần/Nợ vay ngắn hạn</t>
        </is>
      </c>
      <c r="C206" s="307" t="n"/>
      <c r="D206" s="631">
        <f>IF(D86&lt;&gt;0,D149/D86,-99999)</f>
        <v/>
      </c>
      <c r="E206" s="631">
        <f>IF(E86&lt;&gt;0,E149/E86,-99999)</f>
        <v/>
      </c>
      <c r="F206" s="631">
        <f>IF(F86&lt;&gt;0,F149/F86,-99999)</f>
        <v/>
      </c>
      <c r="G206" s="631">
        <f>IF(G86&lt;&gt;0,G149/G86,-99999)</f>
        <v/>
      </c>
      <c r="H206" s="631">
        <f>IF(H86&lt;&gt;0,H149/H86,-99999)</f>
        <v/>
      </c>
      <c r="I206" s="308" t="n"/>
      <c r="J206" s="308" t="n"/>
      <c r="K206" s="310" t="n"/>
      <c r="L206" s="310" t="n"/>
      <c r="M206" s="310" t="n"/>
      <c r="N206" s="308" t="n"/>
      <c r="O206" s="308" t="n"/>
      <c r="P206" s="305">
        <f>IF(F206&gt;G242,"&gt;",IF(F206=G242,"=","&lt;"))</f>
        <v/>
      </c>
      <c r="Q206" s="308" t="n"/>
      <c r="R206" s="308" t="n"/>
    </row>
    <row r="207" customFormat="1" s="389">
      <c r="B207" s="79" t="inlineStr">
        <is>
          <t>30. Doanh thu thuần/Nợ phải trả</t>
        </is>
      </c>
      <c r="C207" s="307" t="n"/>
      <c r="D207" s="631">
        <f>IF(D84&lt;&gt;0,D149/D84,-99999)</f>
        <v/>
      </c>
      <c r="E207" s="631">
        <f>IF(E84&lt;&gt;0,E149/E84,-99999)</f>
        <v/>
      </c>
      <c r="F207" s="631">
        <f>IF(F84&lt;&gt;0,F149/F84,-99999)</f>
        <v/>
      </c>
      <c r="G207" s="631">
        <f>IF(G84&lt;&gt;0,G149/G84,-99999)</f>
        <v/>
      </c>
      <c r="H207" s="631">
        <f>IF(H84&lt;&gt;0,H149/H84,-99999)</f>
        <v/>
      </c>
      <c r="I207" s="308" t="n"/>
      <c r="J207" s="308" t="n"/>
      <c r="K207" s="310" t="n"/>
      <c r="L207" s="310" t="n"/>
      <c r="M207" s="310" t="n"/>
      <c r="N207" s="308" t="n"/>
      <c r="O207" s="308" t="n"/>
      <c r="P207" s="305">
        <f>IF(F207&gt;G243,"&gt;",IF(F207=G243,"=","&lt;"))</f>
        <v/>
      </c>
      <c r="Q207" s="308" t="n"/>
      <c r="R207" s="308" t="n"/>
    </row>
    <row r="208" customFormat="1" s="389">
      <c r="B208" s="79" t="inlineStr">
        <is>
          <t>31. Doanh thu thuần/Tổng tài sản</t>
        </is>
      </c>
      <c r="C208" s="307" t="n"/>
      <c r="D208" s="631">
        <f>IF(D11&lt;&gt;0,D149/D11,-99999)</f>
        <v/>
      </c>
      <c r="E208" s="631">
        <f>IF(E11&lt;&gt;0,E149/E11,-99999)</f>
        <v/>
      </c>
      <c r="F208" s="631">
        <f>IF(F11&lt;&gt;0,F149/F11,-99999)</f>
        <v/>
      </c>
      <c r="G208" s="631">
        <f>IF(G11&lt;&gt;0,G149/G11,-99999)</f>
        <v/>
      </c>
      <c r="H208" s="631">
        <f>IF(H11&lt;&gt;0,H149/H11,-99999)</f>
        <v/>
      </c>
      <c r="I208" s="308" t="n"/>
      <c r="J208" s="308" t="n"/>
      <c r="K208" s="310" t="n"/>
      <c r="L208" s="310" t="n"/>
      <c r="M208" s="310" t="n"/>
      <c r="N208" s="308" t="n"/>
      <c r="O208" s="308" t="n"/>
      <c r="P208" s="305">
        <f>IF(F208&gt;G244,"&gt;",IF(F208=G244,"=","&lt;"))</f>
        <v/>
      </c>
      <c r="Q208" s="308" t="n"/>
      <c r="R208" s="308" t="n"/>
    </row>
    <row r="209" customFormat="1" s="389">
      <c r="B209" s="708" t="inlineStr">
        <is>
          <t>32. Tỷ số lợi nhuận gộp trên tổng nợ</t>
        </is>
      </c>
      <c r="C209" s="307" t="n"/>
      <c r="D209" s="631">
        <f>IF(D84&lt;&gt;0,D152/D84,-99999)</f>
        <v/>
      </c>
      <c r="E209" s="631">
        <f>IF(E84&lt;&gt;0,E152/E84,-99999)</f>
        <v/>
      </c>
      <c r="F209" s="631">
        <f>IF(F84&lt;&gt;0,F152/F84,-99999)</f>
        <v/>
      </c>
      <c r="G209" s="631">
        <f>IF(G84&lt;&gt;0,G152/G84,-99999)</f>
        <v/>
      </c>
      <c r="H209" s="631">
        <f>IF(H84&lt;&gt;0,H152/H84,-99999)</f>
        <v/>
      </c>
      <c r="I209" s="308" t="n"/>
      <c r="J209" s="308" t="n"/>
      <c r="K209" s="310" t="n"/>
      <c r="L209" s="310" t="n"/>
      <c r="M209" s="310" t="n"/>
      <c r="N209" s="308" t="n"/>
      <c r="O209" s="308" t="n"/>
      <c r="P209" s="305" t="n"/>
      <c r="Q209" s="308" t="n"/>
      <c r="R209" s="308" t="n"/>
    </row>
    <row r="210" customFormat="1" s="389">
      <c r="B210" s="708" t="inlineStr">
        <is>
          <t>33. Lợi nhuận gộp/Chi phí lãi vay</t>
        </is>
      </c>
      <c r="C210" s="307" t="n"/>
      <c r="D210" s="631">
        <f>IF(D155&lt;&gt;0,D152/D155,-99999)</f>
        <v/>
      </c>
      <c r="E210" s="631">
        <f>IF(E155&lt;&gt;0,E152/E155,-99999)</f>
        <v/>
      </c>
      <c r="F210" s="631">
        <f>IF(F155&lt;&gt;0,F152/F155,-99999)</f>
        <v/>
      </c>
      <c r="G210" s="631">
        <f>IF(G155&lt;&gt;0,G152/G155,-99999)</f>
        <v/>
      </c>
      <c r="H210" s="631">
        <f>IF(H155&lt;&gt;0,H152/H155,-99999)</f>
        <v/>
      </c>
      <c r="I210" s="308" t="n"/>
      <c r="J210" s="308" t="n"/>
      <c r="K210" s="310" t="n"/>
      <c r="L210" s="310" t="n"/>
      <c r="M210" s="310" t="n"/>
      <c r="N210" s="308" t="n"/>
      <c r="O210" s="308" t="n"/>
      <c r="P210" s="305" t="n"/>
      <c r="Q210" s="308" t="n"/>
      <c r="R210" s="308" t="n"/>
    </row>
    <row r="211" customFormat="1" s="389">
      <c r="B211" s="708" t="inlineStr">
        <is>
          <t>34. Tỷ số lợi nhuận sau thuế trên tổng nợ</t>
        </is>
      </c>
      <c r="C211" s="307" t="n"/>
      <c r="D211" s="631">
        <f>IF(D84&lt;&gt;0,D167/D84,-99999)</f>
        <v/>
      </c>
      <c r="E211" s="631">
        <f>IF(E84&lt;&gt;0,E167/E84,-99999)</f>
        <v/>
      </c>
      <c r="F211" s="631">
        <f>IF(F84&lt;&gt;0,F167/F84,-99999)</f>
        <v/>
      </c>
      <c r="G211" s="631">
        <f>IF(G84&lt;&gt;0,G167/G84,-99999)</f>
        <v/>
      </c>
      <c r="H211" s="631">
        <f>IF(H84&lt;&gt;0,H167/H84,-99999)</f>
        <v/>
      </c>
      <c r="I211" s="308" t="n"/>
      <c r="J211" s="308" t="n"/>
      <c r="K211" s="310" t="n"/>
      <c r="L211" s="310" t="n"/>
      <c r="M211" s="310" t="n"/>
      <c r="N211" s="308" t="n"/>
      <c r="O211" s="308" t="n"/>
      <c r="P211" s="305" t="n"/>
      <c r="Q211" s="308" t="n"/>
      <c r="R211" s="308" t="n"/>
    </row>
    <row r="212" customFormat="1" s="389">
      <c r="B212" s="708" t="inlineStr">
        <is>
          <t>35. EBIT/Tổng nguồn vốn</t>
        </is>
      </c>
      <c r="C212" s="307" t="n"/>
      <c r="D212" s="631">
        <f>IF(D83&lt;&gt;0,(D155+D164)/D83,-99999)</f>
        <v/>
      </c>
      <c r="E212" s="631">
        <f>IF(E83&lt;&gt;0,(E155+E164)/E83,-99999)</f>
        <v/>
      </c>
      <c r="F212" s="631">
        <f>IF(F83&lt;&gt;0,(F155+F164)/F83,-99999)</f>
        <v/>
      </c>
      <c r="G212" s="631">
        <f>IF(G83&lt;&gt;0,(G155+G164)/G83,-99999)</f>
        <v/>
      </c>
      <c r="H212" s="631">
        <f>IF(H83&lt;&gt;0,(H155+H164)/H83,-99999)</f>
        <v/>
      </c>
      <c r="I212" s="308" t="n"/>
      <c r="J212" s="308" t="n"/>
      <c r="K212" s="308" t="n"/>
      <c r="L212" s="308" t="n"/>
      <c r="M212" s="308" t="n"/>
      <c r="N212" s="308" t="n"/>
      <c r="O212" s="308" t="n"/>
      <c r="P212" s="305" t="n"/>
      <c r="Q212" s="308" t="n"/>
      <c r="R212" s="308" t="n"/>
    </row>
    <row r="213" customFormat="1" s="389">
      <c r="B213" s="638" t="n"/>
      <c r="C213" s="639" t="n"/>
      <c r="D213" s="635" t="n"/>
      <c r="E213" s="635" t="n"/>
      <c r="F213" s="635" t="n"/>
      <c r="G213" s="635" t="n"/>
      <c r="H213" s="635" t="n"/>
      <c r="I213" s="308" t="n"/>
      <c r="J213" s="308" t="n"/>
      <c r="K213" s="308" t="n"/>
      <c r="L213" s="308" t="n"/>
      <c r="M213" s="308" t="n"/>
      <c r="N213" s="308" t="n"/>
      <c r="O213" s="308" t="n"/>
      <c r="P213" s="305" t="n"/>
      <c r="Q213" s="308" t="n"/>
      <c r="R213" s="308" t="n"/>
    </row>
    <row r="214" customFormat="1" s="389">
      <c r="B214" s="638" t="n"/>
      <c r="C214" s="639" t="n"/>
      <c r="D214" s="635" t="n"/>
      <c r="E214" s="635" t="n"/>
      <c r="F214" s="635" t="n"/>
      <c r="G214" s="635" t="n"/>
      <c r="H214" s="635" t="n"/>
      <c r="I214" s="308" t="n"/>
      <c r="J214" s="308" t="n"/>
      <c r="K214" s="308" t="n"/>
      <c r="L214" s="308" t="n"/>
      <c r="M214" s="308" t="n"/>
      <c r="N214" s="308" t="n"/>
      <c r="O214" s="308" t="n"/>
      <c r="P214" s="305" t="n"/>
      <c r="Q214" s="308" t="n"/>
      <c r="R214" s="308" t="n"/>
    </row>
    <row r="215" customFormat="1" s="389">
      <c r="B215" s="638" t="n"/>
      <c r="C215" s="639" t="n"/>
      <c r="D215" s="635" t="n"/>
      <c r="E215" s="635" t="n"/>
      <c r="F215" s="635" t="n"/>
      <c r="G215" s="635" t="n"/>
      <c r="H215" s="635" t="n"/>
      <c r="I215" s="308" t="n"/>
      <c r="J215" s="308" t="n"/>
      <c r="K215" s="308" t="n"/>
      <c r="L215" s="308" t="n"/>
      <c r="M215" s="308" t="n"/>
      <c r="N215" s="308" t="n"/>
      <c r="O215" s="308" t="n"/>
      <c r="P215" s="305" t="n"/>
      <c r="Q215" s="308" t="n"/>
      <c r="R215" s="308" t="n"/>
    </row>
    <row r="216"/>
    <row r="217">
      <c r="B217" s="640" t="inlineStr">
        <is>
          <t>CHỈ TIÊU</t>
        </is>
      </c>
      <c r="C217" s="641" t="n"/>
      <c r="D217" s="642" t="inlineStr">
        <is>
          <t>Điểm TB ngành</t>
        </is>
      </c>
      <c r="E217" s="640" t="n"/>
      <c r="F217" s="640" t="n"/>
      <c r="G217" s="640" t="n"/>
      <c r="H217" s="640" t="n"/>
    </row>
    <row r="218">
      <c r="B218" s="643" t="inlineStr">
        <is>
          <t>Nông Lâm Ngư nghiệp</t>
        </is>
      </c>
      <c r="C218" s="644">
        <f>IF(B218=$G$218,100%,0%)</f>
        <v/>
      </c>
      <c r="D218" s="644" t="n"/>
      <c r="E218" s="644" t="n"/>
      <c r="F218" s="644" t="inlineStr">
        <is>
          <t>Ngành chính</t>
        </is>
      </c>
      <c r="G218" s="645" t="n"/>
      <c r="H218" s="644" t="n"/>
    </row>
    <row r="219">
      <c r="B219" s="646" t="inlineStr">
        <is>
          <t>Chỉ tiêu thanh khoản</t>
        </is>
      </c>
      <c r="C219" s="647" t="n"/>
      <c r="D219" s="648" t="n"/>
      <c r="E219" s="648" t="n"/>
      <c r="F219" s="648" t="n"/>
      <c r="G219" s="648" t="inlineStr">
        <is>
          <t>Trung bình ngành</t>
        </is>
      </c>
      <c r="H219" s="648" t="n"/>
    </row>
    <row r="220">
      <c r="B220" s="649" t="inlineStr">
        <is>
          <t>1.Khả năng thanh toán hiện hành</t>
        </is>
      </c>
      <c r="C220" s="650" t="n"/>
      <c r="D220" s="651" t="n">
        <v>1.25</v>
      </c>
      <c r="E220" s="652">
        <f>C218*D220</f>
        <v/>
      </c>
      <c r="F220" s="651" t="n"/>
      <c r="G220" s="651">
        <f>E220+E240+E260+E280+E300+E320+E340+E359+E379+E399+E419+E439+E459+E479+E499+E519+E539+E559+E579+E599+E619+E639+E659+E679+E699+E719+E739+E759+E779+E799</f>
        <v/>
      </c>
      <c r="H220" s="651" t="n"/>
    </row>
    <row r="221">
      <c r="B221" s="649" t="inlineStr">
        <is>
          <t>2. Khả năng thanh toán nhanh</t>
        </is>
      </c>
      <c r="C221" s="650" t="n"/>
      <c r="D221" s="651" t="n">
        <v>0.65</v>
      </c>
      <c r="E221" s="652">
        <f>D221*C218</f>
        <v/>
      </c>
      <c r="F221" s="651" t="n"/>
      <c r="G221" s="651">
        <f>E221+E241+E261+E281+E301+E321+E341+E360+E380+E400+E420+E440+E460+E480+E500+E520+E540+E560+E580+E600+E620+E640+E660+E680+E700+E720+E740+E760+E780+E800</f>
        <v/>
      </c>
      <c r="H221" s="651" t="n"/>
    </row>
    <row r="222">
      <c r="B222" s="653" t="inlineStr">
        <is>
          <t>3. Khả năng thanh toán tức thời</t>
        </is>
      </c>
      <c r="C222" s="654" t="n"/>
      <c r="D222" s="655" t="n">
        <v>0.28</v>
      </c>
      <c r="E222" s="652">
        <f>D222*C218</f>
        <v/>
      </c>
      <c r="F222" s="651" t="n"/>
      <c r="G222" s="651">
        <f>E222+E242+E262+E282+E302+E322+E342+E361+E381+E401+E421+E441+E461+E481+E501+E521+E541+E561+E581+E601+E621+E641+E661+E681+E701+E721+E741+E761+E781+E801</f>
        <v/>
      </c>
      <c r="H222" s="651" t="n"/>
    </row>
    <row r="223">
      <c r="B223" s="656" t="inlineStr">
        <is>
          <t>Chỉ tiêu hoạt động</t>
        </is>
      </c>
      <c r="C223" s="657" t="n"/>
      <c r="D223" s="658" t="n"/>
      <c r="E223" s="652" t="n"/>
      <c r="F223" s="648" t="n"/>
      <c r="G223" s="651" t="n"/>
      <c r="H223" s="648" t="n"/>
    </row>
    <row r="224">
      <c r="B224" s="659" t="inlineStr">
        <is>
          <t>4. Vòng quay vốn lưu động</t>
        </is>
      </c>
      <c r="C224" s="660" t="n"/>
      <c r="D224" s="661" t="n">
        <v>3.03</v>
      </c>
      <c r="E224" s="652">
        <f>D224*C218</f>
        <v/>
      </c>
      <c r="F224" s="651" t="n"/>
      <c r="G224" s="651">
        <f>E224+E244+E264+E284+E304+E324+E344+E363+E383+E403+E423+E443+E463+E483+E503+E523+E543+E563+E583+E603+E623+E643+E663+E683+E703+E723+E743+E763+E783+E803</f>
        <v/>
      </c>
      <c r="H224" s="651" t="n"/>
    </row>
    <row r="225">
      <c r="B225" s="659" t="inlineStr">
        <is>
          <t>5. Vòng quay hàng tồn kho</t>
        </is>
      </c>
      <c r="C225" s="660" t="n"/>
      <c r="D225" s="661" t="n">
        <v>4.33</v>
      </c>
      <c r="E225" s="652">
        <f>D225*C218</f>
        <v/>
      </c>
      <c r="F225" s="651" t="n"/>
      <c r="G225" s="651">
        <f>E225+E245+E265+E285+E305+E325+E345+E364+E384+E404+E424+E444+E464+E484+E504+E524+E544+E564+E584+E604+E624+E644+E664+E684+E704+E724+E744+E764+E784+E804</f>
        <v/>
      </c>
      <c r="H225" s="651" t="n"/>
    </row>
    <row r="226">
      <c r="B226" s="659" t="inlineStr">
        <is>
          <t>6. Vòng quay các khoản phải thu</t>
        </is>
      </c>
      <c r="C226" s="660" t="n"/>
      <c r="D226" s="661" t="n">
        <v>8.33</v>
      </c>
      <c r="E226" s="652">
        <f>D226*C218</f>
        <v/>
      </c>
      <c r="F226" s="651" t="n"/>
      <c r="G226" s="651">
        <f>E226+E246+E266+E286+E306+E326+E346+E365+E385+E405+E425+E445+E465+E485+E505+E525+E545+E565+E585+E605+E625+E645+E665+E685+E705+E725+E745+E765+E785+E805</f>
        <v/>
      </c>
      <c r="H226" s="651" t="n"/>
    </row>
    <row r="227">
      <c r="B227" s="659" t="inlineStr">
        <is>
          <t>7. Hiệu suất sử dụng TSCĐ</t>
        </is>
      </c>
      <c r="C227" s="660" t="n"/>
      <c r="D227" s="661" t="n">
        <v>1.83</v>
      </c>
      <c r="E227" s="652">
        <f>D227*C218</f>
        <v/>
      </c>
      <c r="F227" s="651" t="n"/>
      <c r="G227" s="651">
        <f>E227+E247+E267+E287+E307+E327+E347+E366+E386+E406+E426+E446+E466+E486+E506+E526+E546+E566+E586+E606+E626+E646+E666+E686+E706+E726+E746+E766+E786+E806</f>
        <v/>
      </c>
      <c r="H227" s="651" t="n"/>
    </row>
    <row r="228">
      <c r="B228" s="656" t="inlineStr">
        <is>
          <t>Chỉ tiêu cân nợ</t>
        </is>
      </c>
      <c r="C228" s="657" t="n"/>
      <c r="D228" s="658" t="n"/>
      <c r="E228" s="652" t="n"/>
      <c r="F228" s="648" t="n"/>
      <c r="G228" s="651" t="n"/>
      <c r="H228" s="648" t="n"/>
    </row>
    <row r="229">
      <c r="B229" s="659" t="inlineStr">
        <is>
          <t>8. Tổng nợ phải trả/ Tổng tài sản</t>
        </is>
      </c>
      <c r="C229" s="660" t="n"/>
      <c r="D229" s="662" t="n">
        <v>0.65</v>
      </c>
      <c r="E229" s="652">
        <f>D229*C218</f>
        <v/>
      </c>
      <c r="F229" s="651" t="n"/>
      <c r="G229" s="663">
        <f>E229+E249+E269+E289+E309+E329+E349+E368+E388+E408+E428+E448+E468+E488+E508+E528+E548+E568+E588+E608+E628+E648+E668+E688+E708+E728+E748+E768+E788+E808</f>
        <v/>
      </c>
      <c r="H229" s="651" t="n"/>
    </row>
    <row r="230">
      <c r="B230" s="659" t="inlineStr">
        <is>
          <t>9. Nợ dài dạn/Vốn CSH</t>
        </is>
      </c>
      <c r="C230" s="660" t="n"/>
      <c r="D230" s="664" t="n">
        <v>0.4267</v>
      </c>
      <c r="E230" s="652">
        <f>D230*C218</f>
        <v/>
      </c>
      <c r="F230" s="651" t="n"/>
      <c r="G230" s="663">
        <f>E230+E250+E270+E290+E310+E330+E350+E369+E389+E409+E429+E449+E469+E489+E509+E529+E549+E569+E589+E609+E629+E649+E669+E689+E709+E729+E749+E769+E789+E809</f>
        <v/>
      </c>
      <c r="H230" s="651" t="n"/>
    </row>
    <row r="231">
      <c r="B231" s="665" t="inlineStr">
        <is>
          <t>10. Tổng nợ/Vốn CSH</t>
        </is>
      </c>
      <c r="C231" s="660" t="n"/>
      <c r="D231" s="662" t="n">
        <v>1.36</v>
      </c>
      <c r="E231" s="652">
        <f>D231*C218</f>
        <v/>
      </c>
      <c r="F231" s="651" t="n"/>
      <c r="G231" s="663">
        <f>E231+E251+E271+E291+E311+E331+E351+E370+E390+E410+E430+E450+E470+E490+E510+E530+E550+E570+E590+E610+E630+E650+E670+E690+E710+E730+E750+E770+E790+E810</f>
        <v/>
      </c>
      <c r="H231" s="651" t="n"/>
    </row>
    <row r="232">
      <c r="B232" s="656" t="inlineStr">
        <is>
          <t>Chỉ tiêu thu nhập</t>
        </is>
      </c>
      <c r="C232" s="657" t="n"/>
      <c r="D232" s="666" t="n"/>
      <c r="E232" s="652" t="n"/>
      <c r="F232" s="648" t="n"/>
      <c r="G232" s="651" t="n"/>
      <c r="H232" s="648" t="n"/>
    </row>
    <row r="233">
      <c r="B233" s="665" t="inlineStr">
        <is>
          <t>11. Lợi nhuận gộp/Doanh thu thuần</t>
        </is>
      </c>
      <c r="C233" s="660" t="n"/>
      <c r="D233" s="664" t="n">
        <v>0.1117</v>
      </c>
      <c r="E233" s="652">
        <f>D233*C218</f>
        <v/>
      </c>
      <c r="F233" s="651" t="n"/>
      <c r="G233" s="663">
        <f>E233+E253+E273+E293+E313+E333+E353+E372+E392+E412+E432+E452+E472+E492+E512+E532+E552+E572+E592+E612+E632+E652+E672+E692+E712+E732+E752+E772+E792+E812</f>
        <v/>
      </c>
      <c r="H233" s="651" t="n"/>
    </row>
    <row r="234">
      <c r="B234" s="665" t="inlineStr">
        <is>
          <t>12. Lợi nhuận từ hoạt động kinh doanh/Doanh thu thuần</t>
        </is>
      </c>
      <c r="C234" s="660" t="n"/>
      <c r="D234" s="664" t="n">
        <v>0.08169999999999999</v>
      </c>
      <c r="E234" s="652">
        <f>D234*C218</f>
        <v/>
      </c>
      <c r="F234" s="651" t="n"/>
      <c r="G234" s="663">
        <f>E234+E254+E274+E294+E314+E334+E354+E373+E393+E413+E433+E453+E473+E493+E513+E533+E553+E573+E593+E613+E633+E653+E673+E693+E713+E733+E753+E773+E793+E813</f>
        <v/>
      </c>
      <c r="H234" s="651" t="n"/>
    </row>
    <row r="235">
      <c r="B235" s="665" t="inlineStr">
        <is>
          <t>13. Lợi nhuận sau thuế/Vốn CSH bình quân</t>
        </is>
      </c>
      <c r="C235" s="660" t="n"/>
      <c r="D235" s="664" t="n">
        <v>0.1683</v>
      </c>
      <c r="E235" s="652">
        <f>D235*C218</f>
        <v/>
      </c>
      <c r="F235" s="651" t="n"/>
      <c r="G235" s="663">
        <f>E235+E255+E275+E295+E315+E335+E355+E374+E394+E414+E434+E454+E474+E494+E514+E534+E554+E574+E594+E614+E634+E654+E674+E694+E714+E734+E754+E774+E794+E814</f>
        <v/>
      </c>
      <c r="H235" s="651" t="n"/>
    </row>
    <row r="236">
      <c r="B236" s="665" t="inlineStr">
        <is>
          <t>14. Lợi nhuận sau thuế/Tổng tài sản bình quân</t>
        </is>
      </c>
      <c r="C236" s="660" t="n"/>
      <c r="D236" s="664" t="n">
        <v>0.06</v>
      </c>
      <c r="E236" s="652">
        <f>D236*C218</f>
        <v/>
      </c>
      <c r="F236" s="651" t="n"/>
      <c r="G236" s="663">
        <f>E236+E256+E276+E296+E316+E336+E356+E375+E395+E415+E435+E455+E475+E495+E515+E535+E555+E575+E595+E615+E635+E655+E675+E695+E715+E735+E755+E775+E795+E815</f>
        <v/>
      </c>
      <c r="H236" s="651" t="n"/>
    </row>
    <row r="237" ht="15.75" customHeight="1" s="782" thickBot="1">
      <c r="B237" s="667" t="inlineStr">
        <is>
          <t>15. EBIT/Chi phí lãi vay</t>
        </is>
      </c>
      <c r="C237" s="668" t="n"/>
      <c r="D237" s="669" t="n">
        <v>2.35</v>
      </c>
      <c r="E237" s="652">
        <f>D237*C218</f>
        <v/>
      </c>
      <c r="F237" s="651" t="n"/>
      <c r="G237" s="651">
        <f>E237+E257+E277+E297+E317+E337+E357+E376+E396+E416+E436+E456+E476+E496+E516+E536+E556+E576+E596+E616+E636+E656+E676+E696+E716+E736+E756+E776+E796+E816</f>
        <v/>
      </c>
      <c r="H237" s="651" t="n"/>
    </row>
    <row r="238" ht="15.75" customHeight="1" s="782" thickTop="1">
      <c r="B238" s="670" t="inlineStr">
        <is>
          <t>Khai khoáng</t>
        </is>
      </c>
      <c r="C238" s="671">
        <f>IF(B238=$G$218,100%,0%)</f>
        <v/>
      </c>
      <c r="D238" s="671" t="n"/>
      <c r="E238" s="644" t="n"/>
      <c r="F238" s="644" t="n"/>
      <c r="G238" s="644" t="n"/>
      <c r="H238" s="644" t="n"/>
    </row>
    <row r="239">
      <c r="B239" s="656" t="inlineStr">
        <is>
          <t>Chỉ tiêu thanh khoản</t>
        </is>
      </c>
      <c r="C239" s="657" t="n"/>
      <c r="D239" s="672" t="n"/>
      <c r="E239" s="648" t="n"/>
      <c r="F239" s="648" t="n"/>
      <c r="G239" s="648" t="n"/>
      <c r="H239" s="648" t="n"/>
    </row>
    <row r="240">
      <c r="B240" s="659" t="inlineStr">
        <is>
          <t>1.Khả năng thanh toán hiện hành</t>
        </is>
      </c>
      <c r="C240" s="673" t="n"/>
      <c r="D240" s="675" t="n">
        <v>0.93</v>
      </c>
      <c r="E240" s="652">
        <f>C238*D240</f>
        <v/>
      </c>
      <c r="F240" s="652" t="n"/>
      <c r="G240" s="652" t="n"/>
      <c r="H240" s="652" t="n"/>
    </row>
    <row r="241">
      <c r="B241" s="659" t="inlineStr">
        <is>
          <t>2. Khả năng thanh toán nhanh</t>
        </is>
      </c>
      <c r="C241" s="673" t="n"/>
      <c r="D241" s="675" t="n">
        <v>0.75</v>
      </c>
      <c r="E241" s="652">
        <f>D241*C238</f>
        <v/>
      </c>
      <c r="F241" s="652" t="n"/>
      <c r="G241" s="652" t="n"/>
      <c r="H241" s="652" t="n"/>
    </row>
    <row r="242">
      <c r="B242" s="659" t="inlineStr">
        <is>
          <t>3. Khả năng thanh toán tức thời</t>
        </is>
      </c>
      <c r="C242" s="673" t="n"/>
      <c r="D242" s="675" t="n">
        <v>0.12</v>
      </c>
      <c r="E242" s="652">
        <f>D242*C238</f>
        <v/>
      </c>
      <c r="F242" s="652" t="n"/>
      <c r="G242" s="652" t="n"/>
      <c r="H242" s="652" t="n"/>
    </row>
    <row r="243">
      <c r="B243" s="656" t="inlineStr">
        <is>
          <t>Chỉ tiêu hoạt động</t>
        </is>
      </c>
      <c r="C243" s="657" t="n"/>
      <c r="D243" s="672" t="n"/>
      <c r="E243" s="652" t="n"/>
      <c r="F243" s="648" t="n"/>
      <c r="G243" s="648" t="n"/>
      <c r="H243" s="648" t="n"/>
    </row>
    <row r="244">
      <c r="B244" s="659" t="inlineStr">
        <is>
          <t>4. Vòng quay vốn lưu động</t>
        </is>
      </c>
      <c r="C244" s="673" t="n"/>
      <c r="D244" s="675" t="n">
        <v>2.77</v>
      </c>
      <c r="E244" s="652">
        <f>D244*C238</f>
        <v/>
      </c>
      <c r="F244" s="652" t="n"/>
      <c r="G244" s="652" t="n"/>
      <c r="H244" s="652" t="n"/>
    </row>
    <row r="245">
      <c r="B245" s="659" t="inlineStr">
        <is>
          <t>5. Vòng quay hàng tồn kho</t>
        </is>
      </c>
      <c r="C245" s="673" t="n"/>
      <c r="D245" s="675" t="n">
        <v>10.83</v>
      </c>
      <c r="E245" s="652">
        <f>D245*C238</f>
        <v/>
      </c>
      <c r="F245" s="652" t="n"/>
      <c r="G245" s="652" t="n"/>
      <c r="H245" s="652" t="n"/>
    </row>
    <row r="246">
      <c r="B246" s="659" t="inlineStr">
        <is>
          <t>6. Vòng quay các khoản phải thu</t>
        </is>
      </c>
      <c r="C246" s="673" t="n"/>
      <c r="D246" s="675" t="n">
        <v>8.67</v>
      </c>
      <c r="E246" s="652">
        <f>D246*C238</f>
        <v/>
      </c>
      <c r="F246" s="652" t="n"/>
      <c r="G246" s="652" t="n"/>
      <c r="H246" s="652" t="n"/>
    </row>
    <row r="247">
      <c r="B247" s="659" t="inlineStr">
        <is>
          <t>7. Hiệu suất sử dụng TSCĐ</t>
        </is>
      </c>
      <c r="C247" s="673" t="n"/>
      <c r="D247" s="675" t="n">
        <v>2.57</v>
      </c>
      <c r="E247" s="652">
        <f>D247*C238</f>
        <v/>
      </c>
      <c r="F247" s="652" t="n"/>
      <c r="G247" s="652" t="n"/>
      <c r="H247" s="652" t="n"/>
    </row>
    <row r="248">
      <c r="B248" s="656" t="inlineStr">
        <is>
          <t>Chỉ tiêu cân nợ</t>
        </is>
      </c>
      <c r="C248" s="657" t="n"/>
      <c r="D248" s="672" t="n"/>
      <c r="E248" s="652" t="n"/>
      <c r="F248" s="648" t="n"/>
      <c r="G248" s="648" t="n"/>
      <c r="H248" s="648" t="n"/>
    </row>
    <row r="249">
      <c r="B249" s="659" t="inlineStr">
        <is>
          <t>8. Tổng nợ phải trả/ Tổng tài sản</t>
        </is>
      </c>
      <c r="C249" s="673" t="n"/>
      <c r="D249" s="676" t="n">
        <v>0.75</v>
      </c>
      <c r="E249" s="652">
        <f>D249*C238</f>
        <v/>
      </c>
      <c r="F249" s="652" t="n"/>
      <c r="G249" s="652" t="n"/>
      <c r="H249" s="652" t="n"/>
    </row>
    <row r="250">
      <c r="B250" s="659" t="inlineStr">
        <is>
          <t>9. Nợ dài dạn/Vốn CSH</t>
        </is>
      </c>
      <c r="C250" s="673" t="n"/>
      <c r="D250" s="676" t="n">
        <v>0.75</v>
      </c>
      <c r="E250" s="652">
        <f>D250*C238</f>
        <v/>
      </c>
      <c r="F250" s="652" t="n"/>
      <c r="G250" s="652" t="n"/>
      <c r="H250" s="652" t="n"/>
    </row>
    <row r="251">
      <c r="B251" s="665" t="inlineStr">
        <is>
          <t>10. Tổng nợ/Vốn CSH</t>
        </is>
      </c>
      <c r="C251" s="673" t="n"/>
      <c r="D251" s="676" t="n">
        <v>2.51</v>
      </c>
      <c r="E251" s="652">
        <f>D251*C238</f>
        <v/>
      </c>
      <c r="F251" s="652" t="n"/>
      <c r="G251" s="652" t="n"/>
      <c r="H251" s="652" t="n"/>
    </row>
    <row r="252">
      <c r="B252" s="656" t="inlineStr">
        <is>
          <t>Chỉ tiêu thu nhập</t>
        </is>
      </c>
      <c r="C252" s="657" t="n"/>
      <c r="D252" s="672" t="n"/>
      <c r="E252" s="652" t="n"/>
      <c r="F252" s="648" t="n"/>
      <c r="G252" s="648" t="n"/>
      <c r="H252" s="648" t="n"/>
    </row>
    <row r="253">
      <c r="B253" s="665" t="inlineStr">
        <is>
          <t>11. Lợi nhuận gộp/Doanh thu thuần</t>
        </is>
      </c>
      <c r="C253" s="673" t="n"/>
      <c r="D253" s="677" t="n">
        <v>0.125</v>
      </c>
      <c r="E253" s="652">
        <f>D253*C238</f>
        <v/>
      </c>
      <c r="F253" s="652" t="n"/>
      <c r="G253" s="652" t="n"/>
      <c r="H253" s="652" t="n"/>
    </row>
    <row r="254">
      <c r="B254" s="665" t="inlineStr">
        <is>
          <t>12. Lợi nhuận từ hoạt động kinh doanh/Doanh thu thuần</t>
        </is>
      </c>
      <c r="C254" s="673" t="n"/>
      <c r="D254" s="677" t="n">
        <v>0.0717</v>
      </c>
      <c r="E254" s="652">
        <f>D254*C238</f>
        <v/>
      </c>
      <c r="F254" s="652" t="n"/>
      <c r="G254" s="652" t="n"/>
      <c r="H254" s="652" t="n"/>
    </row>
    <row r="255">
      <c r="B255" s="665" t="inlineStr">
        <is>
          <t>13. Lợi nhuận sau thuế/Vốn CSH bình quân</t>
        </is>
      </c>
      <c r="C255" s="673" t="n"/>
      <c r="D255" s="677" t="n">
        <v>0.1317</v>
      </c>
      <c r="E255" s="652">
        <f>D255*C238</f>
        <v/>
      </c>
      <c r="F255" s="652" t="n"/>
      <c r="G255" s="652" t="n"/>
      <c r="H255" s="652" t="n"/>
    </row>
    <row r="256">
      <c r="B256" s="665" t="inlineStr">
        <is>
          <t>14. Lợi nhuận sau thuế/Tổng tài sản bình quân</t>
        </is>
      </c>
      <c r="C256" s="673" t="n"/>
      <c r="D256" s="677" t="n">
        <v>0.0733</v>
      </c>
      <c r="E256" s="652">
        <f>D256*C238</f>
        <v/>
      </c>
      <c r="F256" s="652" t="n"/>
      <c r="G256" s="652" t="n"/>
      <c r="H256" s="652" t="n"/>
    </row>
    <row r="257" ht="15.75" customHeight="1" s="782" thickBot="1">
      <c r="B257" s="667" t="inlineStr">
        <is>
          <t>15. EBIT/Chi phí lãi vay</t>
        </is>
      </c>
      <c r="C257" s="678" t="n"/>
      <c r="D257" s="679" t="n">
        <v>2</v>
      </c>
      <c r="E257" s="652">
        <f>D257*C238</f>
        <v/>
      </c>
      <c r="F257" s="652" t="n"/>
      <c r="G257" s="652" t="n"/>
      <c r="H257" s="652" t="n"/>
    </row>
    <row r="258" ht="15.75" customHeight="1" s="782" thickTop="1">
      <c r="B258" s="670" t="inlineStr">
        <is>
          <t>Chế biến  thủy hải sản</t>
        </is>
      </c>
      <c r="C258" s="671">
        <f>IF(B258=$G$218,100%,0%)</f>
        <v/>
      </c>
      <c r="D258" s="671" t="n"/>
      <c r="E258" s="644" t="n"/>
      <c r="F258" s="644" t="n"/>
      <c r="G258" s="644" t="n"/>
      <c r="H258" s="644" t="n"/>
    </row>
    <row r="259">
      <c r="B259" s="656" t="inlineStr">
        <is>
          <t>Chỉ tiêu thanh khoản</t>
        </is>
      </c>
      <c r="C259" s="657" t="n"/>
      <c r="D259" s="672" t="n"/>
      <c r="E259" s="648" t="n"/>
      <c r="F259" s="648" t="n"/>
      <c r="G259" s="648" t="n"/>
      <c r="H259" s="648" t="n"/>
    </row>
    <row r="260">
      <c r="B260" s="659" t="inlineStr">
        <is>
          <t>1.Khả năng thanh toán hiện hành</t>
        </is>
      </c>
      <c r="C260" s="680" t="n"/>
      <c r="D260" s="675" t="n">
        <v>0.97</v>
      </c>
      <c r="E260" s="652">
        <f>C258*D260</f>
        <v/>
      </c>
      <c r="F260" s="652" t="n"/>
      <c r="G260" s="652" t="n"/>
      <c r="H260" s="652" t="n"/>
    </row>
    <row r="261">
      <c r="B261" s="659" t="inlineStr">
        <is>
          <t>2. Khả năng thanh toán nhanh</t>
        </is>
      </c>
      <c r="C261" s="680" t="n"/>
      <c r="D261" s="675" t="n">
        <v>0.5</v>
      </c>
      <c r="E261" s="652">
        <f>D261*C258</f>
        <v/>
      </c>
      <c r="F261" s="652" t="n"/>
      <c r="G261" s="652" t="n"/>
      <c r="H261" s="652" t="n"/>
    </row>
    <row r="262">
      <c r="B262" s="659" t="inlineStr">
        <is>
          <t>3. Khả năng thanh toán tức thời</t>
        </is>
      </c>
      <c r="C262" s="680" t="n"/>
      <c r="D262" s="675" t="n">
        <v>0.12</v>
      </c>
      <c r="E262" s="652">
        <f>D262*C258</f>
        <v/>
      </c>
      <c r="F262" s="652" t="n"/>
      <c r="G262" s="652" t="n"/>
      <c r="H262" s="652" t="n"/>
    </row>
    <row r="263">
      <c r="B263" s="656" t="inlineStr">
        <is>
          <t>Chỉ tiêu hoạt động</t>
        </is>
      </c>
      <c r="C263" s="657" t="n"/>
      <c r="D263" s="672" t="n"/>
      <c r="E263" s="652" t="n"/>
      <c r="F263" s="648" t="n"/>
      <c r="G263" s="648" t="n"/>
      <c r="H263" s="648" t="n"/>
    </row>
    <row r="264">
      <c r="B264" s="659" t="inlineStr">
        <is>
          <t>4. Vòng quay vốn lưu động</t>
        </is>
      </c>
      <c r="C264" s="680" t="n"/>
      <c r="D264" s="681" t="n">
        <v>2.83</v>
      </c>
      <c r="E264" s="652">
        <f>D264*C258</f>
        <v/>
      </c>
      <c r="F264" s="652" t="n"/>
      <c r="G264" s="652" t="n"/>
      <c r="H264" s="652" t="n"/>
    </row>
    <row r="265">
      <c r="B265" s="659" t="inlineStr">
        <is>
          <t>5. Vòng quay hàng tồn kho</t>
        </is>
      </c>
      <c r="C265" s="680" t="n"/>
      <c r="D265" s="675" t="n">
        <v>4.33</v>
      </c>
      <c r="E265" s="652">
        <f>D265*C258</f>
        <v/>
      </c>
      <c r="F265" s="652" t="n"/>
      <c r="G265" s="652" t="n"/>
      <c r="H265" s="652" t="n"/>
    </row>
    <row r="266">
      <c r="B266" s="659" t="inlineStr">
        <is>
          <t>6. Vòng quay các khoản phải thu</t>
        </is>
      </c>
      <c r="C266" s="680" t="n"/>
      <c r="D266" s="675" t="n">
        <v>7.67</v>
      </c>
      <c r="E266" s="652">
        <f>D266*C258</f>
        <v/>
      </c>
      <c r="F266" s="652" t="n"/>
      <c r="G266" s="652" t="n"/>
      <c r="H266" s="652" t="n"/>
    </row>
    <row r="267">
      <c r="B267" s="659" t="inlineStr">
        <is>
          <t>7. Hiệu suất sử dụng TSCĐ</t>
        </is>
      </c>
      <c r="C267" s="680" t="n"/>
      <c r="D267" s="675" t="n">
        <v>1.83</v>
      </c>
      <c r="E267" s="652">
        <f>D267*C258</f>
        <v/>
      </c>
      <c r="F267" s="652" t="n"/>
      <c r="G267" s="652" t="n"/>
      <c r="H267" s="682" t="n"/>
    </row>
    <row r="268">
      <c r="B268" s="656" t="inlineStr">
        <is>
          <t>Chỉ tiêu cân nợ</t>
        </is>
      </c>
      <c r="C268" s="657" t="n"/>
      <c r="D268" s="672" t="n"/>
      <c r="E268" s="652" t="n"/>
      <c r="F268" s="648" t="n"/>
      <c r="G268" s="648" t="n"/>
      <c r="H268" s="648" t="n"/>
    </row>
    <row r="269">
      <c r="B269" s="659" t="inlineStr">
        <is>
          <t>8. Tổng nợ phải trả/ Tổng tài sản</t>
        </is>
      </c>
      <c r="C269" s="680" t="n"/>
      <c r="D269" s="676" t="n">
        <v>0.75</v>
      </c>
      <c r="E269" s="652">
        <f>D269*C258</f>
        <v/>
      </c>
      <c r="F269" s="652" t="n"/>
      <c r="G269" s="652" t="n"/>
      <c r="H269" s="652" t="n"/>
    </row>
    <row r="270">
      <c r="B270" s="659" t="inlineStr">
        <is>
          <t>9. Nợ dài dạn/Vốn CSH</t>
        </is>
      </c>
      <c r="C270" s="680" t="n"/>
      <c r="D270" s="676" t="n">
        <v>0.73</v>
      </c>
      <c r="E270" s="652">
        <f>D270*C258</f>
        <v/>
      </c>
      <c r="F270" s="652" t="n"/>
      <c r="G270" s="652" t="n"/>
      <c r="H270" s="652" t="n"/>
    </row>
    <row r="271">
      <c r="B271" s="659" t="inlineStr">
        <is>
          <t>10. Tổng nợ/Vốn CSH</t>
        </is>
      </c>
      <c r="C271" s="680" t="n"/>
      <c r="D271" s="676" t="n">
        <v>2.51</v>
      </c>
      <c r="E271" s="652">
        <f>D271*C258</f>
        <v/>
      </c>
      <c r="F271" s="652" t="n"/>
      <c r="G271" s="652" t="n"/>
      <c r="H271" s="652" t="n"/>
    </row>
    <row r="272">
      <c r="B272" s="656" t="inlineStr">
        <is>
          <t>Chỉ tiêu thu nhập</t>
        </is>
      </c>
      <c r="C272" s="657" t="n"/>
      <c r="D272" s="672" t="n"/>
      <c r="E272" s="652" t="n"/>
      <c r="F272" s="648" t="n"/>
      <c r="G272" s="648" t="n"/>
      <c r="H272" s="648" t="n"/>
    </row>
    <row r="273">
      <c r="B273" s="665" t="inlineStr">
        <is>
          <t>11. Lợi nhuận gộp/Doanh thu thuần</t>
        </is>
      </c>
      <c r="C273" s="680" t="n"/>
      <c r="D273" s="676" t="n">
        <v>0.12</v>
      </c>
      <c r="E273" s="652">
        <f>D273*C258</f>
        <v/>
      </c>
      <c r="F273" s="652" t="n"/>
      <c r="G273" s="652" t="n"/>
      <c r="H273" s="652" t="n"/>
    </row>
    <row r="274">
      <c r="B274" s="665" t="inlineStr">
        <is>
          <t>12. Lợi nhuận từ hoạt động kinh doanh/Doanh thu thuần</t>
        </is>
      </c>
      <c r="C274" s="680" t="n"/>
      <c r="D274" s="676" t="n">
        <v>0.05</v>
      </c>
      <c r="E274" s="652">
        <f>D274*C258</f>
        <v/>
      </c>
      <c r="F274" s="652" t="n"/>
      <c r="G274" s="652" t="n"/>
      <c r="H274" s="652" t="n"/>
    </row>
    <row r="275">
      <c r="B275" s="665" t="inlineStr">
        <is>
          <t>13. Lợi nhuận sau thuế/Vốn CSH bình quân</t>
        </is>
      </c>
      <c r="C275" s="680" t="n"/>
      <c r="D275" s="676" t="n">
        <v>0.16</v>
      </c>
      <c r="E275" s="652">
        <f>D275*C258</f>
        <v/>
      </c>
      <c r="F275" s="652" t="n"/>
      <c r="G275" s="652" t="n"/>
      <c r="H275" s="652" t="n"/>
    </row>
    <row r="276">
      <c r="B276" s="665" t="inlineStr">
        <is>
          <t>14. Lợi nhuận sau thuế/Tổng tài sản bình quân</t>
        </is>
      </c>
      <c r="C276" s="680" t="n"/>
      <c r="D276" s="677" t="n">
        <v>0.0533</v>
      </c>
      <c r="E276" s="652">
        <f>D276*C258</f>
        <v/>
      </c>
      <c r="F276" s="652" t="n"/>
      <c r="G276" s="652" t="n"/>
      <c r="H276" s="652" t="n"/>
    </row>
    <row r="277" ht="15.75" customHeight="1" s="782" thickBot="1">
      <c r="B277" s="667" t="inlineStr">
        <is>
          <t>15. EBIT/Chi phí lãi vay</t>
        </is>
      </c>
      <c r="C277" s="683" t="n"/>
      <c r="D277" s="679" t="n">
        <v>2.5</v>
      </c>
      <c r="E277" s="652">
        <f>D277*C258</f>
        <v/>
      </c>
      <c r="F277" s="652" t="n"/>
      <c r="G277" s="652" t="n"/>
      <c r="H277" s="652" t="n"/>
    </row>
    <row r="278" ht="29.25" customHeight="1" s="782" thickTop="1">
      <c r="B278" s="670" t="inlineStr">
        <is>
          <t>Sản xuất, chế biến lương thực thực phẩm, đồ uống, thức ăn chăn nuôi.</t>
        </is>
      </c>
      <c r="C278" s="671">
        <f>IF(B278=$G$218,100%,0%)</f>
        <v/>
      </c>
      <c r="D278" s="671" t="n"/>
      <c r="E278" s="644" t="n"/>
      <c r="F278" s="644" t="n"/>
      <c r="G278" s="644" t="n"/>
      <c r="H278" s="644" t="n"/>
    </row>
    <row r="279">
      <c r="B279" s="656" t="inlineStr">
        <is>
          <t>Chỉ tiêu thanh khoản</t>
        </is>
      </c>
      <c r="C279" s="657" t="n"/>
      <c r="D279" s="672" t="n"/>
      <c r="E279" s="648" t="n"/>
      <c r="F279" s="648" t="n"/>
      <c r="G279" s="648" t="n"/>
      <c r="H279" s="648" t="n"/>
    </row>
    <row r="280">
      <c r="B280" s="659" t="inlineStr">
        <is>
          <t>1.Khả năng thanh toán hiện hành</t>
        </is>
      </c>
      <c r="C280" s="673" t="n"/>
      <c r="D280" s="675" t="n">
        <v>1.07</v>
      </c>
      <c r="E280" s="652">
        <f>C278*D280</f>
        <v/>
      </c>
      <c r="F280" s="652" t="n"/>
      <c r="G280" s="652" t="n"/>
      <c r="H280" s="652" t="n"/>
    </row>
    <row r="281">
      <c r="B281" s="659" t="inlineStr">
        <is>
          <t>2. Khả năng thanh toán nhanh</t>
        </is>
      </c>
      <c r="C281" s="673" t="n"/>
      <c r="D281" s="675" t="n">
        <v>0.52</v>
      </c>
      <c r="E281" s="652">
        <f>D281*C278</f>
        <v/>
      </c>
      <c r="F281" s="652" t="n"/>
      <c r="G281" s="652" t="n"/>
      <c r="H281" s="652" t="n"/>
    </row>
    <row r="282">
      <c r="B282" s="659" t="inlineStr">
        <is>
          <t>3. Khả năng thanh toán tức thời</t>
        </is>
      </c>
      <c r="C282" s="673" t="n"/>
      <c r="D282" s="675" t="n">
        <v>0.11</v>
      </c>
      <c r="E282" s="652">
        <f>D282*C278</f>
        <v/>
      </c>
      <c r="F282" s="652" t="n"/>
      <c r="G282" s="652" t="n"/>
      <c r="H282" s="652" t="n"/>
    </row>
    <row r="283">
      <c r="B283" s="656" t="inlineStr">
        <is>
          <t>Chỉ tiêu hoạt động</t>
        </is>
      </c>
      <c r="C283" s="657" t="n"/>
      <c r="D283" s="672" t="n"/>
      <c r="E283" s="652" t="n"/>
      <c r="F283" s="648" t="n"/>
      <c r="G283" s="648" t="n"/>
      <c r="H283" s="648" t="n"/>
    </row>
    <row r="284">
      <c r="B284" s="659" t="inlineStr">
        <is>
          <t>4. Vòng quay vốn lưu động</t>
        </is>
      </c>
      <c r="C284" s="673" t="n"/>
      <c r="D284" s="675" t="n">
        <v>3.7</v>
      </c>
      <c r="E284" s="652">
        <f>D284*C278</f>
        <v/>
      </c>
      <c r="F284" s="652" t="n"/>
      <c r="G284" s="652" t="n"/>
      <c r="H284" s="652" t="n"/>
    </row>
    <row r="285">
      <c r="B285" s="659" t="inlineStr">
        <is>
          <t>5. Vòng quay hàng tồn kho</t>
        </is>
      </c>
      <c r="C285" s="673" t="n"/>
      <c r="D285" s="675" t="n">
        <v>7.33</v>
      </c>
      <c r="E285" s="652">
        <f>D285*C278</f>
        <v/>
      </c>
      <c r="F285" s="652" t="n"/>
      <c r="G285" s="652" t="n"/>
      <c r="H285" s="652" t="n"/>
    </row>
    <row r="286">
      <c r="B286" s="659" t="inlineStr">
        <is>
          <t>6. Vòng quay các khoản phải thu</t>
        </is>
      </c>
      <c r="C286" s="673" t="n"/>
      <c r="D286" s="675" t="n">
        <v>8</v>
      </c>
      <c r="E286" s="652">
        <f>D286*C278</f>
        <v/>
      </c>
      <c r="F286" s="652" t="n"/>
      <c r="G286" s="652" t="n"/>
      <c r="H286" s="652" t="n"/>
    </row>
    <row r="287">
      <c r="B287" s="659" t="inlineStr">
        <is>
          <t>7. Hiệu suất sử dụng TSCĐ</t>
        </is>
      </c>
      <c r="C287" s="673" t="n"/>
      <c r="D287" s="675" t="n">
        <v>5</v>
      </c>
      <c r="E287" s="652">
        <f>D287*C278</f>
        <v/>
      </c>
      <c r="F287" s="652" t="n"/>
      <c r="G287" s="652" t="n"/>
      <c r="H287" s="652" t="n"/>
    </row>
    <row r="288">
      <c r="B288" s="656" t="inlineStr">
        <is>
          <t>Chỉ tiêu cân nợ</t>
        </is>
      </c>
      <c r="C288" s="657" t="n"/>
      <c r="D288" s="672" t="n"/>
      <c r="E288" s="652" t="n"/>
      <c r="F288" s="648" t="n"/>
      <c r="G288" s="648" t="n"/>
      <c r="H288" s="648" t="n"/>
    </row>
    <row r="289">
      <c r="B289" s="659" t="inlineStr">
        <is>
          <t>8. Tổng nợ phải trả/ Tổng tài sản</t>
        </is>
      </c>
      <c r="C289" s="673" t="n"/>
      <c r="D289" s="676" t="n">
        <v>0.72</v>
      </c>
      <c r="E289" s="652">
        <f>D289*C278</f>
        <v/>
      </c>
      <c r="F289" s="652" t="n"/>
      <c r="G289" s="652" t="n"/>
      <c r="H289" s="652" t="n"/>
    </row>
    <row r="290">
      <c r="B290" s="659" t="inlineStr">
        <is>
          <t>9. Nợ dài dạn/Vốn CSH</t>
        </is>
      </c>
      <c r="C290" s="673" t="n"/>
      <c r="D290" s="676" t="n">
        <v>0.86</v>
      </c>
      <c r="E290" s="652">
        <f>D290*C278</f>
        <v/>
      </c>
      <c r="F290" s="652" t="n"/>
      <c r="G290" s="652" t="n"/>
      <c r="H290" s="652" t="n"/>
    </row>
    <row r="291">
      <c r="B291" s="665" t="inlineStr">
        <is>
          <t>10. Tổng nợ/Vốn CSH</t>
        </is>
      </c>
      <c r="C291" s="673" t="n"/>
      <c r="D291" s="676" t="n">
        <v>1.84</v>
      </c>
      <c r="E291" s="652">
        <f>D291*C278</f>
        <v/>
      </c>
      <c r="F291" s="652" t="n"/>
      <c r="G291" s="652" t="n"/>
      <c r="H291" s="652" t="n"/>
    </row>
    <row r="292">
      <c r="B292" s="656" t="inlineStr">
        <is>
          <t>Chỉ tiêu thu nhập</t>
        </is>
      </c>
      <c r="C292" s="657" t="n"/>
      <c r="D292" s="672" t="n"/>
      <c r="E292" s="652" t="n"/>
      <c r="F292" s="648" t="n"/>
      <c r="G292" s="648" t="n"/>
      <c r="H292" s="648" t="n"/>
    </row>
    <row r="293">
      <c r="B293" s="665" t="inlineStr">
        <is>
          <t>11. Lợi nhuận gộp/Doanh thu thuần</t>
        </is>
      </c>
      <c r="C293" s="673" t="n"/>
      <c r="D293" s="677" t="n">
        <v>0.172</v>
      </c>
      <c r="E293" s="652">
        <f>D293*C278</f>
        <v/>
      </c>
      <c r="F293" s="652" t="n"/>
      <c r="G293" s="652" t="n"/>
      <c r="H293" s="652" t="n"/>
    </row>
    <row r="294" ht="30" customHeight="1" s="782">
      <c r="B294" s="665" t="inlineStr">
        <is>
          <t>12. Lợi nhuận từ hoạt động kinh doanh (ngoài thu nhập từ hoạt động tài chính)/Doanh thu thuần</t>
        </is>
      </c>
      <c r="C294" s="673" t="n"/>
      <c r="D294" s="677" t="n">
        <v>0.08500000000000001</v>
      </c>
      <c r="E294" s="652">
        <f>D294*C278</f>
        <v/>
      </c>
      <c r="F294" s="652" t="n"/>
      <c r="G294" s="652" t="n"/>
      <c r="H294" s="652" t="n"/>
    </row>
    <row r="295">
      <c r="B295" s="665" t="inlineStr">
        <is>
          <t>13. Lợi nhuận sau thuế/Vốn CSH bình quân</t>
        </is>
      </c>
      <c r="C295" s="673" t="n"/>
      <c r="D295" s="677" t="n">
        <v>0.1633</v>
      </c>
      <c r="E295" s="652">
        <f>D295*C278</f>
        <v/>
      </c>
      <c r="F295" s="652" t="n"/>
      <c r="G295" s="652" t="n"/>
      <c r="H295" s="652" t="n"/>
    </row>
    <row r="296">
      <c r="B296" s="665" t="inlineStr">
        <is>
          <t>14. Lợi nhuận sau thuế/Tổng tài sản bình quân</t>
        </is>
      </c>
      <c r="C296" s="673" t="n"/>
      <c r="D296" s="677" t="n">
        <v>0.07829999999999999</v>
      </c>
      <c r="E296" s="652">
        <f>D296*C278</f>
        <v/>
      </c>
      <c r="F296" s="652" t="n"/>
      <c r="G296" s="652" t="n"/>
      <c r="H296" s="652" t="n"/>
    </row>
    <row r="297" ht="15.75" customHeight="1" s="782" thickBot="1">
      <c r="B297" s="667" t="inlineStr">
        <is>
          <t>15. EBIT/Chi phí lãi vay</t>
        </is>
      </c>
      <c r="C297" s="678" t="n"/>
      <c r="D297" s="679" t="n">
        <v>2.4</v>
      </c>
      <c r="E297" s="652">
        <f>D297*C278</f>
        <v/>
      </c>
      <c r="F297" s="652" t="n"/>
      <c r="G297" s="652" t="n"/>
      <c r="H297" s="652" t="n"/>
    </row>
    <row r="298" ht="15.75" customHeight="1" s="782" thickTop="1">
      <c r="B298" s="670" t="inlineStr">
        <is>
          <t>Dệt may, sản xuất da dày, sản xuất trang phục</t>
        </is>
      </c>
      <c r="C298" s="671">
        <f>IF(B298=$G$218,100%,0%)</f>
        <v/>
      </c>
      <c r="D298" s="671" t="n"/>
      <c r="E298" s="644" t="n"/>
      <c r="F298" s="644" t="n"/>
      <c r="G298" s="644" t="n"/>
      <c r="H298" s="644" t="n"/>
    </row>
    <row r="299">
      <c r="B299" s="656" t="inlineStr">
        <is>
          <t>Chỉ tiêu thanh khoản</t>
        </is>
      </c>
      <c r="C299" s="657" t="n"/>
      <c r="D299" s="672" t="n"/>
      <c r="E299" s="648" t="n"/>
      <c r="F299" s="648" t="n"/>
      <c r="G299" s="648" t="n"/>
      <c r="H299" s="648" t="n"/>
    </row>
    <row r="300">
      <c r="B300" s="659" t="inlineStr">
        <is>
          <t>1.Khả năng thanh toán hiện hành</t>
        </is>
      </c>
      <c r="C300" s="673" t="n"/>
      <c r="D300" s="675" t="n">
        <v>1.07</v>
      </c>
      <c r="E300" s="652">
        <f>C298*D300</f>
        <v/>
      </c>
      <c r="F300" s="652" t="n"/>
      <c r="G300" s="652" t="n"/>
      <c r="H300" s="652" t="n"/>
    </row>
    <row r="301">
      <c r="B301" s="659" t="inlineStr">
        <is>
          <t>2. Khả năng thanh toán nhanh</t>
        </is>
      </c>
      <c r="C301" s="673" t="n"/>
      <c r="D301" s="675" t="n">
        <v>0.55</v>
      </c>
      <c r="E301" s="652">
        <f>D301*C298</f>
        <v/>
      </c>
      <c r="F301" s="652" t="n"/>
      <c r="G301" s="652" t="n"/>
      <c r="H301" s="652" t="n"/>
    </row>
    <row r="302">
      <c r="B302" s="659" t="inlineStr">
        <is>
          <t>3. Khả năng thanh toán tức thời</t>
        </is>
      </c>
      <c r="C302" s="673" t="n"/>
      <c r="D302" s="675" t="n">
        <v>0.13</v>
      </c>
      <c r="E302" s="652">
        <f>D302*C298</f>
        <v/>
      </c>
      <c r="F302" s="652" t="n"/>
      <c r="G302" s="652" t="n"/>
      <c r="H302" s="652" t="n"/>
    </row>
    <row r="303">
      <c r="B303" s="656" t="inlineStr">
        <is>
          <t>Chỉ tiêu hoạt động</t>
        </is>
      </c>
      <c r="C303" s="657" t="n"/>
      <c r="D303" s="672" t="n"/>
      <c r="E303" s="652" t="n"/>
      <c r="F303" s="648" t="n"/>
      <c r="G303" s="648" t="n"/>
      <c r="H303" s="648" t="n"/>
    </row>
    <row r="304">
      <c r="B304" s="659" t="inlineStr">
        <is>
          <t>4. Vòng quay vốn lưu động</t>
        </is>
      </c>
      <c r="C304" s="673" t="n"/>
      <c r="D304" s="675" t="n">
        <v>2.85</v>
      </c>
      <c r="E304" s="652">
        <f>D304*C298</f>
        <v/>
      </c>
      <c r="F304" s="652" t="n"/>
      <c r="G304" s="652" t="n"/>
      <c r="H304" s="652" t="n"/>
    </row>
    <row r="305">
      <c r="B305" s="659" t="inlineStr">
        <is>
          <t>5. Vòng quay hàng tồn kho</t>
        </is>
      </c>
      <c r="C305" s="673" t="n"/>
      <c r="D305" s="675" t="n">
        <v>5.57</v>
      </c>
      <c r="E305" s="652">
        <f>D305*C298</f>
        <v/>
      </c>
      <c r="F305" s="652" t="n"/>
      <c r="G305" s="652" t="n"/>
      <c r="H305" s="652" t="n"/>
    </row>
    <row r="306">
      <c r="B306" s="659" t="inlineStr">
        <is>
          <t>6. Vòng quay các khoản phải thu</t>
        </is>
      </c>
      <c r="C306" s="673" t="n"/>
      <c r="D306" s="675" t="n">
        <v>6</v>
      </c>
      <c r="E306" s="652">
        <f>D306*C298</f>
        <v/>
      </c>
      <c r="F306" s="652" t="n"/>
      <c r="G306" s="652" t="n"/>
      <c r="H306" s="652" t="n"/>
    </row>
    <row r="307">
      <c r="B307" s="659" t="inlineStr">
        <is>
          <t>7. Hiệu suất sử dụng TSCĐ</t>
        </is>
      </c>
      <c r="C307" s="673" t="n"/>
      <c r="D307" s="675" t="n">
        <v>3.83</v>
      </c>
      <c r="E307" s="652">
        <f>D307*C298</f>
        <v/>
      </c>
      <c r="F307" s="652" t="n"/>
      <c r="G307" s="652" t="n"/>
      <c r="H307" s="652" t="n"/>
    </row>
    <row r="308">
      <c r="B308" s="656" t="inlineStr">
        <is>
          <t>Chỉ tiêu cân nợ</t>
        </is>
      </c>
      <c r="C308" s="657" t="n"/>
      <c r="D308" s="672" t="n"/>
      <c r="E308" s="652" t="n"/>
      <c r="F308" s="648" t="n"/>
      <c r="G308" s="648" t="n"/>
      <c r="H308" s="648" t="n"/>
    </row>
    <row r="309">
      <c r="B309" s="659" t="inlineStr">
        <is>
          <t>8. Tổng nợ phải trả/ Tổng tài sản</t>
        </is>
      </c>
      <c r="C309" s="673" t="n"/>
      <c r="D309" s="676" t="n">
        <v>0.76</v>
      </c>
      <c r="E309" s="652">
        <f>D309*C298</f>
        <v/>
      </c>
      <c r="F309" s="652" t="n"/>
      <c r="G309" s="652" t="n"/>
      <c r="H309" s="652" t="n"/>
    </row>
    <row r="310">
      <c r="B310" s="659" t="inlineStr">
        <is>
          <t>9. Nợ dài dạn/Vốn CSH</t>
        </is>
      </c>
      <c r="C310" s="673" t="n"/>
      <c r="D310" s="676" t="n">
        <v>0.83</v>
      </c>
      <c r="E310" s="652">
        <f>D310*C298</f>
        <v/>
      </c>
      <c r="F310" s="652" t="n"/>
      <c r="G310" s="652" t="n"/>
      <c r="H310" s="652" t="n"/>
    </row>
    <row r="311">
      <c r="B311" s="659" t="inlineStr">
        <is>
          <t>10. Tổng nợ/Vốn CSH</t>
        </is>
      </c>
      <c r="C311" s="673" t="n"/>
      <c r="D311" s="676" t="n">
        <v>2.19</v>
      </c>
      <c r="E311" s="652">
        <f>D311*C298</f>
        <v/>
      </c>
      <c r="F311" s="652" t="n"/>
      <c r="G311" s="652" t="n"/>
      <c r="H311" s="652" t="n"/>
    </row>
    <row r="312">
      <c r="B312" s="656" t="inlineStr">
        <is>
          <t>Chỉ tiêu thu nhập</t>
        </is>
      </c>
      <c r="C312" s="657" t="n"/>
      <c r="D312" s="672" t="n"/>
      <c r="E312" s="652" t="n"/>
      <c r="F312" s="648" t="n"/>
      <c r="G312" s="648" t="n"/>
      <c r="H312" s="648" t="n"/>
    </row>
    <row r="313">
      <c r="B313" s="665" t="inlineStr">
        <is>
          <t>11. Lợi nhuận gộp/Doanh thu thuần</t>
        </is>
      </c>
      <c r="C313" s="673" t="n"/>
      <c r="D313" s="676" t="n">
        <v>0.13</v>
      </c>
      <c r="E313" s="652">
        <f>D313*C298</f>
        <v/>
      </c>
      <c r="F313" s="652" t="n"/>
      <c r="G313" s="652" t="n"/>
      <c r="H313" s="652" t="n"/>
    </row>
    <row r="314">
      <c r="B314" s="665" t="inlineStr">
        <is>
          <t>12. Lợi nhuận từ hoạt động kinh doanh/Doanh thu thuần</t>
        </is>
      </c>
      <c r="C314" s="673" t="n"/>
      <c r="D314" s="676" t="n">
        <v>0.06</v>
      </c>
      <c r="E314" s="652">
        <f>D314*C298</f>
        <v/>
      </c>
      <c r="F314" s="652" t="n"/>
      <c r="G314" s="652" t="n"/>
      <c r="H314" s="652" t="n"/>
    </row>
    <row r="315">
      <c r="B315" s="665" t="inlineStr">
        <is>
          <t>13. Lợi nhuận sau thuế/Vốn CSH bình quân</t>
        </is>
      </c>
      <c r="C315" s="673" t="n"/>
      <c r="D315" s="676" t="n">
        <v>0.13</v>
      </c>
      <c r="E315" s="652">
        <f>D315*C298</f>
        <v/>
      </c>
      <c r="F315" s="652" t="n"/>
      <c r="G315" s="652" t="n"/>
      <c r="H315" s="652" t="n"/>
    </row>
    <row r="316">
      <c r="B316" s="665" t="inlineStr">
        <is>
          <t>14. Lợi nhuận sau thuế/Tổng tài sản bình quân</t>
        </is>
      </c>
      <c r="C316" s="673" t="n"/>
      <c r="D316" s="677" t="n">
        <v>0.045</v>
      </c>
      <c r="E316" s="652">
        <f>D316*C298</f>
        <v/>
      </c>
      <c r="F316" s="652" t="n"/>
      <c r="G316" s="652" t="n"/>
      <c r="H316" s="652" t="n"/>
    </row>
    <row r="317" ht="15.75" customHeight="1" s="782" thickBot="1">
      <c r="B317" s="667" t="inlineStr">
        <is>
          <t>15. EBIT/Chi phí lãi vay</t>
        </is>
      </c>
      <c r="C317" s="678" t="n"/>
      <c r="D317" s="679" t="n">
        <v>2.1</v>
      </c>
      <c r="E317" s="652">
        <f>D317*C298</f>
        <v/>
      </c>
      <c r="F317" s="652" t="n"/>
      <c r="G317" s="652" t="n"/>
      <c r="H317" s="652" t="n"/>
    </row>
    <row r="318" ht="29.25" customHeight="1" s="782" thickTop="1">
      <c r="B318" s="670" t="inlineStr">
        <is>
          <t>Khai thác và sơ chế gỗ, chế biến gỗ, sản xuất sản phẩm từ gỗ và lâm sản khác</t>
        </is>
      </c>
      <c r="C318" s="671">
        <f>IF(B318=$G$218,100%,0%)</f>
        <v/>
      </c>
      <c r="D318" s="671" t="n"/>
      <c r="E318" s="644" t="n"/>
      <c r="F318" s="644" t="n"/>
      <c r="G318" s="644" t="n"/>
      <c r="H318" s="644" t="n"/>
    </row>
    <row r="319">
      <c r="B319" s="656" t="inlineStr">
        <is>
          <t>Chỉ tiêu thanh khoản</t>
        </is>
      </c>
      <c r="C319" s="657" t="n"/>
      <c r="D319" s="672" t="n"/>
      <c r="E319" s="648" t="n"/>
      <c r="F319" s="648" t="n"/>
      <c r="G319" s="648" t="n"/>
      <c r="H319" s="648" t="n"/>
    </row>
    <row r="320">
      <c r="B320" s="659" t="inlineStr">
        <is>
          <t>1.Khả năng thanh toán hiện hành</t>
        </is>
      </c>
      <c r="C320" s="673" t="n"/>
      <c r="D320" s="675" t="n">
        <v>1.07</v>
      </c>
      <c r="E320" s="652">
        <f>C318*D320</f>
        <v/>
      </c>
      <c r="F320" s="652" t="n"/>
      <c r="G320" s="652" t="n"/>
      <c r="H320" s="652" t="n"/>
    </row>
    <row r="321">
      <c r="B321" s="659" t="inlineStr">
        <is>
          <t>2. Khả năng thanh toán nhanh</t>
        </is>
      </c>
      <c r="C321" s="673" t="n"/>
      <c r="D321" s="675" t="n">
        <v>0.53</v>
      </c>
      <c r="E321" s="652">
        <f>D321*C318</f>
        <v/>
      </c>
      <c r="F321" s="652" t="n"/>
      <c r="G321" s="652" t="n"/>
      <c r="H321" s="652" t="n"/>
    </row>
    <row r="322">
      <c r="B322" s="659" t="inlineStr">
        <is>
          <t>3. Khả năng thanh toán tức thời</t>
        </is>
      </c>
      <c r="C322" s="673" t="n"/>
      <c r="D322" s="675" t="n">
        <v>0.04</v>
      </c>
      <c r="E322" s="652">
        <f>D322*C318</f>
        <v/>
      </c>
      <c r="F322" s="652" t="n"/>
      <c r="G322" s="652" t="n"/>
      <c r="H322" s="652" t="n"/>
    </row>
    <row r="323">
      <c r="B323" s="656" t="inlineStr">
        <is>
          <t>Chỉ tiêu hoạt động</t>
        </is>
      </c>
      <c r="C323" s="657" t="n"/>
      <c r="D323" s="672" t="n"/>
      <c r="E323" s="652" t="n"/>
      <c r="F323" s="648" t="n"/>
      <c r="G323" s="648" t="n"/>
      <c r="H323" s="648" t="n"/>
    </row>
    <row r="324">
      <c r="B324" s="659" t="inlineStr">
        <is>
          <t>4. Vòng quay vốn lưu động</t>
        </is>
      </c>
      <c r="C324" s="673" t="n"/>
      <c r="D324" s="675" t="n">
        <v>1.83</v>
      </c>
      <c r="E324" s="652">
        <f>D324*C318</f>
        <v/>
      </c>
      <c r="F324" s="652" t="n"/>
      <c r="G324" s="652" t="n"/>
      <c r="H324" s="652" t="n"/>
    </row>
    <row r="325">
      <c r="B325" s="659" t="inlineStr">
        <is>
          <t>5. Vòng quay hàng tồn kho</t>
        </is>
      </c>
      <c r="C325" s="673" t="n"/>
      <c r="D325" s="675" t="n">
        <v>2.9</v>
      </c>
      <c r="E325" s="652">
        <f>D325*C318</f>
        <v/>
      </c>
      <c r="F325" s="652" t="n"/>
      <c r="G325" s="652" t="n"/>
      <c r="H325" s="652" t="n"/>
    </row>
    <row r="326">
      <c r="B326" s="659" t="inlineStr">
        <is>
          <t>6. Vòng quay các khoản phải thu</t>
        </is>
      </c>
      <c r="C326" s="673" t="n"/>
      <c r="D326" s="675" t="n">
        <v>3.5</v>
      </c>
      <c r="E326" s="652">
        <f>D326*C318</f>
        <v/>
      </c>
      <c r="F326" s="652" t="n"/>
      <c r="G326" s="652" t="n"/>
      <c r="H326" s="652" t="n"/>
    </row>
    <row r="327">
      <c r="B327" s="659" t="inlineStr">
        <is>
          <t>7. Hiệu suất sử dụng TSCĐ</t>
        </is>
      </c>
      <c r="C327" s="673" t="n"/>
      <c r="D327" s="675" t="n">
        <v>4.5</v>
      </c>
      <c r="E327" s="652">
        <f>D327*C318</f>
        <v/>
      </c>
      <c r="F327" s="652" t="n"/>
      <c r="G327" s="652" t="n"/>
      <c r="H327" s="652" t="n"/>
    </row>
    <row r="328">
      <c r="B328" s="656" t="inlineStr">
        <is>
          <t>Chỉ tiêu cân nợ</t>
        </is>
      </c>
      <c r="C328" s="657" t="n"/>
      <c r="D328" s="672" t="n"/>
      <c r="E328" s="652" t="n"/>
      <c r="F328" s="648" t="n"/>
      <c r="G328" s="648" t="n"/>
      <c r="H328" s="648" t="n"/>
    </row>
    <row r="329">
      <c r="B329" s="659" t="inlineStr">
        <is>
          <t>8. Tổng nợ phải trả/ Tổng tài sản</t>
        </is>
      </c>
      <c r="C329" s="673" t="n"/>
      <c r="D329" s="676" t="n">
        <v>0.75</v>
      </c>
      <c r="E329" s="652">
        <f>D329*C318</f>
        <v/>
      </c>
      <c r="F329" s="652" t="n"/>
      <c r="G329" s="652" t="n"/>
      <c r="H329" s="652" t="n"/>
    </row>
    <row r="330">
      <c r="B330" s="659" t="inlineStr">
        <is>
          <t>9. Nợ dài dạn/Vốn CSH</t>
        </is>
      </c>
      <c r="C330" s="673" t="n"/>
      <c r="D330" s="676" t="n">
        <v>0.65</v>
      </c>
      <c r="E330" s="652">
        <f>D330*C318</f>
        <v/>
      </c>
      <c r="F330" s="652" t="n"/>
      <c r="G330" s="652" t="n"/>
      <c r="H330" s="652" t="n"/>
    </row>
    <row r="331">
      <c r="B331" s="659" t="inlineStr">
        <is>
          <t>10. Tổng nợ/Vốn CSH</t>
        </is>
      </c>
      <c r="C331" s="673" t="n"/>
      <c r="D331" s="676" t="n">
        <v>2.51</v>
      </c>
      <c r="E331" s="652">
        <f>D331*C318</f>
        <v/>
      </c>
      <c r="F331" s="652" t="n"/>
      <c r="G331" s="652" t="n"/>
      <c r="H331" s="652" t="n"/>
    </row>
    <row r="332">
      <c r="B332" s="656" t="inlineStr">
        <is>
          <t>Chỉ tiêu thu nhập</t>
        </is>
      </c>
      <c r="C332" s="657" t="n"/>
      <c r="D332" s="672" t="n"/>
      <c r="E332" s="652" t="n"/>
      <c r="F332" s="648" t="n"/>
      <c r="G332" s="648" t="n"/>
      <c r="H332" s="648" t="n"/>
    </row>
    <row r="333">
      <c r="B333" s="665" t="inlineStr">
        <is>
          <t>11. Lợi nhuận gộp/Doanh thu thuần</t>
        </is>
      </c>
      <c r="C333" s="673" t="n"/>
      <c r="D333" s="677" t="n">
        <v>0.1367</v>
      </c>
      <c r="E333" s="652">
        <f>D333*C318</f>
        <v/>
      </c>
      <c r="F333" s="652" t="n"/>
      <c r="G333" s="652" t="n"/>
      <c r="H333" s="652" t="n"/>
    </row>
    <row r="334">
      <c r="B334" s="665" t="inlineStr">
        <is>
          <t>12. Lợi nhuận từ hoạt động kinh doanh/Doanh thu thuần</t>
        </is>
      </c>
      <c r="C334" s="673" t="n"/>
      <c r="D334" s="677" t="n">
        <v>0.0717</v>
      </c>
      <c r="E334" s="652">
        <f>D334*C318</f>
        <v/>
      </c>
      <c r="F334" s="652" t="n"/>
      <c r="G334" s="652" t="n"/>
      <c r="H334" s="652" t="n"/>
    </row>
    <row r="335">
      <c r="B335" s="665" t="inlineStr">
        <is>
          <t>13. Lợi nhuận sau thuế/Vốn CSH bình quân</t>
        </is>
      </c>
      <c r="C335" s="673" t="n"/>
      <c r="D335" s="677" t="n">
        <v>0.107</v>
      </c>
      <c r="E335" s="652">
        <f>D335*C318</f>
        <v/>
      </c>
      <c r="F335" s="652" t="n"/>
      <c r="G335" s="652" t="n"/>
      <c r="H335" s="652" t="n"/>
    </row>
    <row r="336">
      <c r="B336" s="665" t="inlineStr">
        <is>
          <t>14. Lợi nhuận sau thuế/Tổng tài sản bình quân</t>
        </is>
      </c>
      <c r="C336" s="673" t="n"/>
      <c r="D336" s="677" t="n">
        <v>0.043</v>
      </c>
      <c r="E336" s="652">
        <f>D336*C318</f>
        <v/>
      </c>
      <c r="F336" s="652" t="n"/>
      <c r="G336" s="652" t="n"/>
      <c r="H336" s="652" t="n"/>
    </row>
    <row r="337" ht="15.75" customHeight="1" s="782" thickBot="1">
      <c r="B337" s="667" t="inlineStr">
        <is>
          <t>15. EBIT/Chi phí lãi vay</t>
        </is>
      </c>
      <c r="C337" s="678" t="n"/>
      <c r="D337" s="679" t="n">
        <v>3.47</v>
      </c>
      <c r="E337" s="652">
        <f>D337*C318</f>
        <v/>
      </c>
      <c r="F337" s="652" t="n"/>
      <c r="G337" s="652" t="n"/>
      <c r="H337" s="652" t="n"/>
    </row>
    <row r="338" ht="15.75" customHeight="1" s="782" thickTop="1">
      <c r="B338" s="670" t="inlineStr">
        <is>
          <t>Sản xuất giấy và các sản phẩm từ giấy và in ấn</t>
        </is>
      </c>
      <c r="C338" s="671">
        <f>IF(B338=$G$218,100%,0%)</f>
        <v/>
      </c>
      <c r="D338" s="671" t="n"/>
      <c r="E338" s="644" t="n"/>
      <c r="F338" s="644" t="n"/>
      <c r="G338" s="644" t="n"/>
      <c r="H338" s="644" t="n"/>
    </row>
    <row r="339">
      <c r="B339" s="656" t="inlineStr">
        <is>
          <t>Chỉ tiêu thanh khoản</t>
        </is>
      </c>
      <c r="C339" s="657" t="n"/>
      <c r="D339" s="672" t="n"/>
      <c r="E339" s="648" t="n"/>
      <c r="F339" s="648" t="n"/>
      <c r="G339" s="648" t="n"/>
      <c r="H339" s="648" t="n"/>
    </row>
    <row r="340">
      <c r="B340" s="659" t="inlineStr">
        <is>
          <t>1.Khả năng thanh toán hiện hành</t>
        </is>
      </c>
      <c r="C340" s="673" t="n"/>
      <c r="D340" s="675" t="n">
        <v>1</v>
      </c>
      <c r="E340" s="652">
        <f>C338*D340</f>
        <v/>
      </c>
      <c r="F340" s="652" t="n"/>
      <c r="G340" s="652" t="n"/>
      <c r="H340" s="652" t="n"/>
    </row>
    <row r="341">
      <c r="B341" s="659" t="inlineStr">
        <is>
          <t>2. Khả năng thanh toán nhanh</t>
        </is>
      </c>
      <c r="C341" s="673" t="n"/>
      <c r="D341" s="675" t="n">
        <v>0.51</v>
      </c>
      <c r="E341" s="652">
        <f>D341*C338</f>
        <v/>
      </c>
      <c r="F341" s="652" t="n"/>
      <c r="G341" s="652" t="n"/>
      <c r="H341" s="652" t="n"/>
    </row>
    <row r="342">
      <c r="B342" s="659" t="inlineStr">
        <is>
          <t>3. Khả năng thanh toán tức thời</t>
        </is>
      </c>
      <c r="C342" s="673" t="n"/>
      <c r="D342" s="675" t="n">
        <v>0.13</v>
      </c>
      <c r="E342" s="652">
        <f>D342*C338</f>
        <v/>
      </c>
      <c r="F342" s="652" t="n"/>
      <c r="G342" s="652" t="n"/>
      <c r="H342" s="652" t="n"/>
    </row>
    <row r="343">
      <c r="B343" s="656" t="inlineStr">
        <is>
          <t>Chỉ tiêu hoạt động</t>
        </is>
      </c>
      <c r="C343" s="657" t="n"/>
      <c r="D343" s="672" t="n"/>
      <c r="E343" s="652" t="n"/>
      <c r="F343" s="648" t="n"/>
      <c r="G343" s="648" t="n"/>
      <c r="H343" s="648" t="n"/>
    </row>
    <row r="344">
      <c r="B344" s="659" t="inlineStr">
        <is>
          <t>4. Vòng quay vốn lưu động</t>
        </is>
      </c>
      <c r="C344" s="673" t="n"/>
      <c r="D344" s="675" t="n">
        <v>2.9</v>
      </c>
      <c r="E344" s="652">
        <f>D344*C338</f>
        <v/>
      </c>
      <c r="F344" s="652" t="n"/>
      <c r="G344" s="652" t="n"/>
      <c r="H344" s="652" t="n"/>
    </row>
    <row r="345">
      <c r="B345" s="659" t="inlineStr">
        <is>
          <t>5. Vòng quay hàng tồn kho</t>
        </is>
      </c>
      <c r="C345" s="673" t="n"/>
      <c r="D345" s="675" t="n">
        <v>3.9</v>
      </c>
      <c r="E345" s="652">
        <f>D345*C338</f>
        <v/>
      </c>
      <c r="F345" s="652" t="n"/>
      <c r="G345" s="652" t="n"/>
      <c r="H345" s="652" t="n"/>
    </row>
    <row r="346">
      <c r="B346" s="659" t="inlineStr">
        <is>
          <t>6. Vòng quay các khoản phải thu</t>
        </is>
      </c>
      <c r="C346" s="673" t="n"/>
      <c r="D346" s="675" t="n">
        <v>6.67</v>
      </c>
      <c r="E346" s="652">
        <f>D346*C338</f>
        <v/>
      </c>
      <c r="F346" s="652" t="n"/>
      <c r="G346" s="652" t="n"/>
      <c r="H346" s="652" t="n"/>
    </row>
    <row r="347">
      <c r="B347" s="659" t="inlineStr">
        <is>
          <t>7. Hiệu suất sử dụng TSCĐ</t>
        </is>
      </c>
      <c r="C347" s="673" t="n"/>
      <c r="D347" s="675" t="n">
        <v>2.33</v>
      </c>
      <c r="E347" s="652">
        <f>D347*C338</f>
        <v/>
      </c>
      <c r="F347" s="652" t="n"/>
      <c r="G347" s="652" t="n"/>
      <c r="H347" s="652" t="n"/>
    </row>
    <row r="348">
      <c r="B348" s="656" t="inlineStr">
        <is>
          <t>Chỉ tiêu cân nợ</t>
        </is>
      </c>
      <c r="C348" s="657" t="n"/>
      <c r="D348" s="672" t="n"/>
      <c r="E348" s="652" t="n"/>
      <c r="F348" s="648" t="n"/>
      <c r="G348" s="648" t="n"/>
      <c r="H348" s="648" t="n"/>
    </row>
    <row r="349">
      <c r="B349" s="659" t="inlineStr">
        <is>
          <t>8. Tổng nợ phải trả/ Tổng tài sản</t>
        </is>
      </c>
      <c r="C349" s="673" t="n"/>
      <c r="D349" s="676" t="n">
        <v>0.72</v>
      </c>
      <c r="E349" s="652">
        <f>D349*C338</f>
        <v/>
      </c>
      <c r="F349" s="652" t="n"/>
      <c r="G349" s="652" t="n"/>
      <c r="H349" s="652" t="n"/>
    </row>
    <row r="350">
      <c r="B350" s="659" t="inlineStr">
        <is>
          <t>9. Nợ dài dạn/Vốn CSH</t>
        </is>
      </c>
      <c r="C350" s="673" t="n"/>
      <c r="D350" s="676" t="n">
        <v>0.85</v>
      </c>
      <c r="E350" s="652">
        <f>D350*C338</f>
        <v/>
      </c>
      <c r="F350" s="652" t="n"/>
      <c r="G350" s="652" t="n"/>
      <c r="H350" s="652" t="n"/>
    </row>
    <row r="351">
      <c r="B351" s="659" t="inlineStr">
        <is>
          <t>10. Tổng nợ/Vốn CSH</t>
        </is>
      </c>
      <c r="C351" s="673" t="n"/>
      <c r="D351" s="676" t="n">
        <v>1.84</v>
      </c>
      <c r="E351" s="652">
        <f>D351*C338</f>
        <v/>
      </c>
      <c r="F351" s="652" t="n"/>
      <c r="G351" s="652" t="n"/>
      <c r="H351" s="652" t="n"/>
    </row>
    <row r="352">
      <c r="B352" s="656" t="inlineStr">
        <is>
          <t>Chỉ tiêu thu nhập</t>
        </is>
      </c>
      <c r="C352" s="657" t="n"/>
      <c r="D352" s="672" t="n"/>
      <c r="E352" s="652" t="n"/>
      <c r="F352" s="648" t="n"/>
      <c r="G352" s="648" t="n"/>
      <c r="H352" s="648" t="n"/>
    </row>
    <row r="353">
      <c r="B353" s="665" t="inlineStr">
        <is>
          <t>11. Lợi nhuận gộp/Doanh thu thuần</t>
        </is>
      </c>
      <c r="C353" s="673" t="n"/>
      <c r="D353" s="677" t="n">
        <v>0.1433</v>
      </c>
      <c r="E353" s="652">
        <f>D353*C338</f>
        <v/>
      </c>
      <c r="F353" s="652" t="n"/>
      <c r="G353" s="652" t="n"/>
      <c r="H353" s="652" t="n"/>
    </row>
    <row r="354">
      <c r="B354" s="665" t="inlineStr">
        <is>
          <t>12. Lợi nhuận từ hoạt động kinh doanh/Doanh thu thuần</t>
        </is>
      </c>
      <c r="C354" s="673" t="n"/>
      <c r="D354" s="677" t="n">
        <v>0.07829999999999999</v>
      </c>
      <c r="E354" s="652">
        <f>D354*C338</f>
        <v/>
      </c>
      <c r="F354" s="652" t="n"/>
      <c r="G354" s="652" t="n"/>
      <c r="H354" s="652" t="n"/>
    </row>
    <row r="355">
      <c r="B355" s="665" t="inlineStr">
        <is>
          <t>13. Lợi nhuận sau thuế/Vốn CSH bình quân</t>
        </is>
      </c>
      <c r="C355" s="673" t="n"/>
      <c r="D355" s="677" t="n">
        <v>0.1383</v>
      </c>
      <c r="E355" s="652">
        <f>D355*C338</f>
        <v/>
      </c>
      <c r="F355" s="652" t="n"/>
      <c r="G355" s="652" t="n"/>
      <c r="H355" s="652" t="n"/>
    </row>
    <row r="356">
      <c r="B356" s="665" t="inlineStr">
        <is>
          <t>14. Lợi nhuận sau thuế/Tổng tài sản bình quân</t>
        </is>
      </c>
      <c r="C356" s="673" t="n"/>
      <c r="D356" s="677" t="n">
        <v>0.0517</v>
      </c>
      <c r="E356" s="652">
        <f>D356*C338</f>
        <v/>
      </c>
      <c r="F356" s="652" t="n"/>
      <c r="G356" s="652" t="n"/>
      <c r="H356" s="652" t="n"/>
    </row>
    <row r="357" ht="15.75" customHeight="1" s="782" thickBot="1">
      <c r="B357" s="667" t="inlineStr">
        <is>
          <t>15. EBIT/Chi phí lãi vay</t>
        </is>
      </c>
      <c r="C357" s="678" t="n"/>
      <c r="D357" s="679" t="n">
        <v>2.33</v>
      </c>
      <c r="E357" s="652">
        <f>D357*C338</f>
        <v/>
      </c>
      <c r="F357" s="652" t="n"/>
      <c r="G357" s="652" t="n"/>
      <c r="H357" s="652" t="n"/>
    </row>
    <row r="358" ht="29.25" customHeight="1" s="782" thickTop="1">
      <c r="B358" s="670" t="inlineStr">
        <is>
          <t>Sản xuất thuốc, hoá dược, dược liệu; cao su, nhựa, phân bón, hoá chất</t>
        </is>
      </c>
      <c r="C358" s="671">
        <f>IF(B358=$G$218,100%,0%)</f>
        <v/>
      </c>
      <c r="D358" s="671" t="n"/>
      <c r="E358" s="644" t="n"/>
      <c r="F358" s="644" t="n"/>
      <c r="G358" s="644" t="n"/>
      <c r="H358" s="644" t="n"/>
    </row>
    <row r="359">
      <c r="B359" s="659" t="inlineStr">
        <is>
          <t>1.Khả năng thanh toán hiện hành</t>
        </is>
      </c>
      <c r="C359" s="673" t="n"/>
      <c r="D359" s="675" t="n">
        <v>1.22</v>
      </c>
      <c r="E359" s="652">
        <f>C357*D359</f>
        <v/>
      </c>
      <c r="F359" s="652" t="n"/>
      <c r="G359" s="652" t="n"/>
      <c r="H359" s="652" t="n"/>
    </row>
    <row r="360">
      <c r="B360" s="659" t="inlineStr">
        <is>
          <t>2. Khả năng thanh toán nhanh</t>
        </is>
      </c>
      <c r="C360" s="673" t="n"/>
      <c r="D360" s="675" t="n">
        <v>0.67</v>
      </c>
      <c r="E360" s="652">
        <f>D360*C357</f>
        <v/>
      </c>
      <c r="F360" s="652" t="n"/>
      <c r="G360" s="652" t="n"/>
      <c r="H360" s="652" t="n"/>
    </row>
    <row r="361">
      <c r="B361" s="659" t="inlineStr">
        <is>
          <t>3. Khả năng thanh toán tức thời</t>
        </is>
      </c>
      <c r="C361" s="673" t="n"/>
      <c r="D361" s="675" t="n">
        <v>0.15</v>
      </c>
      <c r="E361" s="652">
        <f>D361*C357</f>
        <v/>
      </c>
      <c r="F361" s="652" t="n"/>
      <c r="G361" s="652" t="n"/>
      <c r="H361" s="652" t="n"/>
    </row>
    <row r="362">
      <c r="B362" s="656" t="inlineStr">
        <is>
          <t>Chỉ tiêu hoạt động</t>
        </is>
      </c>
      <c r="C362" s="657" t="n"/>
      <c r="D362" s="672" t="n"/>
      <c r="E362" s="652" t="n"/>
      <c r="F362" s="648" t="n"/>
      <c r="G362" s="648" t="n"/>
      <c r="H362" s="648" t="n"/>
    </row>
    <row r="363">
      <c r="B363" s="659" t="inlineStr">
        <is>
          <t>4. Vòng quay vốn lưu động</t>
        </is>
      </c>
      <c r="C363" s="673" t="n"/>
      <c r="D363" s="675" t="n">
        <v>2.07</v>
      </c>
      <c r="E363" s="652">
        <f>D363*C357</f>
        <v/>
      </c>
      <c r="F363" s="652" t="n"/>
      <c r="G363" s="652" t="n"/>
      <c r="H363" s="652" t="n"/>
    </row>
    <row r="364">
      <c r="B364" s="659" t="inlineStr">
        <is>
          <t>5. Vòng quay hàng tồn kho</t>
        </is>
      </c>
      <c r="C364" s="673" t="n"/>
      <c r="D364" s="675" t="n">
        <v>3.83</v>
      </c>
      <c r="E364" s="652">
        <f>D364*C357</f>
        <v/>
      </c>
      <c r="F364" s="652" t="n"/>
      <c r="G364" s="652" t="n"/>
      <c r="H364" s="652" t="n"/>
    </row>
    <row r="365">
      <c r="B365" s="659" t="inlineStr">
        <is>
          <t>6. Vòng quay các khoản phải thu</t>
        </is>
      </c>
      <c r="C365" s="673" t="n"/>
      <c r="D365" s="675" t="n">
        <v>5</v>
      </c>
      <c r="E365" s="652">
        <f>D365*C357</f>
        <v/>
      </c>
      <c r="F365" s="652" t="n"/>
      <c r="G365" s="652" t="n"/>
      <c r="H365" s="652" t="n"/>
    </row>
    <row r="366">
      <c r="B366" s="659" t="inlineStr">
        <is>
          <t>7. Hiệu suất sử dụng TSCĐ</t>
        </is>
      </c>
      <c r="C366" s="673" t="n"/>
      <c r="D366" s="675" t="n">
        <v>4.17</v>
      </c>
      <c r="E366" s="652">
        <f>D366*C357</f>
        <v/>
      </c>
      <c r="F366" s="652" t="n"/>
      <c r="G366" s="652" t="n"/>
      <c r="H366" s="652" t="n"/>
    </row>
    <row r="367">
      <c r="B367" s="656" t="inlineStr">
        <is>
          <t>Chỉ tiêu cân nợ</t>
        </is>
      </c>
      <c r="C367" s="657" t="n"/>
      <c r="D367" s="672" t="n"/>
      <c r="E367" s="652" t="n"/>
      <c r="F367" s="648" t="n"/>
      <c r="G367" s="648" t="n"/>
      <c r="H367" s="648" t="n"/>
    </row>
    <row r="368">
      <c r="B368" s="659" t="inlineStr">
        <is>
          <t>8. Tổng nợ phải trả/ Tổng tài sản</t>
        </is>
      </c>
      <c r="C368" s="673" t="n"/>
      <c r="D368" s="676" t="n">
        <v>0.73</v>
      </c>
      <c r="E368" s="652">
        <f>D368*C357</f>
        <v/>
      </c>
      <c r="F368" s="652" t="n"/>
      <c r="G368" s="652" t="n"/>
      <c r="H368" s="652" t="n"/>
    </row>
    <row r="369">
      <c r="B369" s="659" t="inlineStr">
        <is>
          <t>9. Nợ dài dạn/Vốn CSH</t>
        </is>
      </c>
      <c r="C369" s="673" t="n"/>
      <c r="D369" s="676" t="n">
        <v>0.6</v>
      </c>
      <c r="E369" s="652">
        <f>D369*C357</f>
        <v/>
      </c>
      <c r="F369" s="652" t="n"/>
      <c r="G369" s="652" t="n"/>
      <c r="H369" s="652" t="n"/>
    </row>
    <row r="370">
      <c r="B370" s="665" t="inlineStr">
        <is>
          <t>10. Tổng nợ/Vốn CSH</t>
        </is>
      </c>
      <c r="C370" s="673" t="n"/>
      <c r="D370" s="676" t="n">
        <v>1.9</v>
      </c>
      <c r="E370" s="652">
        <f>D370*C357</f>
        <v/>
      </c>
      <c r="F370" s="652" t="n"/>
      <c r="G370" s="652" t="n"/>
      <c r="H370" s="652" t="n"/>
    </row>
    <row r="371">
      <c r="B371" s="656" t="inlineStr">
        <is>
          <t>Chỉ tiêu thu nhập</t>
        </is>
      </c>
      <c r="C371" s="657" t="n"/>
      <c r="D371" s="672" t="n"/>
      <c r="E371" s="652" t="n"/>
      <c r="F371" s="648" t="n"/>
      <c r="G371" s="648" t="n"/>
      <c r="H371" s="648" t="n"/>
    </row>
    <row r="372">
      <c r="B372" s="665" t="inlineStr">
        <is>
          <t>11. Lợi nhuận gộp/Doanh thu thuần</t>
        </is>
      </c>
      <c r="C372" s="673" t="n"/>
      <c r="D372" s="677" t="n">
        <v>0.1367</v>
      </c>
      <c r="E372" s="652">
        <f>D372*C357</f>
        <v/>
      </c>
      <c r="F372" s="652" t="n"/>
      <c r="G372" s="652" t="n"/>
      <c r="H372" s="652" t="n"/>
    </row>
    <row r="373">
      <c r="B373" s="665" t="inlineStr">
        <is>
          <t>12. Lợi nhuận từ hoạt động kinh doanh/Doanh thu thuần</t>
        </is>
      </c>
      <c r="C373" s="673" t="n"/>
      <c r="D373" s="677" t="n">
        <v>0.0717</v>
      </c>
      <c r="E373" s="652">
        <f>D373*C357</f>
        <v/>
      </c>
      <c r="F373" s="652" t="n"/>
      <c r="G373" s="652" t="n"/>
      <c r="H373" s="652" t="n"/>
    </row>
    <row r="374">
      <c r="B374" s="665" t="inlineStr">
        <is>
          <t>13. Lợi nhuận sau thuế/Vốn CSH bình quân</t>
        </is>
      </c>
      <c r="C374" s="673" t="n"/>
      <c r="D374" s="677" t="n">
        <v>0.1333</v>
      </c>
      <c r="E374" s="652">
        <f>D374*C357</f>
        <v/>
      </c>
      <c r="F374" s="652" t="n"/>
      <c r="G374" s="652" t="n"/>
      <c r="H374" s="652" t="n"/>
    </row>
    <row r="375">
      <c r="B375" s="665" t="inlineStr">
        <is>
          <t>14. Lợi nhuận sau thuế/Tổng tài sản bình quân</t>
        </is>
      </c>
      <c r="C375" s="673" t="n"/>
      <c r="D375" s="677" t="n">
        <v>0.052</v>
      </c>
      <c r="E375" s="652">
        <f>D375*C357</f>
        <v/>
      </c>
      <c r="F375" s="652" t="n"/>
      <c r="G375" s="652" t="n"/>
      <c r="H375" s="652" t="n"/>
    </row>
    <row r="376" ht="15.75" customHeight="1" s="782" thickBot="1">
      <c r="B376" s="667" t="inlineStr">
        <is>
          <t>15. EBIT/Chi phí lãi vay</t>
        </is>
      </c>
      <c r="C376" s="678" t="n"/>
      <c r="D376" s="679" t="n">
        <v>3.23</v>
      </c>
      <c r="E376" s="652">
        <f>D376*C357</f>
        <v/>
      </c>
      <c r="F376" s="652" t="n"/>
      <c r="G376" s="652" t="n"/>
      <c r="H376" s="652" t="n"/>
    </row>
    <row r="377" ht="29.25" customHeight="1" s="782" thickTop="1">
      <c r="B377" s="670" t="inlineStr">
        <is>
          <t>Sản xuất vật liệu xây dựng (trừ thép, Inox, sơn, matit và các chất tương tự)</t>
        </is>
      </c>
      <c r="C377" s="671">
        <f>IF(B377=$G$218,100%,0%)</f>
        <v/>
      </c>
      <c r="D377" s="671" t="n"/>
      <c r="E377" s="644" t="n"/>
      <c r="F377" s="644" t="n"/>
      <c r="G377" s="644" t="n"/>
      <c r="H377" s="644" t="n"/>
    </row>
    <row r="378">
      <c r="B378" s="656" t="inlineStr">
        <is>
          <t>Chỉ tiêu thanh khoản</t>
        </is>
      </c>
      <c r="C378" s="657" t="n"/>
      <c r="D378" s="672" t="n"/>
      <c r="E378" s="648" t="n"/>
      <c r="F378" s="648" t="n"/>
      <c r="G378" s="648" t="n"/>
      <c r="H378" s="648" t="n"/>
    </row>
    <row r="379">
      <c r="B379" s="659" t="inlineStr">
        <is>
          <t>1.Khả năng thanh toán hiện hành</t>
        </is>
      </c>
      <c r="C379" s="673" t="n"/>
      <c r="D379" s="675" t="n">
        <v>1.11</v>
      </c>
      <c r="E379" s="652">
        <f>C377*D379</f>
        <v/>
      </c>
      <c r="F379" s="652" t="n"/>
      <c r="G379" s="652" t="n"/>
      <c r="H379" s="652" t="n"/>
    </row>
    <row r="380">
      <c r="B380" s="659" t="inlineStr">
        <is>
          <t>2. Khả năng thanh toán nhanh</t>
        </is>
      </c>
      <c r="C380" s="673" t="n"/>
      <c r="D380" s="675" t="n">
        <v>0.43</v>
      </c>
      <c r="E380" s="652">
        <f>D380*C377</f>
        <v/>
      </c>
      <c r="F380" s="652" t="n"/>
      <c r="G380" s="652" t="n"/>
      <c r="H380" s="652" t="n"/>
    </row>
    <row r="381">
      <c r="B381" s="659" t="inlineStr">
        <is>
          <t>3. Khả năng thanh toán tức thời</t>
        </is>
      </c>
      <c r="C381" s="673" t="n"/>
      <c r="D381" s="675" t="n">
        <v>0.15</v>
      </c>
      <c r="E381" s="652">
        <f>D381*C377</f>
        <v/>
      </c>
      <c r="F381" s="652" t="n"/>
      <c r="G381" s="652" t="n"/>
      <c r="H381" s="652" t="n"/>
    </row>
    <row r="382">
      <c r="B382" s="656" t="inlineStr">
        <is>
          <t>Chỉ tiêu hoạt động</t>
        </is>
      </c>
      <c r="C382" s="657" t="n"/>
      <c r="D382" s="672" t="n"/>
      <c r="E382" s="652" t="n"/>
      <c r="F382" s="648" t="n"/>
      <c r="G382" s="648" t="n"/>
      <c r="H382" s="648" t="n"/>
    </row>
    <row r="383">
      <c r="B383" s="659" t="inlineStr">
        <is>
          <t>4. Vòng quay vốn lưu động</t>
        </is>
      </c>
      <c r="C383" s="673" t="n"/>
      <c r="D383" s="675" t="n">
        <v>2.5</v>
      </c>
      <c r="E383" s="652">
        <f>D383*C377</f>
        <v/>
      </c>
      <c r="F383" s="652" t="n"/>
      <c r="G383" s="652" t="n"/>
      <c r="H383" s="652" t="n"/>
    </row>
    <row r="384">
      <c r="B384" s="659" t="inlineStr">
        <is>
          <t>5. Vòng quay hàng tồn kho</t>
        </is>
      </c>
      <c r="C384" s="673" t="n"/>
      <c r="D384" s="675" t="n">
        <v>3</v>
      </c>
      <c r="E384" s="652">
        <f>D384*C377</f>
        <v/>
      </c>
      <c r="F384" s="652" t="n"/>
      <c r="G384" s="652" t="n"/>
      <c r="H384" s="652" t="n"/>
    </row>
    <row r="385">
      <c r="B385" s="659" t="inlineStr">
        <is>
          <t>6. Vòng quay các khoản phải thu</t>
        </is>
      </c>
      <c r="C385" s="673" t="n"/>
      <c r="D385" s="675" t="n">
        <v>5.67</v>
      </c>
      <c r="E385" s="652">
        <f>D385*C377</f>
        <v/>
      </c>
      <c r="F385" s="652" t="n"/>
      <c r="G385" s="652" t="n"/>
      <c r="H385" s="652" t="n"/>
    </row>
    <row r="386">
      <c r="B386" s="659" t="inlineStr">
        <is>
          <t>7. Hiệu suất sử dụng TSCĐ</t>
        </is>
      </c>
      <c r="C386" s="673" t="n"/>
      <c r="D386" s="675" t="n">
        <v>3.77</v>
      </c>
      <c r="E386" s="652">
        <f>D386*C377</f>
        <v/>
      </c>
      <c r="F386" s="652" t="n"/>
      <c r="G386" s="652" t="n"/>
      <c r="H386" s="652" t="n"/>
    </row>
    <row r="387">
      <c r="B387" s="656" t="inlineStr">
        <is>
          <t>Chỉ tiêu cân nợ</t>
        </is>
      </c>
      <c r="C387" s="657" t="n"/>
      <c r="D387" s="672" t="n"/>
      <c r="E387" s="652" t="n"/>
      <c r="F387" s="648" t="n"/>
      <c r="G387" s="648" t="n"/>
      <c r="H387" s="648" t="n"/>
    </row>
    <row r="388">
      <c r="B388" s="659" t="inlineStr">
        <is>
          <t>8. Tổng nợ phải trả/ Tổng tài sản</t>
        </is>
      </c>
      <c r="C388" s="673" t="n"/>
      <c r="D388" s="677" t="n">
        <v>0.7333</v>
      </c>
      <c r="E388" s="652">
        <f>D388*C377</f>
        <v/>
      </c>
      <c r="F388" s="652" t="n"/>
      <c r="G388" s="652" t="n"/>
      <c r="H388" s="652" t="n"/>
    </row>
    <row r="389">
      <c r="B389" s="659" t="inlineStr">
        <is>
          <t>9. Nợ dài dạn/Vốn CSH</t>
        </is>
      </c>
      <c r="C389" s="673" t="n"/>
      <c r="D389" s="677" t="n">
        <v>0.7667</v>
      </c>
      <c r="E389" s="652">
        <f>D389*C377</f>
        <v/>
      </c>
      <c r="F389" s="652" t="n"/>
      <c r="G389" s="652" t="n"/>
      <c r="H389" s="652" t="n"/>
    </row>
    <row r="390">
      <c r="B390" s="665" t="inlineStr">
        <is>
          <t>10. Tổng nợ/Vốn CSH</t>
        </is>
      </c>
      <c r="C390" s="673" t="n"/>
      <c r="D390" s="676" t="n">
        <v>1.9</v>
      </c>
      <c r="E390" s="652">
        <f>D390*C377</f>
        <v/>
      </c>
      <c r="F390" s="652" t="n"/>
      <c r="G390" s="652" t="n"/>
      <c r="H390" s="652" t="n"/>
    </row>
    <row r="391">
      <c r="B391" s="656" t="inlineStr">
        <is>
          <t>Chỉ tiêu thu nhập</t>
        </is>
      </c>
      <c r="C391" s="657" t="n"/>
      <c r="D391" s="672" t="n"/>
      <c r="E391" s="652" t="n"/>
      <c r="F391" s="648" t="n"/>
      <c r="G391" s="648" t="n"/>
      <c r="H391" s="648" t="n"/>
    </row>
    <row r="392">
      <c r="B392" s="665" t="inlineStr">
        <is>
          <t>11. Lợi nhuận gộp/Doanh thu thuần</t>
        </is>
      </c>
      <c r="C392" s="673" t="n"/>
      <c r="D392" s="676" t="n">
        <v>0.15</v>
      </c>
      <c r="E392" s="652">
        <f>D392*C377</f>
        <v/>
      </c>
      <c r="F392" s="652" t="n"/>
      <c r="G392" s="652" t="n"/>
      <c r="H392" s="652" t="n"/>
    </row>
    <row r="393">
      <c r="B393" s="665" t="inlineStr">
        <is>
          <t>12. Lợi nhuận từ hoạt động kinh doanh/Doanh thu thuần</t>
        </is>
      </c>
      <c r="C393" s="673" t="n"/>
      <c r="D393" s="676" t="n">
        <v>0.1</v>
      </c>
      <c r="E393" s="652">
        <f>D393*C377</f>
        <v/>
      </c>
      <c r="F393" s="652" t="n"/>
      <c r="G393" s="652" t="n"/>
      <c r="H393" s="652" t="n"/>
    </row>
    <row r="394">
      <c r="B394" s="665" t="inlineStr">
        <is>
          <t>13. Lợi nhuận sau thuế/Vốn CSH bình quân</t>
        </is>
      </c>
      <c r="C394" s="673" t="n"/>
      <c r="D394" s="677" t="n">
        <v>0.1333</v>
      </c>
      <c r="E394" s="652">
        <f>D394*C377</f>
        <v/>
      </c>
      <c r="F394" s="652" t="n"/>
      <c r="G394" s="652" t="n"/>
      <c r="H394" s="652" t="n"/>
    </row>
    <row r="395">
      <c r="B395" s="665" t="inlineStr">
        <is>
          <t>14. Lợi nhuận sau thuế/Tổng tài sản bình quân</t>
        </is>
      </c>
      <c r="C395" s="673" t="n"/>
      <c r="D395" s="676" t="n">
        <v>0.06</v>
      </c>
      <c r="E395" s="652">
        <f>D395*C377</f>
        <v/>
      </c>
      <c r="F395" s="652" t="n"/>
      <c r="G395" s="652" t="n"/>
      <c r="H395" s="652" t="n"/>
    </row>
    <row r="396" ht="15.75" customHeight="1" s="782" thickBot="1">
      <c r="B396" s="667" t="inlineStr">
        <is>
          <t>15. EBIT/Chi phí lãi vay</t>
        </is>
      </c>
      <c r="C396" s="678" t="n"/>
      <c r="D396" s="679" t="n">
        <v>3</v>
      </c>
      <c r="E396" s="652">
        <f>D396*C377</f>
        <v/>
      </c>
      <c r="F396" s="652" t="n"/>
      <c r="G396" s="652" t="n"/>
      <c r="H396" s="652" t="n"/>
    </row>
    <row r="397" ht="15.75" customHeight="1" s="782" thickTop="1">
      <c r="B397" s="684" t="inlineStr">
        <is>
          <t>Sản suất thép thành phẩm</t>
        </is>
      </c>
      <c r="C397" s="671">
        <f>IF(B397=$G$218,100%,0%)</f>
        <v/>
      </c>
      <c r="D397" s="671" t="n"/>
      <c r="E397" s="644" t="n"/>
      <c r="F397" s="644" t="n"/>
      <c r="G397" s="644" t="n"/>
      <c r="H397" s="644" t="n"/>
    </row>
    <row r="398">
      <c r="B398" s="656" t="inlineStr">
        <is>
          <t>Chỉ tiêu thanh khoản</t>
        </is>
      </c>
      <c r="C398" s="657" t="n"/>
      <c r="D398" s="672" t="n"/>
      <c r="E398" s="648" t="n"/>
      <c r="F398" s="648" t="n"/>
      <c r="G398" s="648" t="n"/>
      <c r="H398" s="648" t="n"/>
    </row>
    <row r="399">
      <c r="B399" s="659" t="inlineStr">
        <is>
          <t>1.Khả năng thanh toán hiện hành</t>
        </is>
      </c>
      <c r="C399" s="673" t="n"/>
      <c r="D399" s="675" t="n">
        <v>1.18</v>
      </c>
      <c r="E399" s="652">
        <f>C397*D399</f>
        <v/>
      </c>
      <c r="F399" s="652" t="n"/>
      <c r="G399" s="652" t="n"/>
      <c r="H399" s="652" t="n"/>
    </row>
    <row r="400">
      <c r="B400" s="659" t="inlineStr">
        <is>
          <t>2. Khả năng thanh toán nhanh</t>
        </is>
      </c>
      <c r="C400" s="673" t="n"/>
      <c r="D400" s="675" t="n">
        <v>0.57</v>
      </c>
      <c r="E400" s="652">
        <f>D400*C397</f>
        <v/>
      </c>
      <c r="F400" s="652" t="n"/>
      <c r="G400" s="652" t="n"/>
      <c r="H400" s="652" t="n"/>
    </row>
    <row r="401">
      <c r="B401" s="659" t="inlineStr">
        <is>
          <t>3. Khả năng thanh toán tức thời</t>
        </is>
      </c>
      <c r="C401" s="673" t="n"/>
      <c r="D401" s="675" t="n">
        <v>0.08</v>
      </c>
      <c r="E401" s="652">
        <f>D401*C397</f>
        <v/>
      </c>
      <c r="F401" s="652" t="n"/>
      <c r="G401" s="652" t="n"/>
      <c r="H401" s="652" t="n"/>
    </row>
    <row r="402">
      <c r="B402" s="656" t="inlineStr">
        <is>
          <t>Chỉ tiêu hoạt động</t>
        </is>
      </c>
      <c r="C402" s="657" t="n"/>
      <c r="D402" s="672" t="n"/>
      <c r="E402" s="652" t="n"/>
      <c r="F402" s="648" t="n"/>
      <c r="G402" s="648" t="n"/>
      <c r="H402" s="648" t="n"/>
    </row>
    <row r="403">
      <c r="B403" s="659" t="inlineStr">
        <is>
          <t>4. Vòng quay vốn lưu động</t>
        </is>
      </c>
      <c r="C403" s="673" t="n"/>
      <c r="D403" s="675" t="n">
        <v>3.33</v>
      </c>
      <c r="E403" s="652">
        <f>D403*C397</f>
        <v/>
      </c>
      <c r="F403" s="652" t="n"/>
      <c r="G403" s="652" t="n"/>
      <c r="H403" s="652" t="n"/>
    </row>
    <row r="404">
      <c r="B404" s="659" t="inlineStr">
        <is>
          <t>5. Vòng quay hàng tồn kho</t>
        </is>
      </c>
      <c r="C404" s="673" t="n"/>
      <c r="D404" s="675" t="n">
        <v>4</v>
      </c>
      <c r="E404" s="652">
        <f>D404*C397</f>
        <v/>
      </c>
      <c r="F404" s="652" t="n"/>
      <c r="G404" s="652" t="n"/>
      <c r="H404" s="652" t="n"/>
    </row>
    <row r="405">
      <c r="B405" s="659" t="inlineStr">
        <is>
          <t>6. Vòng quay các khoản phải thu</t>
        </is>
      </c>
      <c r="C405" s="673" t="n"/>
      <c r="D405" s="675" t="n">
        <v>5.17</v>
      </c>
      <c r="E405" s="652">
        <f>D405*C397</f>
        <v/>
      </c>
      <c r="F405" s="652" t="n"/>
      <c r="G405" s="652" t="n"/>
      <c r="H405" s="652" t="n"/>
    </row>
    <row r="406">
      <c r="B406" s="659" t="inlineStr">
        <is>
          <t>7. Hiệu suất sử dụng TSCĐ</t>
        </is>
      </c>
      <c r="C406" s="673" t="n"/>
      <c r="D406" s="675" t="n">
        <v>5</v>
      </c>
      <c r="E406" s="652">
        <f>D406*C397</f>
        <v/>
      </c>
      <c r="F406" s="652" t="n"/>
      <c r="G406" s="652" t="n"/>
      <c r="H406" s="652" t="n"/>
    </row>
    <row r="407">
      <c r="B407" s="656" t="inlineStr">
        <is>
          <t>Chỉ tiêu cân nợ</t>
        </is>
      </c>
      <c r="C407" s="657" t="n"/>
      <c r="D407" s="672" t="n"/>
      <c r="E407" s="652" t="n"/>
      <c r="F407" s="648" t="n"/>
      <c r="G407" s="648" t="n"/>
      <c r="H407" s="648" t="n"/>
    </row>
    <row r="408">
      <c r="B408" s="659" t="inlineStr">
        <is>
          <t>8. Tổng nợ phải trả/ Tổng tài sản</t>
        </is>
      </c>
      <c r="C408" s="673" t="n"/>
      <c r="D408" s="676" t="n">
        <v>0.72</v>
      </c>
      <c r="E408" s="652">
        <f>D408*C397</f>
        <v/>
      </c>
      <c r="F408" s="652" t="n"/>
      <c r="G408" s="652" t="n"/>
      <c r="H408" s="652" t="n"/>
    </row>
    <row r="409">
      <c r="B409" s="659" t="inlineStr">
        <is>
          <t>9. Nợ dài dạn/Vốn CSH</t>
        </is>
      </c>
      <c r="C409" s="673" t="n"/>
      <c r="D409" s="676" t="n">
        <v>0.58</v>
      </c>
      <c r="E409" s="652">
        <f>D409*C397</f>
        <v/>
      </c>
      <c r="F409" s="652" t="n"/>
      <c r="G409" s="652" t="n"/>
      <c r="H409" s="652" t="n"/>
    </row>
    <row r="410">
      <c r="B410" s="659" t="inlineStr">
        <is>
          <t>10. Tổng nợ/Vốn CSH</t>
        </is>
      </c>
      <c r="C410" s="673" t="n"/>
      <c r="D410" s="676" t="n">
        <v>1.84</v>
      </c>
      <c r="E410" s="652">
        <f>D410*C397</f>
        <v/>
      </c>
      <c r="F410" s="652" t="n"/>
      <c r="G410" s="652" t="n"/>
      <c r="H410" s="652" t="n"/>
    </row>
    <row r="411">
      <c r="B411" s="656" t="inlineStr">
        <is>
          <t>Chỉ tiêu thu nhập</t>
        </is>
      </c>
      <c r="C411" s="657" t="n"/>
      <c r="D411" s="672" t="n"/>
      <c r="E411" s="652" t="n"/>
      <c r="F411" s="648" t="n"/>
      <c r="G411" s="648" t="n"/>
      <c r="H411" s="648" t="n"/>
    </row>
    <row r="412">
      <c r="B412" s="665" t="inlineStr">
        <is>
          <t>11. Lợi nhuận gộp/Doanh thu thuần</t>
        </is>
      </c>
      <c r="C412" s="673" t="n"/>
      <c r="D412" s="676" t="n">
        <v>0.14</v>
      </c>
      <c r="E412" s="652">
        <f>D412*C397</f>
        <v/>
      </c>
      <c r="F412" s="652" t="n"/>
      <c r="G412" s="652" t="n"/>
      <c r="H412" s="652" t="n"/>
    </row>
    <row r="413">
      <c r="B413" s="665" t="inlineStr">
        <is>
          <t>12. Lợi nhuận từ hoạt động kinh doanh/Doanh thu thuần</t>
        </is>
      </c>
      <c r="C413" s="673" t="n"/>
      <c r="D413" s="677" t="n">
        <v>0.0917</v>
      </c>
      <c r="E413" s="652">
        <f>D413*C397</f>
        <v/>
      </c>
      <c r="F413" s="652" t="n"/>
      <c r="G413" s="652" t="n"/>
      <c r="H413" s="652" t="n"/>
    </row>
    <row r="414">
      <c r="B414" s="665" t="inlineStr">
        <is>
          <t>13. Lợi nhuận sau thuế/Vốn CSH bình quân</t>
        </is>
      </c>
      <c r="C414" s="673" t="n"/>
      <c r="D414" s="676" t="n">
        <v>0.17</v>
      </c>
      <c r="E414" s="652">
        <f>D414*C397</f>
        <v/>
      </c>
      <c r="F414" s="652" t="n"/>
      <c r="G414" s="652" t="n"/>
      <c r="H414" s="652" t="n"/>
    </row>
    <row r="415">
      <c r="B415" s="665" t="inlineStr">
        <is>
          <t>14. Lợi nhuận sau thuế/Tổng tài sản bình quân</t>
        </is>
      </c>
      <c r="C415" s="673" t="n"/>
      <c r="D415" s="677" t="n">
        <v>0.09329999999999999</v>
      </c>
      <c r="E415" s="652">
        <f>D415*C397</f>
        <v/>
      </c>
      <c r="F415" s="652" t="n"/>
      <c r="G415" s="652" t="n"/>
      <c r="H415" s="652" t="n"/>
    </row>
    <row r="416" ht="15.75" customHeight="1" s="782" thickBot="1">
      <c r="B416" s="667" t="inlineStr">
        <is>
          <t>15. EBIT/Chi phí lãi vay</t>
        </is>
      </c>
      <c r="C416" s="678" t="n"/>
      <c r="D416" s="679" t="n">
        <v>2.73</v>
      </c>
      <c r="E416" s="652">
        <f>D416*C397</f>
        <v/>
      </c>
      <c r="F416" s="652" t="n"/>
      <c r="G416" s="652" t="n"/>
      <c r="H416" s="652" t="n"/>
    </row>
    <row r="417" ht="15.75" customHeight="1" s="782" thickTop="1">
      <c r="B417" s="684" t="inlineStr">
        <is>
          <t>Sản suất phôi thép</t>
        </is>
      </c>
      <c r="C417" s="671">
        <f>IF(B417=$G$218,100%,0%)</f>
        <v/>
      </c>
      <c r="D417" s="671" t="n"/>
      <c r="E417" s="644" t="n"/>
      <c r="F417" s="644" t="n"/>
      <c r="G417" s="644" t="n"/>
      <c r="H417" s="644" t="n"/>
    </row>
    <row r="418">
      <c r="B418" s="656" t="inlineStr">
        <is>
          <t>Chỉ tiêu thanh khoản</t>
        </is>
      </c>
      <c r="C418" s="657" t="n"/>
      <c r="D418" s="672" t="n"/>
      <c r="E418" s="648" t="n"/>
      <c r="F418" s="648" t="n"/>
      <c r="G418" s="648" t="n"/>
      <c r="H418" s="648" t="n"/>
    </row>
    <row r="419">
      <c r="B419" s="659" t="inlineStr">
        <is>
          <t>1.Khả năng thanh toán hiện hành</t>
        </is>
      </c>
      <c r="C419" s="673" t="n"/>
      <c r="D419" s="675" t="n">
        <v>1.18</v>
      </c>
      <c r="E419" s="652">
        <f>C417*D419</f>
        <v/>
      </c>
      <c r="F419" s="652" t="n"/>
      <c r="G419" s="652" t="n"/>
      <c r="H419" s="652" t="n"/>
    </row>
    <row r="420">
      <c r="B420" s="659" t="inlineStr">
        <is>
          <t>2. Khả năng thanh toán nhanh</t>
        </is>
      </c>
      <c r="C420" s="673" t="n"/>
      <c r="D420" s="675" t="n">
        <v>0.57</v>
      </c>
      <c r="E420" s="652">
        <f>D420*C417</f>
        <v/>
      </c>
      <c r="F420" s="652" t="n"/>
      <c r="G420" s="652" t="n"/>
      <c r="H420" s="652" t="n"/>
    </row>
    <row r="421">
      <c r="B421" s="659" t="inlineStr">
        <is>
          <t>3. Khả năng thanh toán tức thời</t>
        </is>
      </c>
      <c r="C421" s="673" t="n"/>
      <c r="D421" s="675" t="n">
        <v>0.07000000000000001</v>
      </c>
      <c r="E421" s="652">
        <f>D421*C417</f>
        <v/>
      </c>
      <c r="F421" s="652" t="n"/>
      <c r="G421" s="652" t="n"/>
      <c r="H421" s="652" t="n"/>
    </row>
    <row r="422">
      <c r="B422" s="656" t="inlineStr">
        <is>
          <t>Chỉ tiêu hoạt động</t>
        </is>
      </c>
      <c r="C422" s="657" t="n"/>
      <c r="D422" s="672" t="n"/>
      <c r="E422" s="652" t="n"/>
      <c r="F422" s="648" t="n"/>
      <c r="G422" s="648" t="n"/>
      <c r="H422" s="648" t="n"/>
    </row>
    <row r="423">
      <c r="B423" s="659" t="inlineStr">
        <is>
          <t>4. Vòng quay vốn lưu động</t>
        </is>
      </c>
      <c r="C423" s="673" t="n"/>
      <c r="D423" s="675" t="n">
        <v>2.67</v>
      </c>
      <c r="E423" s="652">
        <f>D423*C417</f>
        <v/>
      </c>
      <c r="F423" s="652" t="n"/>
      <c r="G423" s="652" t="n"/>
      <c r="H423" s="652" t="n"/>
    </row>
    <row r="424">
      <c r="B424" s="659" t="inlineStr">
        <is>
          <t>5. Vòng quay hàng tồn kho</t>
        </is>
      </c>
      <c r="C424" s="673" t="n"/>
      <c r="D424" s="675" t="n">
        <v>3.33</v>
      </c>
      <c r="E424" s="652">
        <f>D424*C417</f>
        <v/>
      </c>
      <c r="F424" s="652" t="n"/>
      <c r="G424" s="652" t="n"/>
      <c r="H424" s="652" t="n"/>
    </row>
    <row r="425">
      <c r="B425" s="659" t="inlineStr">
        <is>
          <t>6. Vòng quay các khoản phải thu</t>
        </is>
      </c>
      <c r="C425" s="673" t="n"/>
      <c r="D425" s="675" t="n">
        <v>5.17</v>
      </c>
      <c r="E425" s="652">
        <f>D425*C417</f>
        <v/>
      </c>
      <c r="F425" s="652" t="n"/>
      <c r="G425" s="652" t="n"/>
      <c r="H425" s="652" t="n"/>
    </row>
    <row r="426">
      <c r="B426" s="659" t="inlineStr">
        <is>
          <t>7. Hiệu suất sử dụng TSCĐ</t>
        </is>
      </c>
      <c r="C426" s="673" t="n"/>
      <c r="D426" s="675" t="n">
        <v>5</v>
      </c>
      <c r="E426" s="652">
        <f>D426*C417</f>
        <v/>
      </c>
      <c r="F426" s="652" t="n"/>
      <c r="G426" s="652" t="n"/>
      <c r="H426" s="652" t="n"/>
    </row>
    <row r="427">
      <c r="B427" s="656" t="inlineStr">
        <is>
          <t>Chỉ tiêu cân nợ</t>
        </is>
      </c>
      <c r="C427" s="657" t="n"/>
      <c r="D427" s="672" t="n"/>
      <c r="E427" s="652" t="n"/>
      <c r="F427" s="648" t="n"/>
      <c r="G427" s="648" t="n"/>
      <c r="H427" s="648" t="n"/>
    </row>
    <row r="428">
      <c r="B428" s="659" t="inlineStr">
        <is>
          <t>8. Tổng nợ phải trả/ Tổng tài sản</t>
        </is>
      </c>
      <c r="C428" s="673" t="n"/>
      <c r="D428" s="676" t="n">
        <v>0.72</v>
      </c>
      <c r="E428" s="652">
        <f>D428*C417</f>
        <v/>
      </c>
      <c r="F428" s="652" t="n"/>
      <c r="G428" s="652" t="n"/>
      <c r="H428" s="652" t="n"/>
    </row>
    <row r="429">
      <c r="B429" s="659" t="inlineStr">
        <is>
          <t>9. Nợ dài dạn/Vốn CSH</t>
        </is>
      </c>
      <c r="C429" s="673" t="n"/>
      <c r="D429" s="676" t="n">
        <v>0.63</v>
      </c>
      <c r="E429" s="652">
        <f>D429*C417</f>
        <v/>
      </c>
      <c r="F429" s="652" t="n"/>
      <c r="G429" s="652" t="n"/>
      <c r="H429" s="652" t="n"/>
    </row>
    <row r="430">
      <c r="B430" s="665" t="inlineStr">
        <is>
          <t>10. Tổng nợ/Vốn CSH</t>
        </is>
      </c>
      <c r="C430" s="673" t="n"/>
      <c r="D430" s="676" t="n">
        <v>1.84</v>
      </c>
      <c r="E430" s="652">
        <f>D430*C417</f>
        <v/>
      </c>
      <c r="F430" s="652" t="n"/>
      <c r="G430" s="652" t="n"/>
      <c r="H430" s="652" t="n"/>
    </row>
    <row r="431">
      <c r="B431" s="656" t="inlineStr">
        <is>
          <t>Chỉ tiêu thu nhập</t>
        </is>
      </c>
      <c r="C431" s="657" t="n"/>
      <c r="D431" s="672" t="n"/>
      <c r="E431" s="652" t="n"/>
      <c r="F431" s="648" t="n"/>
      <c r="G431" s="648" t="n"/>
      <c r="H431" s="648" t="n"/>
    </row>
    <row r="432">
      <c r="B432" s="665" t="inlineStr">
        <is>
          <t>11. Lợi nhuận gộp/Doanh thu thuần</t>
        </is>
      </c>
      <c r="C432" s="673" t="n"/>
      <c r="D432" s="677" t="n">
        <v>0.1267</v>
      </c>
      <c r="E432" s="652">
        <f>D432*C417</f>
        <v/>
      </c>
      <c r="F432" s="652" t="n"/>
      <c r="G432" s="652" t="n"/>
      <c r="H432" s="652" t="n"/>
    </row>
    <row r="433">
      <c r="B433" s="665" t="inlineStr">
        <is>
          <t>12. Lợi nhuận từ hoạt động kinh doanh/Doanh thu thuần</t>
        </is>
      </c>
      <c r="C433" s="673" t="n"/>
      <c r="D433" s="677" t="n">
        <v>0.07829999999999999</v>
      </c>
      <c r="E433" s="652">
        <f>D433*C417</f>
        <v/>
      </c>
      <c r="F433" s="652" t="n"/>
      <c r="G433" s="652" t="n"/>
      <c r="H433" s="652" t="n"/>
    </row>
    <row r="434">
      <c r="B434" s="665" t="inlineStr">
        <is>
          <t>13. Lợi nhuận sau thuế/Vốn CSH bình quân</t>
        </is>
      </c>
      <c r="C434" s="673" t="n"/>
      <c r="D434" s="677" t="n">
        <v>0.1767</v>
      </c>
      <c r="E434" s="652">
        <f>D434*C417</f>
        <v/>
      </c>
      <c r="F434" s="652" t="n"/>
      <c r="G434" s="652" t="n"/>
      <c r="H434" s="652" t="n"/>
    </row>
    <row r="435">
      <c r="B435" s="665" t="inlineStr">
        <is>
          <t>14. Lợi nhuận sau thuế/Tổng tài sản bình quân</t>
        </is>
      </c>
      <c r="C435" s="673" t="n"/>
      <c r="D435" s="676" t="n">
        <v>0.1</v>
      </c>
      <c r="E435" s="652">
        <f>D435*C417</f>
        <v/>
      </c>
      <c r="F435" s="652" t="n"/>
      <c r="G435" s="652" t="n"/>
      <c r="H435" s="652" t="n"/>
    </row>
    <row r="436" ht="15.75" customHeight="1" s="782" thickBot="1">
      <c r="B436" s="667" t="inlineStr">
        <is>
          <t>15. EBIT/Chi phí lãi vay</t>
        </is>
      </c>
      <c r="C436" s="678" t="n"/>
      <c r="D436" s="679" t="n">
        <v>2.73</v>
      </c>
      <c r="E436" s="652">
        <f>D436*C417</f>
        <v/>
      </c>
      <c r="F436" s="652" t="n"/>
      <c r="G436" s="652" t="n"/>
      <c r="H436" s="652" t="n"/>
    </row>
    <row r="437" ht="15.75" customHeight="1" s="782" thickTop="1">
      <c r="B437" s="684" t="inlineStr">
        <is>
          <t>Sản xuất Inox và Luyện kim khác</t>
        </is>
      </c>
      <c r="C437" s="671">
        <f>IF(B437=$G$218,100%,0%)</f>
        <v/>
      </c>
      <c r="D437" s="671" t="n"/>
      <c r="E437" s="644" t="n"/>
      <c r="F437" s="644" t="n"/>
      <c r="G437" s="644" t="n"/>
      <c r="H437" s="644" t="n"/>
    </row>
    <row r="438">
      <c r="B438" s="656" t="inlineStr">
        <is>
          <t>Chỉ tiêu thanh khoản</t>
        </is>
      </c>
      <c r="C438" s="657" t="n"/>
      <c r="D438" s="672" t="n"/>
      <c r="E438" s="648" t="n"/>
      <c r="F438" s="648" t="n"/>
      <c r="G438" s="648" t="n"/>
      <c r="H438" s="648" t="n"/>
    </row>
    <row r="439">
      <c r="B439" s="659" t="inlineStr">
        <is>
          <t>1.Khả năng thanh toán hiện hành</t>
        </is>
      </c>
      <c r="C439" s="673" t="n"/>
      <c r="D439" s="675" t="n">
        <v>1.18</v>
      </c>
      <c r="E439" s="652">
        <f>C437*D439</f>
        <v/>
      </c>
      <c r="F439" s="652" t="n"/>
      <c r="G439" s="652" t="n"/>
      <c r="H439" s="652" t="n"/>
    </row>
    <row r="440">
      <c r="B440" s="659" t="inlineStr">
        <is>
          <t>2. Khả năng thanh toán nhanh</t>
        </is>
      </c>
      <c r="C440" s="673" t="n"/>
      <c r="D440" s="675" t="n">
        <v>0.57</v>
      </c>
      <c r="E440" s="652">
        <f>D440*C437</f>
        <v/>
      </c>
      <c r="F440" s="652" t="n"/>
      <c r="G440" s="652" t="n"/>
      <c r="H440" s="652" t="n"/>
    </row>
    <row r="441">
      <c r="B441" s="659" t="inlineStr">
        <is>
          <t>3. Khả năng thanh toán tức thời</t>
        </is>
      </c>
      <c r="C441" s="673" t="n"/>
      <c r="D441" s="675" t="n">
        <v>0.07000000000000001</v>
      </c>
      <c r="E441" s="652">
        <f>D441*C437</f>
        <v/>
      </c>
      <c r="F441" s="652" t="n"/>
      <c r="G441" s="652" t="n"/>
      <c r="H441" s="652" t="n"/>
    </row>
    <row r="442">
      <c r="B442" s="656" t="inlineStr">
        <is>
          <t>Chỉ tiêu hoạt động</t>
        </is>
      </c>
      <c r="C442" s="657" t="n"/>
      <c r="D442" s="672" t="n"/>
      <c r="E442" s="652" t="n"/>
      <c r="F442" s="648" t="n"/>
      <c r="G442" s="648" t="n"/>
      <c r="H442" s="648" t="n"/>
    </row>
    <row r="443">
      <c r="B443" s="659" t="inlineStr">
        <is>
          <t>4. Vòng quay vốn lưu động</t>
        </is>
      </c>
      <c r="C443" s="673" t="n"/>
      <c r="D443" s="675" t="n">
        <v>3.3</v>
      </c>
      <c r="E443" s="652">
        <f>D443*C437</f>
        <v/>
      </c>
      <c r="F443" s="652" t="n"/>
      <c r="G443" s="652" t="n"/>
      <c r="H443" s="652" t="n"/>
    </row>
    <row r="444">
      <c r="B444" s="659" t="inlineStr">
        <is>
          <t>5. Vòng quay hàng tồn kho</t>
        </is>
      </c>
      <c r="C444" s="673" t="n"/>
      <c r="D444" s="675" t="n">
        <v>4</v>
      </c>
      <c r="E444" s="652">
        <f>D444*C437</f>
        <v/>
      </c>
      <c r="F444" s="652" t="n"/>
      <c r="G444" s="652" t="n"/>
      <c r="H444" s="652" t="n"/>
    </row>
    <row r="445">
      <c r="B445" s="659" t="inlineStr">
        <is>
          <t>6. Vòng quay các khoản phải thu</t>
        </is>
      </c>
      <c r="C445" s="673" t="n"/>
      <c r="D445" s="675" t="n">
        <v>6.83</v>
      </c>
      <c r="E445" s="652">
        <f>D445*C437</f>
        <v/>
      </c>
      <c r="F445" s="652" t="n"/>
      <c r="G445" s="652" t="n"/>
      <c r="H445" s="652" t="n"/>
    </row>
    <row r="446">
      <c r="B446" s="659" t="inlineStr">
        <is>
          <t>7. Hiệu suất sử dụng TSCĐ</t>
        </is>
      </c>
      <c r="C446" s="673" t="n"/>
      <c r="D446" s="675" t="n">
        <v>5</v>
      </c>
      <c r="E446" s="652">
        <f>D446*C437</f>
        <v/>
      </c>
      <c r="F446" s="652" t="n"/>
      <c r="G446" s="652" t="n"/>
      <c r="H446" s="652" t="n"/>
    </row>
    <row r="447">
      <c r="B447" s="656" t="inlineStr">
        <is>
          <t>Chỉ tiêu cân nợ</t>
        </is>
      </c>
      <c r="C447" s="657" t="n"/>
      <c r="D447" s="672" t="n"/>
      <c r="E447" s="652" t="n"/>
      <c r="F447" s="648" t="n"/>
      <c r="G447" s="648" t="n"/>
      <c r="H447" s="648" t="n"/>
    </row>
    <row r="448">
      <c r="B448" s="659" t="inlineStr">
        <is>
          <t>8. Tổng nợ phải trả/ Tổng tài sản</t>
        </is>
      </c>
      <c r="C448" s="673" t="n"/>
      <c r="D448" s="677" t="n">
        <v>0.717</v>
      </c>
      <c r="E448" s="652">
        <f>D448*C437</f>
        <v/>
      </c>
      <c r="F448" s="652" t="n"/>
      <c r="G448" s="652" t="n"/>
      <c r="H448" s="652" t="n"/>
    </row>
    <row r="449">
      <c r="B449" s="659" t="inlineStr">
        <is>
          <t>9. Nợ dài dạn/Vốn CSH</t>
        </is>
      </c>
      <c r="C449" s="673" t="n"/>
      <c r="D449" s="677" t="n">
        <v>0.583</v>
      </c>
      <c r="E449" s="652">
        <f>D449*C437</f>
        <v/>
      </c>
      <c r="F449" s="652" t="n"/>
      <c r="G449" s="652" t="n"/>
      <c r="H449" s="652" t="n"/>
    </row>
    <row r="450">
      <c r="B450" s="659" t="inlineStr">
        <is>
          <t>10. Tổng nợ/Vốn CSH</t>
        </is>
      </c>
      <c r="C450" s="673" t="n"/>
      <c r="D450" s="676" t="n">
        <v>1.84</v>
      </c>
      <c r="E450" s="652">
        <f>D450*C437</f>
        <v/>
      </c>
      <c r="F450" s="652" t="n"/>
      <c r="G450" s="652" t="n"/>
      <c r="H450" s="652" t="n"/>
    </row>
    <row r="451">
      <c r="B451" s="656" t="inlineStr">
        <is>
          <t>Chỉ tiêu thu nhập</t>
        </is>
      </c>
      <c r="C451" s="657" t="n"/>
      <c r="D451" s="672" t="n"/>
      <c r="E451" s="652" t="n"/>
      <c r="F451" s="648" t="n"/>
      <c r="G451" s="648" t="n"/>
      <c r="H451" s="648" t="n"/>
    </row>
    <row r="452">
      <c r="B452" s="665" t="inlineStr">
        <is>
          <t>11. Lợi nhuận gộp/Doanh thu thuần</t>
        </is>
      </c>
      <c r="C452" s="673" t="n"/>
      <c r="D452" s="676" t="n">
        <v>0.14</v>
      </c>
      <c r="E452" s="652">
        <f>D452*C437</f>
        <v/>
      </c>
      <c r="F452" s="652" t="n"/>
      <c r="G452" s="652" t="n"/>
      <c r="H452" s="652" t="n"/>
    </row>
    <row r="453">
      <c r="B453" s="665" t="inlineStr">
        <is>
          <t>12. Lợi nhuận từ hoạt động kinh doanh/Doanh thu thuần</t>
        </is>
      </c>
      <c r="C453" s="673" t="n"/>
      <c r="D453" s="677" t="n">
        <v>0.092</v>
      </c>
      <c r="E453" s="652">
        <f>D453*C437</f>
        <v/>
      </c>
      <c r="F453" s="652" t="n"/>
      <c r="G453" s="652" t="n"/>
      <c r="H453" s="652" t="n"/>
    </row>
    <row r="454">
      <c r="B454" s="665" t="inlineStr">
        <is>
          <t>13. Lợi nhuận sau thuế/Vốn CSH bình quân</t>
        </is>
      </c>
      <c r="C454" s="673" t="n"/>
      <c r="D454" s="676" t="n">
        <v>0.17</v>
      </c>
      <c r="E454" s="652">
        <f>D454*C437</f>
        <v/>
      </c>
      <c r="F454" s="652" t="n"/>
      <c r="G454" s="652" t="n"/>
      <c r="H454" s="652" t="n"/>
    </row>
    <row r="455">
      <c r="B455" s="665" t="inlineStr">
        <is>
          <t>14. Lợi nhuận sau thuế/Tổng tài sản bình quân</t>
        </is>
      </c>
      <c r="C455" s="673" t="n"/>
      <c r="D455" s="677" t="n">
        <v>0.093</v>
      </c>
      <c r="E455" s="652">
        <f>D455*C437</f>
        <v/>
      </c>
      <c r="F455" s="652" t="n"/>
      <c r="G455" s="652" t="n"/>
      <c r="H455" s="652" t="n"/>
    </row>
    <row r="456" ht="15.75" customHeight="1" s="782" thickBot="1">
      <c r="B456" s="667" t="inlineStr">
        <is>
          <t>15. EBIT/Chi phí lãi vay</t>
        </is>
      </c>
      <c r="C456" s="678" t="n"/>
      <c r="D456" s="679" t="n">
        <v>2.7</v>
      </c>
      <c r="E456" s="652">
        <f>D456*C437</f>
        <v/>
      </c>
      <c r="F456" s="652" t="n"/>
      <c r="G456" s="652" t="n"/>
      <c r="H456" s="652" t="n"/>
    </row>
    <row r="457" ht="15.75" customHeight="1" s="782" thickTop="1">
      <c r="B457" s="670" t="inlineStr">
        <is>
          <t>Cơ khí, lắp ráp, chế tạo máy móc, ô tô, xe máy</t>
        </is>
      </c>
      <c r="C457" s="671">
        <f>IF(B457=$G$218,100%,0%)</f>
        <v/>
      </c>
      <c r="D457" s="671" t="n"/>
      <c r="E457" s="644" t="n"/>
      <c r="F457" s="644" t="n"/>
      <c r="G457" s="644" t="n"/>
      <c r="H457" s="644" t="n"/>
    </row>
    <row r="458">
      <c r="B458" s="656" t="inlineStr">
        <is>
          <t>Chỉ tiêu thanh khoản</t>
        </is>
      </c>
      <c r="C458" s="657" t="n"/>
      <c r="D458" s="675" t="n"/>
      <c r="E458" s="652" t="n"/>
      <c r="F458" s="652" t="n"/>
      <c r="G458" s="652" t="n"/>
      <c r="H458" s="652" t="n"/>
    </row>
    <row r="459">
      <c r="B459" s="659" t="inlineStr">
        <is>
          <t>1.Khả năng thanh toán hiện hành</t>
        </is>
      </c>
      <c r="C459" s="673" t="n"/>
      <c r="D459" s="675" t="n">
        <v>1.05</v>
      </c>
      <c r="E459" s="652">
        <f>C457*D459</f>
        <v/>
      </c>
      <c r="F459" s="652" t="n"/>
      <c r="G459" s="652" t="n"/>
      <c r="H459" s="652" t="n"/>
    </row>
    <row r="460">
      <c r="B460" s="659" t="inlineStr">
        <is>
          <t>2. Khả năng thanh toán nhanh</t>
        </is>
      </c>
      <c r="C460" s="673" t="n"/>
      <c r="D460" s="675" t="n">
        <v>0.52</v>
      </c>
      <c r="E460" s="652">
        <f>D460*C457</f>
        <v/>
      </c>
      <c r="F460" s="652" t="n"/>
      <c r="G460" s="652" t="n"/>
      <c r="H460" s="652" t="n"/>
    </row>
    <row r="461">
      <c r="B461" s="659" t="inlineStr">
        <is>
          <t>3. Khả năng thanh toán tức thời</t>
        </is>
      </c>
      <c r="C461" s="673" t="n"/>
      <c r="D461" s="675" t="n">
        <v>0.06</v>
      </c>
      <c r="E461" s="652">
        <f>D461*C457</f>
        <v/>
      </c>
      <c r="F461" s="652" t="n"/>
      <c r="G461" s="652" t="n"/>
      <c r="H461" s="652" t="n"/>
    </row>
    <row r="462">
      <c r="B462" s="656" t="inlineStr">
        <is>
          <t>Chỉ tiêu hoạt động</t>
        </is>
      </c>
      <c r="C462" s="657" t="n"/>
      <c r="D462" s="675" t="n"/>
      <c r="E462" s="652" t="n"/>
      <c r="F462" s="652" t="n"/>
      <c r="G462" s="652" t="n"/>
      <c r="H462" s="652" t="n"/>
    </row>
    <row r="463">
      <c r="B463" s="659" t="inlineStr">
        <is>
          <t>4. Vòng quay vốn lưu động</t>
        </is>
      </c>
      <c r="C463" s="673" t="n"/>
      <c r="D463" s="675" t="n">
        <v>3.17</v>
      </c>
      <c r="E463" s="652">
        <f>D463*C457</f>
        <v/>
      </c>
      <c r="F463" s="652" t="n"/>
      <c r="G463" s="652" t="n"/>
      <c r="H463" s="652" t="n"/>
    </row>
    <row r="464">
      <c r="B464" s="659" t="inlineStr">
        <is>
          <t>5. Vòng quay hàng tồn kho</t>
        </is>
      </c>
      <c r="C464" s="673" t="n"/>
      <c r="D464" s="675" t="n">
        <v>4.83</v>
      </c>
      <c r="E464" s="652">
        <f>D464*C457</f>
        <v/>
      </c>
      <c r="F464" s="652" t="n"/>
      <c r="G464" s="652" t="n"/>
      <c r="H464" s="652" t="n"/>
    </row>
    <row r="465">
      <c r="B465" s="659" t="inlineStr">
        <is>
          <t>6. Vòng quay các khoản phải thu</t>
        </is>
      </c>
      <c r="C465" s="673" t="n"/>
      <c r="D465" s="675" t="n">
        <v>6.83</v>
      </c>
      <c r="E465" s="652">
        <f>D465*C457</f>
        <v/>
      </c>
      <c r="F465" s="652" t="n"/>
      <c r="G465" s="652" t="n"/>
      <c r="H465" s="652" t="n"/>
    </row>
    <row r="466">
      <c r="B466" s="659" t="inlineStr">
        <is>
          <t>7. Hiệu suất sử dụng TSCĐ</t>
        </is>
      </c>
      <c r="C466" s="673" t="n"/>
      <c r="D466" s="675" t="n">
        <v>6.17</v>
      </c>
      <c r="E466" s="652">
        <f>D466*C457</f>
        <v/>
      </c>
      <c r="F466" s="652" t="n"/>
      <c r="G466" s="652" t="n"/>
      <c r="H466" s="652" t="n"/>
    </row>
    <row r="467">
      <c r="B467" s="656" t="inlineStr">
        <is>
          <t>Chỉ tiêu cân nợ</t>
        </is>
      </c>
      <c r="C467" s="657" t="n"/>
      <c r="D467" s="675" t="n"/>
      <c r="E467" s="652" t="n"/>
      <c r="F467" s="652" t="n"/>
      <c r="G467" s="652" t="n"/>
      <c r="H467" s="652" t="n"/>
    </row>
    <row r="468">
      <c r="B468" s="665" t="inlineStr">
        <is>
          <t>8. Tổng nợ phải trả/ Tổng tài sản</t>
        </is>
      </c>
      <c r="C468" s="673" t="n"/>
      <c r="D468" s="676" t="n">
        <v>0.7</v>
      </c>
      <c r="E468" s="652">
        <f>D468*C457</f>
        <v/>
      </c>
      <c r="F468" s="652" t="n"/>
      <c r="G468" s="652" t="n"/>
      <c r="H468" s="652" t="n"/>
    </row>
    <row r="469">
      <c r="B469" s="665" t="inlineStr">
        <is>
          <t>9. Nợ dài dạn/Vốn CSH</t>
        </is>
      </c>
      <c r="C469" s="673" t="n"/>
      <c r="D469" s="676" t="n">
        <v>0.65</v>
      </c>
      <c r="E469" s="652">
        <f>D469*C457</f>
        <v/>
      </c>
      <c r="F469" s="652" t="n"/>
      <c r="G469" s="652" t="n"/>
      <c r="H469" s="652" t="n"/>
    </row>
    <row r="470">
      <c r="B470" s="659" t="inlineStr">
        <is>
          <t>10. Tổng nợ/Vốn CSH</t>
        </is>
      </c>
      <c r="C470" s="673" t="n"/>
      <c r="D470" s="676" t="n">
        <v>1.8</v>
      </c>
      <c r="E470" s="652">
        <f>D470*C457</f>
        <v/>
      </c>
      <c r="F470" s="652" t="n"/>
      <c r="G470" s="652" t="n"/>
      <c r="H470" s="652" t="n"/>
    </row>
    <row r="471">
      <c r="B471" s="656" t="inlineStr">
        <is>
          <t>Chỉ tiêu thu nhập</t>
        </is>
      </c>
      <c r="C471" s="657" t="n"/>
      <c r="D471" s="675" t="n"/>
      <c r="E471" s="652" t="n"/>
      <c r="F471" s="652" t="n"/>
      <c r="G471" s="652" t="n"/>
      <c r="H471" s="652" t="n"/>
    </row>
    <row r="472">
      <c r="B472" s="665" t="inlineStr">
        <is>
          <t>11. Lợi nhuận gộp/Doanh thu thuần</t>
        </is>
      </c>
      <c r="C472" s="673" t="n"/>
      <c r="D472" s="677" t="n">
        <v>0.1117</v>
      </c>
      <c r="E472" s="652">
        <f>D472*C457</f>
        <v/>
      </c>
      <c r="F472" s="652" t="n"/>
      <c r="G472" s="652" t="n"/>
      <c r="H472" s="652" t="n"/>
    </row>
    <row r="473">
      <c r="B473" s="665" t="inlineStr">
        <is>
          <t>12. Lợi nhuận từ hoạt động kinh doanh/Doanh thu thuần</t>
        </is>
      </c>
      <c r="C473" s="673" t="n"/>
      <c r="D473" s="677" t="n">
        <v>0.08169999999999999</v>
      </c>
      <c r="E473" s="652">
        <f>D473*C457</f>
        <v/>
      </c>
      <c r="F473" s="652" t="n"/>
      <c r="G473" s="652" t="n"/>
      <c r="H473" s="652" t="n"/>
    </row>
    <row r="474">
      <c r="B474" s="665" t="inlineStr">
        <is>
          <t>13. Lợi nhuận sau thuế/Vốn CSH bình quân</t>
        </is>
      </c>
      <c r="C474" s="673" t="n"/>
      <c r="D474" s="677" t="n">
        <v>0.1467</v>
      </c>
      <c r="E474" s="652">
        <f>D474*C457</f>
        <v/>
      </c>
      <c r="F474" s="652" t="n"/>
      <c r="G474" s="652" t="n"/>
      <c r="H474" s="652" t="n"/>
    </row>
    <row r="475">
      <c r="B475" s="665" t="inlineStr">
        <is>
          <t>14. Lợi nhuận sau thuế/Tổng tài sản bình quân</t>
        </is>
      </c>
      <c r="C475" s="673" t="n"/>
      <c r="D475" s="676" t="n">
        <v>0.06</v>
      </c>
      <c r="E475" s="652">
        <f>D475*C457</f>
        <v/>
      </c>
      <c r="F475" s="652" t="n"/>
      <c r="G475" s="652" t="n"/>
      <c r="H475" s="652" t="n"/>
    </row>
    <row r="476" ht="15.75" customHeight="1" s="782" thickBot="1">
      <c r="B476" s="667" t="inlineStr">
        <is>
          <t>15. EBIT/Chi phí lãi vay</t>
        </is>
      </c>
      <c r="C476" s="678" t="n"/>
      <c r="D476" s="679" t="n">
        <v>2.3</v>
      </c>
      <c r="E476" s="652">
        <f>D476*C457</f>
        <v/>
      </c>
      <c r="F476" s="652" t="n"/>
      <c r="G476" s="652" t="n"/>
      <c r="H476" s="652" t="n"/>
    </row>
    <row r="477" ht="29.25" customHeight="1" s="782" thickTop="1">
      <c r="B477" s="670" t="inlineStr">
        <is>
          <t>Sản xuất điện tử, thiết bị điện, máy vi tính quang học, thiết bị viễn thông</t>
        </is>
      </c>
      <c r="C477" s="671">
        <f>IF(B477=$G$218,100%,0%)</f>
        <v/>
      </c>
      <c r="D477" s="671" t="n"/>
      <c r="E477" s="644" t="n"/>
      <c r="F477" s="644" t="n"/>
      <c r="G477" s="644" t="n"/>
      <c r="H477" s="644" t="n"/>
    </row>
    <row r="478">
      <c r="B478" s="656" t="inlineStr">
        <is>
          <t>Chỉ tiêu thanh khoản</t>
        </is>
      </c>
      <c r="C478" s="657" t="n"/>
      <c r="D478" s="672" t="n"/>
      <c r="E478" s="648" t="n"/>
      <c r="F478" s="648" t="n"/>
      <c r="G478" s="648" t="n"/>
      <c r="H478" s="648" t="n"/>
    </row>
    <row r="479">
      <c r="B479" s="659" t="inlineStr">
        <is>
          <t>1.Khả năng thanh toán hiện hành</t>
        </is>
      </c>
      <c r="C479" s="673" t="n"/>
      <c r="D479" s="675" t="n">
        <v>1.23</v>
      </c>
      <c r="E479" s="652">
        <f>C477*D479</f>
        <v/>
      </c>
      <c r="F479" s="652" t="n"/>
      <c r="G479" s="652" t="n"/>
      <c r="H479" s="652" t="n"/>
    </row>
    <row r="480">
      <c r="B480" s="659" t="inlineStr">
        <is>
          <t>2. Khả năng thanh toán nhanh</t>
        </is>
      </c>
      <c r="C480" s="673" t="n"/>
      <c r="D480" s="675" t="n">
        <v>0.85</v>
      </c>
      <c r="E480" s="652">
        <f>D480*C477</f>
        <v/>
      </c>
      <c r="F480" s="652" t="n"/>
      <c r="G480" s="652" t="n"/>
      <c r="H480" s="652" t="n"/>
    </row>
    <row r="481">
      <c r="B481" s="659" t="inlineStr">
        <is>
          <t>3. Khả năng thanh toán tức thời</t>
        </is>
      </c>
      <c r="C481" s="673" t="n"/>
      <c r="D481" s="675" t="n">
        <v>0.11</v>
      </c>
      <c r="E481" s="652">
        <f>D481*C477</f>
        <v/>
      </c>
      <c r="F481" s="652" t="n"/>
      <c r="G481" s="652" t="n"/>
      <c r="H481" s="652" t="n"/>
    </row>
    <row r="482">
      <c r="B482" s="656" t="inlineStr">
        <is>
          <t>Chỉ tiêu hoạt động</t>
        </is>
      </c>
      <c r="C482" s="657" t="n"/>
      <c r="D482" s="672" t="n"/>
      <c r="E482" s="652" t="n"/>
      <c r="F482" s="648" t="n"/>
      <c r="G482" s="648" t="n"/>
      <c r="H482" s="648" t="n"/>
    </row>
    <row r="483">
      <c r="B483" s="659" t="inlineStr">
        <is>
          <t>4. Vòng quay vốn lưu động</t>
        </is>
      </c>
      <c r="C483" s="673" t="n"/>
      <c r="D483" s="675" t="n">
        <v>2.7</v>
      </c>
      <c r="E483" s="652">
        <f>D483*C477</f>
        <v/>
      </c>
      <c r="F483" s="652" t="n"/>
      <c r="G483" s="652" t="n"/>
      <c r="H483" s="652" t="n"/>
    </row>
    <row r="484">
      <c r="B484" s="659" t="inlineStr">
        <is>
          <t>5. Vòng quay hàng tồn kho</t>
        </is>
      </c>
      <c r="C484" s="673" t="n"/>
      <c r="D484" s="675" t="n">
        <v>5.33</v>
      </c>
      <c r="E484" s="652">
        <f>D484*C477</f>
        <v/>
      </c>
      <c r="F484" s="652" t="n"/>
      <c r="G484" s="652" t="n"/>
      <c r="H484" s="652" t="n"/>
    </row>
    <row r="485">
      <c r="B485" s="659" t="inlineStr">
        <is>
          <t>6. Vòng quay các khoản phải thu</t>
        </is>
      </c>
      <c r="C485" s="673" t="n"/>
      <c r="D485" s="675" t="n">
        <v>6</v>
      </c>
      <c r="E485" s="652">
        <f>D485*C477</f>
        <v/>
      </c>
      <c r="F485" s="652" t="n"/>
      <c r="G485" s="652" t="n"/>
      <c r="H485" s="652" t="n"/>
    </row>
    <row r="486">
      <c r="B486" s="659" t="inlineStr">
        <is>
          <t>7. Hiệu suất sử dụng TSCĐ</t>
        </is>
      </c>
      <c r="C486" s="673" t="n"/>
      <c r="D486" s="675" t="n">
        <v>2.27</v>
      </c>
      <c r="E486" s="652">
        <f>D486*C477</f>
        <v/>
      </c>
      <c r="F486" s="652" t="n"/>
      <c r="G486" s="652" t="n"/>
      <c r="H486" s="652" t="n"/>
    </row>
    <row r="487">
      <c r="B487" s="656" t="inlineStr">
        <is>
          <t>Chỉ tiêu cân nợ</t>
        </is>
      </c>
      <c r="C487" s="657" t="n"/>
      <c r="D487" s="672" t="n"/>
      <c r="E487" s="652" t="n"/>
      <c r="F487" s="648" t="n"/>
      <c r="G487" s="648" t="n"/>
      <c r="H487" s="648" t="n"/>
    </row>
    <row r="488">
      <c r="B488" s="659" t="inlineStr">
        <is>
          <t>8. Tổng nợ phải trả/ Tổng tài sản</t>
        </is>
      </c>
      <c r="C488" s="673" t="n"/>
      <c r="D488" s="676" t="n">
        <v>0.65</v>
      </c>
      <c r="E488" s="652">
        <f>D488*C477</f>
        <v/>
      </c>
      <c r="F488" s="652" t="n"/>
      <c r="G488" s="652" t="n"/>
      <c r="H488" s="652" t="n"/>
    </row>
    <row r="489">
      <c r="B489" s="659" t="inlineStr">
        <is>
          <t>9. Nợ dài dạn/Vốn CSH</t>
        </is>
      </c>
      <c r="C489" s="673" t="n"/>
      <c r="D489" s="676" t="n">
        <v>0.53</v>
      </c>
      <c r="E489" s="652">
        <f>D489*C477</f>
        <v/>
      </c>
      <c r="F489" s="652" t="n"/>
      <c r="G489" s="652" t="n"/>
      <c r="H489" s="652" t="n"/>
    </row>
    <row r="490">
      <c r="B490" s="659" t="inlineStr">
        <is>
          <t>10. Tổng nợ/Vốn CSH</t>
        </is>
      </c>
      <c r="C490" s="673" t="n"/>
      <c r="D490" s="676" t="n">
        <v>1.71</v>
      </c>
      <c r="E490" s="652">
        <f>D490*C477</f>
        <v/>
      </c>
      <c r="F490" s="652" t="n"/>
      <c r="G490" s="652" t="n"/>
      <c r="H490" s="652" t="n"/>
    </row>
    <row r="491">
      <c r="B491" s="656" t="inlineStr">
        <is>
          <t>Chỉ tiêu thu nhập</t>
        </is>
      </c>
      <c r="C491" s="657" t="n"/>
      <c r="D491" s="672" t="n"/>
      <c r="E491" s="652" t="n"/>
      <c r="F491" s="648" t="n"/>
      <c r="G491" s="648" t="n"/>
      <c r="H491" s="648" t="n"/>
    </row>
    <row r="492">
      <c r="B492" s="665" t="inlineStr">
        <is>
          <t>11. Lợi nhuận gộp/Doanh thu thuần</t>
        </is>
      </c>
      <c r="C492" s="673" t="n"/>
      <c r="D492" s="676" t="n">
        <v>0.2</v>
      </c>
      <c r="E492" s="652">
        <f>D492*C477</f>
        <v/>
      </c>
      <c r="F492" s="652" t="n"/>
      <c r="G492" s="652" t="n"/>
      <c r="H492" s="652" t="n"/>
    </row>
    <row r="493">
      <c r="B493" s="665" t="inlineStr">
        <is>
          <t>12. Lợi nhuận từ hoạt động kinh doanh/Doanh thu thuần</t>
        </is>
      </c>
      <c r="C493" s="673" t="n"/>
      <c r="D493" s="676" t="n">
        <v>0.08</v>
      </c>
      <c r="E493" s="652">
        <f>D493*C477</f>
        <v/>
      </c>
      <c r="F493" s="652" t="n"/>
      <c r="G493" s="652" t="n"/>
      <c r="H493" s="652" t="n"/>
    </row>
    <row r="494">
      <c r="B494" s="665" t="inlineStr">
        <is>
          <t>13. Lợi nhuận sau thuế/Vốn CSH bình quân</t>
        </is>
      </c>
      <c r="C494" s="673" t="n"/>
      <c r="D494" s="677" t="n">
        <v>0.1667</v>
      </c>
      <c r="E494" s="652">
        <f>D494*C477</f>
        <v/>
      </c>
      <c r="F494" s="652" t="n"/>
      <c r="G494" s="652" t="n"/>
      <c r="H494" s="652" t="n"/>
    </row>
    <row r="495">
      <c r="B495" s="665" t="inlineStr">
        <is>
          <t>14. Lợi nhuận sau thuế/Tổng tài sản bình quân</t>
        </is>
      </c>
      <c r="C495" s="673" t="n"/>
      <c r="D495" s="677" t="n">
        <v>0.08400000000000001</v>
      </c>
      <c r="E495" s="652">
        <f>D495*C477</f>
        <v/>
      </c>
      <c r="F495" s="652" t="n"/>
      <c r="G495" s="652" t="n"/>
      <c r="H495" s="652" t="n"/>
    </row>
    <row r="496" ht="15.75" customHeight="1" s="782" thickBot="1">
      <c r="B496" s="667" t="inlineStr">
        <is>
          <t>15. EBIT/Chi phí lãi vay</t>
        </is>
      </c>
      <c r="C496" s="678" t="n"/>
      <c r="D496" s="679" t="n">
        <v>3.57</v>
      </c>
      <c r="E496" s="652">
        <f>D496*C477</f>
        <v/>
      </c>
      <c r="F496" s="652" t="n"/>
      <c r="G496" s="652" t="n"/>
      <c r="H496" s="652" t="n"/>
    </row>
    <row r="497" ht="15.75" customHeight="1" s="782" thickTop="1">
      <c r="B497" s="670" t="inlineStr">
        <is>
          <t>Đóng tàu, thuyền</t>
        </is>
      </c>
      <c r="C497" s="671">
        <f>IF(B497=$G$218,100%,0%)</f>
        <v/>
      </c>
      <c r="D497" s="671" t="n"/>
      <c r="E497" s="644" t="n"/>
      <c r="F497" s="644" t="n"/>
      <c r="G497" s="644" t="n"/>
      <c r="H497" s="644" t="n"/>
    </row>
    <row r="498">
      <c r="B498" s="656" t="inlineStr">
        <is>
          <t>Chỉ tiêu thanh khoản</t>
        </is>
      </c>
      <c r="C498" s="657" t="n"/>
      <c r="D498" s="672" t="n"/>
      <c r="E498" s="648" t="n"/>
      <c r="F498" s="648" t="n"/>
      <c r="G498" s="648" t="n"/>
      <c r="H498" s="648" t="n"/>
    </row>
    <row r="499">
      <c r="B499" s="659" t="inlineStr">
        <is>
          <t>1.Khả năng thanh toán hiện hành</t>
        </is>
      </c>
      <c r="C499" s="673" t="n"/>
      <c r="D499" s="675" t="n">
        <v>1.1</v>
      </c>
      <c r="E499" s="652">
        <f>C497*D499</f>
        <v/>
      </c>
      <c r="F499" s="652" t="n"/>
      <c r="G499" s="652" t="n"/>
      <c r="H499" s="652" t="n"/>
    </row>
    <row r="500">
      <c r="B500" s="659" t="inlineStr">
        <is>
          <t>2. Khả năng thanh toán nhanh</t>
        </is>
      </c>
      <c r="C500" s="673" t="n"/>
      <c r="D500" s="675" t="n">
        <v>0.53</v>
      </c>
      <c r="E500" s="652">
        <f>D500*C497</f>
        <v/>
      </c>
      <c r="F500" s="652" t="n"/>
      <c r="G500" s="652" t="n"/>
      <c r="H500" s="652" t="n"/>
    </row>
    <row r="501">
      <c r="B501" s="659" t="inlineStr">
        <is>
          <t>3. Khả năng thanh toán tức thời</t>
        </is>
      </c>
      <c r="C501" s="673" t="n"/>
      <c r="D501" s="675" t="n">
        <v>0.09</v>
      </c>
      <c r="E501" s="652">
        <f>D501*C497</f>
        <v/>
      </c>
      <c r="F501" s="652" t="n"/>
      <c r="G501" s="652" t="n"/>
      <c r="H501" s="652" t="n"/>
    </row>
    <row r="502">
      <c r="B502" s="656" t="inlineStr">
        <is>
          <t>Chỉ tiêu hoạt động</t>
        </is>
      </c>
      <c r="C502" s="657" t="n"/>
      <c r="D502" s="672" t="n"/>
      <c r="E502" s="652" t="n"/>
      <c r="F502" s="648" t="n"/>
      <c r="G502" s="648" t="n"/>
      <c r="H502" s="648" t="n"/>
    </row>
    <row r="503">
      <c r="B503" s="659" t="inlineStr">
        <is>
          <t>4. Vòng quay vốn lưu động</t>
        </is>
      </c>
      <c r="C503" s="673" t="n"/>
      <c r="D503" s="675" t="n">
        <v>0.9</v>
      </c>
      <c r="E503" s="652">
        <f>D503*C497</f>
        <v/>
      </c>
      <c r="F503" s="652" t="n"/>
      <c r="G503" s="652" t="n"/>
      <c r="H503" s="652" t="n"/>
    </row>
    <row r="504">
      <c r="B504" s="659" t="inlineStr">
        <is>
          <t>5. Vòng quay hàng tồn kho</t>
        </is>
      </c>
      <c r="C504" s="673" t="n"/>
      <c r="D504" s="675" t="n">
        <v>1.4</v>
      </c>
      <c r="E504" s="652">
        <f>D504*C497</f>
        <v/>
      </c>
      <c r="F504" s="652" t="n"/>
      <c r="G504" s="652" t="n"/>
      <c r="H504" s="652" t="n"/>
    </row>
    <row r="505">
      <c r="B505" s="659" t="inlineStr">
        <is>
          <t>6. Vòng quay các khoản phải thu</t>
        </is>
      </c>
      <c r="C505" s="673" t="n"/>
      <c r="D505" s="675" t="n">
        <v>1.7</v>
      </c>
      <c r="E505" s="652">
        <f>D505*C497</f>
        <v/>
      </c>
      <c r="F505" s="652" t="n"/>
      <c r="G505" s="652" t="n"/>
      <c r="H505" s="652" t="n"/>
    </row>
    <row r="506">
      <c r="B506" s="659" t="inlineStr">
        <is>
          <t>7. Hiệu suất sử dụng TSCĐ</t>
        </is>
      </c>
      <c r="C506" s="673" t="n"/>
      <c r="D506" s="675" t="n">
        <v>2.57</v>
      </c>
      <c r="E506" s="652">
        <f>D506*C497</f>
        <v/>
      </c>
      <c r="F506" s="652" t="n"/>
      <c r="G506" s="652" t="n"/>
      <c r="H506" s="652" t="n"/>
    </row>
    <row r="507">
      <c r="B507" s="656" t="inlineStr">
        <is>
          <t>Chỉ tiêu cân nợ</t>
        </is>
      </c>
      <c r="C507" s="657" t="n"/>
      <c r="D507" s="672" t="n"/>
      <c r="E507" s="652" t="n"/>
      <c r="F507" s="648" t="n"/>
      <c r="G507" s="648" t="n"/>
      <c r="H507" s="648" t="n"/>
    </row>
    <row r="508">
      <c r="B508" s="659" t="inlineStr">
        <is>
          <t>8. Tổng nợ phải trả/ Tổng tài sản</t>
        </is>
      </c>
      <c r="C508" s="673" t="n"/>
      <c r="D508" s="676" t="n">
        <v>0.78</v>
      </c>
      <c r="E508" s="652">
        <f>D508*C497</f>
        <v/>
      </c>
      <c r="F508" s="652" t="n"/>
      <c r="G508" s="652" t="n"/>
      <c r="H508" s="652" t="n"/>
    </row>
    <row r="509">
      <c r="B509" s="659" t="inlineStr">
        <is>
          <t>9. Nợ dài dạn/Vốn CSH</t>
        </is>
      </c>
      <c r="C509" s="673" t="n"/>
      <c r="D509" s="676" t="n">
        <v>2</v>
      </c>
      <c r="E509" s="652">
        <f>D509*C497</f>
        <v/>
      </c>
      <c r="F509" s="652" t="n"/>
      <c r="G509" s="652" t="n"/>
      <c r="H509" s="652" t="n"/>
    </row>
    <row r="510">
      <c r="B510" s="659" t="inlineStr">
        <is>
          <t>10. Tổng nợ/Vốn CSH</t>
        </is>
      </c>
      <c r="C510" s="673" t="n"/>
      <c r="D510" s="676" t="n">
        <v>2.64</v>
      </c>
      <c r="E510" s="652">
        <f>D510*C497</f>
        <v/>
      </c>
      <c r="F510" s="652" t="n"/>
      <c r="G510" s="652" t="n"/>
      <c r="H510" s="652" t="n"/>
    </row>
    <row r="511">
      <c r="B511" s="656" t="inlineStr">
        <is>
          <t>Chỉ tiêu thu nhập</t>
        </is>
      </c>
      <c r="C511" s="657" t="n"/>
      <c r="D511" s="672" t="n"/>
      <c r="E511" s="652" t="n"/>
      <c r="F511" s="648" t="n"/>
      <c r="G511" s="648" t="n"/>
      <c r="H511" s="648" t="n"/>
    </row>
    <row r="512">
      <c r="B512" s="665" t="inlineStr">
        <is>
          <t>11. Lợi nhuận gộp/Doanh thu thuần</t>
        </is>
      </c>
      <c r="C512" s="673" t="n"/>
      <c r="D512" s="676" t="n">
        <v>0.09</v>
      </c>
      <c r="E512" s="652">
        <f>D512*C497</f>
        <v/>
      </c>
      <c r="F512" s="652" t="n"/>
      <c r="G512" s="652" t="n"/>
      <c r="H512" s="652" t="n"/>
    </row>
    <row r="513">
      <c r="B513" s="665" t="inlineStr">
        <is>
          <t>12. Lợi nhuận từ hoạt động kinh doanh/Doanh thu thuần</t>
        </is>
      </c>
      <c r="C513" s="673" t="n"/>
      <c r="D513" s="676" t="n">
        <v>0.07000000000000001</v>
      </c>
      <c r="E513" s="652">
        <f>D513*C497</f>
        <v/>
      </c>
      <c r="F513" s="652" t="n"/>
      <c r="G513" s="652" t="n"/>
      <c r="H513" s="652" t="n"/>
    </row>
    <row r="514">
      <c r="B514" s="665" t="inlineStr">
        <is>
          <t>13. Lợi nhuận sau thuế/Vốn CSH bình quân</t>
        </is>
      </c>
      <c r="C514" s="673" t="n"/>
      <c r="D514" s="676" t="n">
        <v>0.12</v>
      </c>
      <c r="E514" s="652">
        <f>D514*C497</f>
        <v/>
      </c>
      <c r="F514" s="652" t="n"/>
      <c r="G514" s="652" t="n"/>
      <c r="H514" s="652" t="n"/>
    </row>
    <row r="515">
      <c r="B515" s="665" t="inlineStr">
        <is>
          <t>14. Lợi nhuận sau thuế/Tổng tài sản bình quân</t>
        </is>
      </c>
      <c r="C515" s="673" t="n"/>
      <c r="D515" s="677" t="n">
        <v>0.017</v>
      </c>
      <c r="E515" s="652">
        <f>D515*C497</f>
        <v/>
      </c>
      <c r="F515" s="652" t="n"/>
      <c r="G515" s="652" t="n"/>
      <c r="H515" s="652" t="n"/>
    </row>
    <row r="516" ht="15.75" customHeight="1" s="782" thickBot="1">
      <c r="B516" s="667" t="inlineStr">
        <is>
          <t>15. EBIT/Chi phí lãi vay</t>
        </is>
      </c>
      <c r="C516" s="678" t="n"/>
      <c r="D516" s="679" t="n">
        <v>2.08</v>
      </c>
      <c r="E516" s="652">
        <f>D516*C497</f>
        <v/>
      </c>
      <c r="F516" s="652" t="n"/>
      <c r="G516" s="652" t="n"/>
      <c r="H516" s="652" t="n"/>
    </row>
    <row r="517" ht="29.25" customHeight="1" s="782" thickTop="1">
      <c r="B517" s="670" t="inlineStr">
        <is>
          <t>Sản xuất thiết bị văn phòng, đồ gia dụng, thiết bị y tế, giáo dục, thể dục thể thao</t>
        </is>
      </c>
      <c r="C517" s="671">
        <f>IF(B517=$G$218,100%,0%)</f>
        <v/>
      </c>
      <c r="D517" s="671" t="n"/>
      <c r="E517" s="644" t="n"/>
      <c r="F517" s="644" t="n"/>
      <c r="G517" s="644" t="n"/>
      <c r="H517" s="644" t="n"/>
    </row>
    <row r="518">
      <c r="B518" s="656" t="inlineStr">
        <is>
          <t>Chỉ tiêu thanh khoản</t>
        </is>
      </c>
      <c r="C518" s="657" t="n"/>
      <c r="D518" s="672" t="n"/>
      <c r="E518" s="648" t="n"/>
      <c r="F518" s="648" t="n"/>
      <c r="G518" s="648" t="n"/>
      <c r="H518" s="648" t="n"/>
    </row>
    <row r="519">
      <c r="B519" s="659" t="inlineStr">
        <is>
          <t>1.Khả năng thanh toán hiện hành</t>
        </is>
      </c>
      <c r="C519" s="673" t="n"/>
      <c r="D519" s="675" t="n">
        <v>1.2</v>
      </c>
      <c r="E519" s="652">
        <f>C517*D519</f>
        <v/>
      </c>
      <c r="F519" s="652" t="n"/>
      <c r="G519" s="652" t="n"/>
      <c r="H519" s="652" t="n"/>
    </row>
    <row r="520">
      <c r="B520" s="659" t="inlineStr">
        <is>
          <t>2. Khả năng thanh toán nhanh</t>
        </is>
      </c>
      <c r="C520" s="673" t="n"/>
      <c r="D520" s="675" t="n">
        <v>0.68</v>
      </c>
      <c r="E520" s="652">
        <f>D520*C517</f>
        <v/>
      </c>
      <c r="F520" s="652" t="n"/>
      <c r="G520" s="652" t="n"/>
      <c r="H520" s="652" t="n"/>
    </row>
    <row r="521">
      <c r="B521" s="659" t="inlineStr">
        <is>
          <t>3. Khả năng thanh toán tức thời</t>
        </is>
      </c>
      <c r="C521" s="673" t="n"/>
      <c r="D521" s="675" t="n">
        <v>0.18</v>
      </c>
      <c r="E521" s="652">
        <f>D521*C517</f>
        <v/>
      </c>
      <c r="F521" s="652" t="n"/>
      <c r="G521" s="652" t="n"/>
      <c r="H521" s="652" t="n"/>
    </row>
    <row r="522">
      <c r="B522" s="656" t="inlineStr">
        <is>
          <t>Chỉ tiêu hoạt động</t>
        </is>
      </c>
      <c r="C522" s="657" t="n"/>
      <c r="D522" s="672" t="n"/>
      <c r="E522" s="652" t="n"/>
      <c r="F522" s="648" t="n"/>
      <c r="G522" s="648" t="n"/>
      <c r="H522" s="648" t="n"/>
    </row>
    <row r="523">
      <c r="B523" s="659" t="inlineStr">
        <is>
          <t>4. Vòng quay vốn lưu động</t>
        </is>
      </c>
      <c r="C523" s="673" t="n"/>
      <c r="D523" s="675" t="n">
        <v>2.7</v>
      </c>
      <c r="E523" s="652">
        <f>D523*C517</f>
        <v/>
      </c>
      <c r="F523" s="652" t="n"/>
      <c r="G523" s="652" t="n"/>
      <c r="H523" s="652" t="n"/>
    </row>
    <row r="524">
      <c r="B524" s="659" t="inlineStr">
        <is>
          <t>5. Vòng quay hàng tồn kho</t>
        </is>
      </c>
      <c r="C524" s="673" t="n"/>
      <c r="D524" s="675" t="n">
        <v>4.37</v>
      </c>
      <c r="E524" s="652">
        <f>D524*C517</f>
        <v/>
      </c>
      <c r="F524" s="652" t="n"/>
      <c r="G524" s="652" t="n"/>
      <c r="H524" s="652" t="n"/>
    </row>
    <row r="525">
      <c r="B525" s="659" t="inlineStr">
        <is>
          <t>6. Vòng quay các khoản phải thu</t>
        </is>
      </c>
      <c r="C525" s="673" t="n"/>
      <c r="D525" s="675" t="n">
        <v>5.83</v>
      </c>
      <c r="E525" s="652">
        <f>D525*C517</f>
        <v/>
      </c>
      <c r="F525" s="652" t="n"/>
      <c r="G525" s="652" t="n"/>
      <c r="H525" s="652" t="n"/>
    </row>
    <row r="526">
      <c r="B526" s="659" t="inlineStr">
        <is>
          <t>7. Hiệu suất sử dụng TSCĐ</t>
        </is>
      </c>
      <c r="C526" s="673" t="n"/>
      <c r="D526" s="675" t="n">
        <v>4.8</v>
      </c>
      <c r="E526" s="652">
        <f>D526*C517</f>
        <v/>
      </c>
      <c r="F526" s="652" t="n"/>
      <c r="G526" s="652" t="n"/>
      <c r="H526" s="652" t="n"/>
    </row>
    <row r="527">
      <c r="B527" s="656" t="inlineStr">
        <is>
          <t>Chỉ tiêu cân nợ</t>
        </is>
      </c>
      <c r="C527" s="657" t="n"/>
      <c r="D527" s="672" t="n"/>
      <c r="E527" s="652" t="n"/>
      <c r="F527" s="648" t="n"/>
      <c r="G527" s="648" t="n"/>
      <c r="H527" s="648" t="n"/>
    </row>
    <row r="528">
      <c r="B528" s="659" t="inlineStr">
        <is>
          <t>8. Tổng nợ phải trả/ Tổng tài sản</t>
        </is>
      </c>
      <c r="C528" s="673" t="n"/>
      <c r="D528" s="676" t="n">
        <v>0.71</v>
      </c>
      <c r="E528" s="652">
        <f>D528*C517</f>
        <v/>
      </c>
      <c r="F528" s="652" t="n"/>
      <c r="G528" s="652" t="n"/>
      <c r="H528" s="652" t="n"/>
    </row>
    <row r="529">
      <c r="B529" s="659" t="inlineStr">
        <is>
          <t>9. Nợ dài dạn/Vốn CSH</t>
        </is>
      </c>
      <c r="C529" s="673" t="n"/>
      <c r="D529" s="676" t="n">
        <v>0.65</v>
      </c>
      <c r="E529" s="652">
        <f>D529*C517</f>
        <v/>
      </c>
      <c r="F529" s="652" t="n"/>
      <c r="G529" s="652" t="n"/>
      <c r="H529" s="652" t="n"/>
    </row>
    <row r="530">
      <c r="B530" s="659" t="inlineStr">
        <is>
          <t>10. Tổng nợ/Vốn CSH</t>
        </is>
      </c>
      <c r="C530" s="673" t="n"/>
      <c r="D530" s="676" t="n">
        <v>1.84</v>
      </c>
      <c r="E530" s="652">
        <f>D530*C517</f>
        <v/>
      </c>
      <c r="F530" s="652" t="n"/>
      <c r="G530" s="652" t="n"/>
      <c r="H530" s="652" t="n"/>
    </row>
    <row r="531">
      <c r="B531" s="656" t="inlineStr">
        <is>
          <t>Chỉ tiêu thu nhập</t>
        </is>
      </c>
      <c r="C531" s="657" t="n"/>
      <c r="D531" s="672" t="n"/>
      <c r="E531" s="652" t="n"/>
      <c r="F531" s="648" t="n"/>
      <c r="G531" s="648" t="n"/>
      <c r="H531" s="648" t="n"/>
    </row>
    <row r="532">
      <c r="B532" s="665" t="inlineStr">
        <is>
          <t>11. Lợi nhuận gộp/Doanh thu thuần</t>
        </is>
      </c>
      <c r="C532" s="673" t="n"/>
      <c r="D532" s="677" t="n">
        <v>0.207</v>
      </c>
      <c r="E532" s="652">
        <f>D532*C517</f>
        <v/>
      </c>
      <c r="F532" s="652" t="n"/>
      <c r="G532" s="652" t="n"/>
      <c r="H532" s="652" t="n"/>
    </row>
    <row r="533">
      <c r="B533" s="665" t="inlineStr">
        <is>
          <t>12. Lợi nhuận từ hoạt động kinh doanh/Doanh thu thuần</t>
        </is>
      </c>
      <c r="C533" s="673" t="n"/>
      <c r="D533" s="676" t="n">
        <v>0.06</v>
      </c>
      <c r="E533" s="652">
        <f>D533*C517</f>
        <v/>
      </c>
      <c r="F533" s="652" t="n"/>
      <c r="G533" s="652" t="n"/>
      <c r="H533" s="652" t="n"/>
    </row>
    <row r="534">
      <c r="B534" s="665" t="inlineStr">
        <is>
          <t>13. Lợi nhuận sau thuế/Vốn CSH bình quân</t>
        </is>
      </c>
      <c r="C534" s="673" t="n"/>
      <c r="D534" s="676" t="n">
        <v>0.18</v>
      </c>
      <c r="E534" s="652">
        <f>D534*C517</f>
        <v/>
      </c>
      <c r="F534" s="652" t="n"/>
      <c r="G534" s="652" t="n"/>
      <c r="H534" s="652" t="n"/>
    </row>
    <row r="535">
      <c r="B535" s="665" t="inlineStr">
        <is>
          <t>14. Lợi nhuận sau thuế/Tổng tài sản bình quân</t>
        </is>
      </c>
      <c r="C535" s="673" t="n"/>
      <c r="D535" s="677" t="n">
        <v>0.0567</v>
      </c>
      <c r="E535" s="652">
        <f>D535*C517</f>
        <v/>
      </c>
      <c r="F535" s="652" t="n"/>
      <c r="G535" s="652" t="n"/>
      <c r="H535" s="652" t="n"/>
    </row>
    <row r="536" ht="15.75" customHeight="1" s="782" thickBot="1">
      <c r="B536" s="667" t="inlineStr">
        <is>
          <t>15. EBIT/Chi phí lãi vay</t>
        </is>
      </c>
      <c r="C536" s="678" t="n"/>
      <c r="D536" s="679" t="n">
        <v>2.17</v>
      </c>
      <c r="E536" s="652">
        <f>D536*C517</f>
        <v/>
      </c>
      <c r="F536" s="652" t="n"/>
      <c r="G536" s="652" t="n"/>
      <c r="H536" s="652" t="n"/>
    </row>
    <row r="537" ht="15.75" customHeight="1" s="782" thickTop="1">
      <c r="B537" s="670" t="inlineStr">
        <is>
          <t>Sản xuất và phân phối điện, năng lượng</t>
        </is>
      </c>
      <c r="C537" s="671">
        <f>IF(B537=$G$218,100%,0%)</f>
        <v/>
      </c>
      <c r="D537" s="671" t="n"/>
      <c r="E537" s="644" t="n"/>
      <c r="F537" s="644" t="n"/>
      <c r="G537" s="644" t="n"/>
      <c r="H537" s="644" t="n"/>
    </row>
    <row r="538">
      <c r="B538" s="656" t="inlineStr">
        <is>
          <t>Chỉ tiêu thanh khoản</t>
        </is>
      </c>
      <c r="C538" s="657" t="n"/>
      <c r="D538" s="672" t="n"/>
      <c r="E538" s="648" t="n"/>
      <c r="F538" s="648" t="n"/>
      <c r="G538" s="648" t="n"/>
      <c r="H538" s="648" t="n"/>
    </row>
    <row r="539">
      <c r="B539" s="659" t="inlineStr">
        <is>
          <t>1.Khả năng thanh toán hiện hành</t>
        </is>
      </c>
      <c r="C539" s="673" t="n"/>
      <c r="D539" s="675" t="n">
        <v>1.5</v>
      </c>
      <c r="E539" s="652">
        <f>C537*D539</f>
        <v/>
      </c>
      <c r="F539" s="652" t="n"/>
      <c r="G539" s="652" t="n"/>
      <c r="H539" s="652" t="n"/>
    </row>
    <row r="540">
      <c r="B540" s="659" t="inlineStr">
        <is>
          <t>2. Khả năng thanh toán nhanh</t>
        </is>
      </c>
      <c r="C540" s="673" t="n"/>
      <c r="D540" s="675" t="n">
        <v>1.4</v>
      </c>
      <c r="E540" s="652">
        <f>D540*C537</f>
        <v/>
      </c>
      <c r="F540" s="652" t="n"/>
      <c r="G540" s="652" t="n"/>
      <c r="H540" s="652" t="n"/>
    </row>
    <row r="541">
      <c r="B541" s="659" t="inlineStr">
        <is>
          <t>3. Khả năng thanh toán tức thời</t>
        </is>
      </c>
      <c r="C541" s="673" t="n"/>
      <c r="D541" s="675" t="n">
        <v>0.9</v>
      </c>
      <c r="E541" s="652">
        <f>D541*C537</f>
        <v/>
      </c>
      <c r="F541" s="652" t="n"/>
      <c r="G541" s="652" t="n"/>
      <c r="H541" s="652" t="n"/>
    </row>
    <row r="542">
      <c r="B542" s="656" t="inlineStr">
        <is>
          <t>Chỉ tiêu hoạt động</t>
        </is>
      </c>
      <c r="C542" s="657" t="n"/>
      <c r="D542" s="672" t="n"/>
      <c r="E542" s="652" t="n"/>
      <c r="F542" s="648" t="n"/>
      <c r="G542" s="648" t="n"/>
      <c r="H542" s="648" t="n"/>
    </row>
    <row r="543">
      <c r="B543" s="659" t="inlineStr">
        <is>
          <t>4. Vòng quay vốn lưu động</t>
        </is>
      </c>
      <c r="C543" s="673" t="n"/>
      <c r="D543" s="675" t="n">
        <v>4.3</v>
      </c>
      <c r="E543" s="652">
        <f>D543*C537</f>
        <v/>
      </c>
      <c r="F543" s="652" t="n"/>
      <c r="G543" s="652" t="n"/>
      <c r="H543" s="652" t="n"/>
    </row>
    <row r="544">
      <c r="B544" s="659" t="inlineStr">
        <is>
          <t>5. Vòng quay hàng tồn kho</t>
        </is>
      </c>
      <c r="C544" s="673" t="n"/>
      <c r="D544" s="675" t="n">
        <v>7</v>
      </c>
      <c r="E544" s="652">
        <f>D544*C537</f>
        <v/>
      </c>
      <c r="F544" s="652" t="n"/>
      <c r="G544" s="652" t="n"/>
      <c r="H544" s="652" t="n"/>
    </row>
    <row r="545">
      <c r="B545" s="659" t="inlineStr">
        <is>
          <t>6. Vòng quay các khoản phải thu</t>
        </is>
      </c>
      <c r="C545" s="673" t="n"/>
      <c r="D545" s="675" t="n">
        <v>7.2</v>
      </c>
      <c r="E545" s="652">
        <f>D545*C537</f>
        <v/>
      </c>
      <c r="F545" s="652" t="n"/>
      <c r="G545" s="652" t="n"/>
      <c r="H545" s="652" t="n"/>
    </row>
    <row r="546">
      <c r="B546" s="659" t="inlineStr">
        <is>
          <t>7. Hiệu suất sử dụng TSCĐ</t>
        </is>
      </c>
      <c r="C546" s="673" t="n"/>
      <c r="D546" s="675" t="n">
        <v>0.35</v>
      </c>
      <c r="E546" s="652">
        <f>D546*C537</f>
        <v/>
      </c>
      <c r="F546" s="652" t="n"/>
      <c r="G546" s="652" t="n"/>
      <c r="H546" s="652" t="n"/>
    </row>
    <row r="547">
      <c r="B547" s="656" t="inlineStr">
        <is>
          <t>Chỉ tiêu cân nợ</t>
        </is>
      </c>
      <c r="C547" s="657" t="n"/>
      <c r="D547" s="672" t="n"/>
      <c r="E547" s="652" t="n"/>
      <c r="F547" s="648" t="n"/>
      <c r="G547" s="648" t="n"/>
      <c r="H547" s="648" t="n"/>
    </row>
    <row r="548">
      <c r="B548" s="659" t="inlineStr">
        <is>
          <t>8. Tổng nợ phải trả/ Tổng tài sản</t>
        </is>
      </c>
      <c r="C548" s="673" t="n"/>
      <c r="D548" s="676" t="n">
        <v>0.73</v>
      </c>
      <c r="E548" s="652">
        <f>D548*C537</f>
        <v/>
      </c>
      <c r="F548" s="652" t="n"/>
      <c r="G548" s="652" t="n"/>
      <c r="H548" s="652" t="n"/>
    </row>
    <row r="549">
      <c r="B549" s="659" t="inlineStr">
        <is>
          <t>9. Nợ dài dạn/Vốn CSH</t>
        </is>
      </c>
      <c r="C549" s="673" t="n"/>
      <c r="D549" s="676" t="n">
        <v>1.67</v>
      </c>
      <c r="E549" s="652">
        <f>D549*C537</f>
        <v/>
      </c>
      <c r="F549" s="652" t="n"/>
      <c r="G549" s="652" t="n"/>
      <c r="H549" s="652" t="n"/>
    </row>
    <row r="550">
      <c r="B550" s="659" t="inlineStr">
        <is>
          <t>10. Tổng nợ/Vốn CSH</t>
        </is>
      </c>
      <c r="C550" s="673" t="n"/>
      <c r="D550" s="676" t="n">
        <v>1.9</v>
      </c>
      <c r="E550" s="652">
        <f>D550*C537</f>
        <v/>
      </c>
      <c r="F550" s="652" t="n"/>
      <c r="G550" s="652" t="n"/>
      <c r="H550" s="652" t="n"/>
    </row>
    <row r="551">
      <c r="B551" s="656" t="inlineStr">
        <is>
          <t>Chỉ tiêu thu nhập</t>
        </is>
      </c>
      <c r="C551" s="657" t="n"/>
      <c r="D551" s="672" t="n"/>
      <c r="E551" s="652" t="n"/>
      <c r="F551" s="648" t="n"/>
      <c r="G551" s="648" t="n"/>
      <c r="H551" s="648" t="n"/>
    </row>
    <row r="552">
      <c r="B552" s="665" t="inlineStr">
        <is>
          <t>11. Lợi nhuận gộp/Doanh thu thuần</t>
        </is>
      </c>
      <c r="C552" s="673" t="n"/>
      <c r="D552" s="676" t="n">
        <v>0.22</v>
      </c>
      <c r="E552" s="652">
        <f>D552*C537</f>
        <v/>
      </c>
      <c r="F552" s="652" t="n"/>
      <c r="G552" s="652" t="n"/>
      <c r="H552" s="652" t="n"/>
    </row>
    <row r="553">
      <c r="B553" s="665" t="inlineStr">
        <is>
          <t>12. Lợi nhuận từ hoạt động kinh doanh/Doanh thu thuần</t>
        </is>
      </c>
      <c r="C553" s="673" t="n"/>
      <c r="D553" s="676" t="n">
        <v>0.06</v>
      </c>
      <c r="E553" s="652">
        <f>D553*C537</f>
        <v/>
      </c>
      <c r="F553" s="652" t="n"/>
      <c r="G553" s="652" t="n"/>
      <c r="H553" s="652" t="n"/>
    </row>
    <row r="554">
      <c r="B554" s="665" t="inlineStr">
        <is>
          <t>13. Lợi nhuận sau thuế/Vốn CSH bình quân</t>
        </is>
      </c>
      <c r="C554" s="673" t="n"/>
      <c r="D554" s="676" t="n">
        <v>0.2</v>
      </c>
      <c r="E554" s="652">
        <f>D554*C537</f>
        <v/>
      </c>
      <c r="F554" s="652" t="n"/>
      <c r="G554" s="652" t="n"/>
      <c r="H554" s="652" t="n"/>
    </row>
    <row r="555">
      <c r="B555" s="665" t="inlineStr">
        <is>
          <t>14. Lợi nhuận sau thuế/Tổng tài sản bình quân</t>
        </is>
      </c>
      <c r="C555" s="673" t="n"/>
      <c r="D555" s="676" t="n">
        <v>0.07000000000000001</v>
      </c>
      <c r="E555" s="652">
        <f>D555*C537</f>
        <v/>
      </c>
      <c r="F555" s="652" t="n"/>
      <c r="G555" s="652" t="n"/>
      <c r="H555" s="652" t="n"/>
    </row>
    <row r="556" ht="15.75" customHeight="1" s="782" thickBot="1">
      <c r="B556" s="667" t="inlineStr">
        <is>
          <t>15. EBIT/Chi phí lãi vay</t>
        </is>
      </c>
      <c r="C556" s="678" t="n"/>
      <c r="D556" s="679" t="n">
        <v>4.3</v>
      </c>
      <c r="E556" s="652">
        <f>D556*C537</f>
        <v/>
      </c>
      <c r="F556" s="652" t="n"/>
      <c r="G556" s="652" t="n"/>
      <c r="H556" s="652" t="n"/>
    </row>
    <row r="557" ht="15.75" customHeight="1" s="782" thickTop="1">
      <c r="B557" s="670" t="inlineStr">
        <is>
          <t>Xây dựng</t>
        </is>
      </c>
      <c r="C557" s="671">
        <f>IF(B557=$G$218,100%,0%)</f>
        <v/>
      </c>
      <c r="D557" s="671" t="n"/>
      <c r="E557" s="644" t="n"/>
      <c r="F557" s="644" t="n"/>
      <c r="G557" s="644" t="n"/>
      <c r="H557" s="644" t="n"/>
    </row>
    <row r="558">
      <c r="B558" s="656" t="inlineStr">
        <is>
          <t>Chỉ tiêu thanh khoản</t>
        </is>
      </c>
      <c r="C558" s="685" t="n"/>
      <c r="D558" s="672" t="n"/>
      <c r="E558" s="648" t="n"/>
      <c r="F558" s="648" t="n"/>
      <c r="G558" s="648" t="n"/>
      <c r="H558" s="648" t="n"/>
    </row>
    <row r="559">
      <c r="B559" s="659" t="inlineStr">
        <is>
          <t>1.Khả năng thanh toán hiện hành</t>
        </is>
      </c>
      <c r="C559" s="673" t="n"/>
      <c r="D559" s="675" t="n">
        <v>1.12</v>
      </c>
      <c r="E559" s="652">
        <f>C557*D559</f>
        <v/>
      </c>
      <c r="F559" s="652" t="n"/>
      <c r="G559" s="652" t="n"/>
      <c r="H559" s="652" t="n"/>
    </row>
    <row r="560">
      <c r="B560" s="659" t="inlineStr">
        <is>
          <t>2. Khả năng thanh toán nhanh</t>
        </is>
      </c>
      <c r="C560" s="673" t="n"/>
      <c r="D560" s="675" t="n">
        <v>0.62</v>
      </c>
      <c r="E560" s="652">
        <f>D560*C557</f>
        <v/>
      </c>
      <c r="F560" s="652" t="n"/>
      <c r="G560" s="652" t="n"/>
      <c r="H560" s="652" t="n"/>
    </row>
    <row r="561">
      <c r="B561" s="659" t="inlineStr">
        <is>
          <t>3. Khả năng thanh toán tức thời</t>
        </is>
      </c>
      <c r="C561" s="673" t="n"/>
      <c r="D561" s="675" t="n">
        <v>0.09</v>
      </c>
      <c r="E561" s="652">
        <f>D561*C557</f>
        <v/>
      </c>
      <c r="F561" s="652" t="n"/>
      <c r="G561" s="652" t="n"/>
      <c r="H561" s="652" t="n"/>
    </row>
    <row r="562">
      <c r="B562" s="656" t="inlineStr">
        <is>
          <t>Chỉ tiêu hoạt động</t>
        </is>
      </c>
      <c r="C562" s="685" t="n"/>
      <c r="D562" s="672" t="n"/>
      <c r="E562" s="652" t="n"/>
      <c r="F562" s="648" t="n"/>
      <c r="G562" s="648" t="n"/>
      <c r="H562" s="648" t="n"/>
    </row>
    <row r="563">
      <c r="B563" s="659" t="inlineStr">
        <is>
          <t>4. Vòng quay vốn lưu động</t>
        </is>
      </c>
      <c r="C563" s="673" t="n"/>
      <c r="D563" s="675" t="n">
        <v>1.4</v>
      </c>
      <c r="E563" s="652">
        <f>D563*C557</f>
        <v/>
      </c>
      <c r="F563" s="652" t="n"/>
      <c r="G563" s="652" t="n"/>
      <c r="H563" s="652" t="n"/>
    </row>
    <row r="564">
      <c r="B564" s="659" t="inlineStr">
        <is>
          <t>5. Vòng quay hàng tồn kho</t>
        </is>
      </c>
      <c r="C564" s="673" t="n"/>
      <c r="D564" s="675" t="n">
        <v>3</v>
      </c>
      <c r="E564" s="652">
        <f>D564*C557</f>
        <v/>
      </c>
      <c r="F564" s="652" t="n"/>
      <c r="G564" s="652" t="n"/>
      <c r="H564" s="652" t="n"/>
    </row>
    <row r="565">
      <c r="B565" s="659" t="inlineStr">
        <is>
          <t>6. Vòng quay các khoản phải thu</t>
        </is>
      </c>
      <c r="C565" s="673" t="n"/>
      <c r="D565" s="675" t="n">
        <v>5.53</v>
      </c>
      <c r="E565" s="652">
        <f>D565*C557</f>
        <v/>
      </c>
      <c r="F565" s="652" t="n"/>
      <c r="G565" s="652" t="n"/>
      <c r="H565" s="652" t="n"/>
    </row>
    <row r="566">
      <c r="B566" s="659" t="inlineStr">
        <is>
          <t>7. Hiệu suất sử dụng TSCĐ</t>
        </is>
      </c>
      <c r="C566" s="673" t="n"/>
      <c r="D566" s="675" t="n">
        <v>2.13</v>
      </c>
      <c r="E566" s="652">
        <f>D566*C557</f>
        <v/>
      </c>
      <c r="F566" s="652" t="n"/>
      <c r="G566" s="652" t="n"/>
      <c r="H566" s="652" t="n"/>
    </row>
    <row r="567">
      <c r="B567" s="656" t="inlineStr">
        <is>
          <t>Chỉ tiêu cân nợ</t>
        </is>
      </c>
      <c r="C567" s="685" t="n"/>
      <c r="D567" s="672" t="n"/>
      <c r="E567" s="652" t="n"/>
      <c r="F567" s="648" t="n"/>
      <c r="G567" s="648" t="n"/>
      <c r="H567" s="648" t="n"/>
    </row>
    <row r="568">
      <c r="B568" s="659" t="inlineStr">
        <is>
          <t>8. Tổng nợ phải trả/ Tổng tài sản</t>
        </is>
      </c>
      <c r="C568" s="673" t="n"/>
      <c r="D568" s="676" t="n">
        <v>0.83</v>
      </c>
      <c r="E568" s="652">
        <f>D568*C557</f>
        <v/>
      </c>
      <c r="F568" s="652" t="n"/>
      <c r="G568" s="652" t="n"/>
      <c r="H568" s="652" t="n"/>
    </row>
    <row r="569">
      <c r="B569" s="659" t="inlineStr">
        <is>
          <t>9. Nợ dài dạn/Vốn CSH</t>
        </is>
      </c>
      <c r="C569" s="673" t="n"/>
      <c r="D569" s="676" t="n">
        <v>1.4</v>
      </c>
      <c r="E569" s="652">
        <f>D569*C557</f>
        <v/>
      </c>
      <c r="F569" s="652" t="n"/>
      <c r="G569" s="652" t="n"/>
      <c r="H569" s="652" t="n"/>
    </row>
    <row r="570">
      <c r="B570" s="659" t="inlineStr">
        <is>
          <t>10. Tổng nợ/Vốn CSH</t>
        </is>
      </c>
      <c r="C570" s="673" t="n"/>
      <c r="D570" s="676" t="n">
        <v>4.07</v>
      </c>
      <c r="E570" s="652">
        <f>D570*C557</f>
        <v/>
      </c>
      <c r="F570" s="652" t="n"/>
      <c r="G570" s="652" t="n"/>
      <c r="H570" s="652" t="n"/>
    </row>
    <row r="571">
      <c r="B571" s="656" t="inlineStr">
        <is>
          <t>Chỉ tiêu thu nhập</t>
        </is>
      </c>
      <c r="C571" s="685" t="n"/>
      <c r="D571" s="672" t="n"/>
      <c r="E571" s="652" t="n"/>
      <c r="F571" s="648" t="n"/>
      <c r="G571" s="648" t="n"/>
      <c r="H571" s="648" t="n"/>
    </row>
    <row r="572">
      <c r="B572" s="665" t="inlineStr">
        <is>
          <t>11. Lợi nhuận gộp/Doanh thu thuần</t>
        </is>
      </c>
      <c r="C572" s="673" t="n"/>
      <c r="D572" s="677" t="n">
        <v>0.0633</v>
      </c>
      <c r="E572" s="652">
        <f>D572*C557</f>
        <v/>
      </c>
      <c r="F572" s="652" t="n"/>
      <c r="G572" s="652" t="n"/>
      <c r="H572" s="652" t="n"/>
    </row>
    <row r="573">
      <c r="B573" s="665" t="inlineStr">
        <is>
          <t>12. Lợi nhuận từ hoạt động kinh doanh/Doanh thu thuần</t>
        </is>
      </c>
      <c r="C573" s="673" t="n"/>
      <c r="D573" s="677" t="n">
        <v>0.0467</v>
      </c>
      <c r="E573" s="652">
        <f>D573*C557</f>
        <v/>
      </c>
      <c r="F573" s="652" t="n"/>
      <c r="G573" s="652" t="n"/>
      <c r="H573" s="652" t="n"/>
    </row>
    <row r="574">
      <c r="B574" s="665" t="inlineStr">
        <is>
          <t>13. Lợi nhuận sau thuế/Vốn CSH bình quân</t>
        </is>
      </c>
      <c r="C574" s="673" t="n"/>
      <c r="D574" s="676" t="n">
        <v>0.16</v>
      </c>
      <c r="E574" s="652">
        <f>D574*C557</f>
        <v/>
      </c>
      <c r="F574" s="652" t="n"/>
      <c r="G574" s="652" t="n"/>
      <c r="H574" s="652" t="n"/>
    </row>
    <row r="575">
      <c r="B575" s="665" t="inlineStr">
        <is>
          <t>14. Lợi nhuận sau thuế/Tổng tài sản bình quân</t>
        </is>
      </c>
      <c r="C575" s="673" t="n"/>
      <c r="D575" s="676" t="n">
        <v>0.05</v>
      </c>
      <c r="E575" s="652">
        <f>D575*C557</f>
        <v/>
      </c>
      <c r="F575" s="652" t="n"/>
      <c r="G575" s="652" t="n"/>
      <c r="H575" s="652" t="n"/>
    </row>
    <row r="576" ht="15.75" customHeight="1" s="782" thickBot="1">
      <c r="B576" s="667" t="inlineStr">
        <is>
          <t>15. EBIT/Chi phí lãi vay</t>
        </is>
      </c>
      <c r="C576" s="678" t="n"/>
      <c r="D576" s="679" t="n">
        <v>2.27</v>
      </c>
      <c r="E576" s="652">
        <f>D576*C557</f>
        <v/>
      </c>
      <c r="F576" s="652" t="n"/>
      <c r="G576" s="652" t="n"/>
      <c r="H576" s="652" t="n"/>
    </row>
    <row r="577" ht="15.75" customHeight="1" s="782" thickTop="1">
      <c r="B577" s="670" t="inlineStr">
        <is>
          <t>Thương mại hàng công nghiệp nhẹ và hàng tiêu dùng</t>
        </is>
      </c>
      <c r="C577" s="671">
        <f>IF(B577=$G$218,100%,0%)</f>
        <v/>
      </c>
      <c r="D577" s="671" t="n"/>
      <c r="E577" s="644" t="n"/>
      <c r="F577" s="644" t="n"/>
      <c r="G577" s="644" t="n"/>
      <c r="H577" s="644" t="n"/>
    </row>
    <row r="578">
      <c r="B578" s="656" t="inlineStr">
        <is>
          <t>Chỉ tiêu thanh khoản</t>
        </is>
      </c>
      <c r="C578" s="657" t="n"/>
      <c r="D578" s="672" t="n"/>
      <c r="E578" s="648" t="n"/>
      <c r="F578" s="648" t="n"/>
      <c r="G578" s="648" t="n"/>
      <c r="H578" s="648" t="n"/>
    </row>
    <row r="579">
      <c r="B579" s="659" t="inlineStr">
        <is>
          <t>1.Khả năng thanh toán hiện hành</t>
        </is>
      </c>
      <c r="C579" s="673" t="n"/>
      <c r="D579" s="675" t="n">
        <v>1.37</v>
      </c>
      <c r="E579" s="652">
        <f>C577*D579</f>
        <v/>
      </c>
      <c r="F579" s="652" t="n"/>
      <c r="G579" s="652" t="n"/>
      <c r="H579" s="652" t="n"/>
    </row>
    <row r="580">
      <c r="B580" s="659" t="inlineStr">
        <is>
          <t>2. Khả năng thanh toán nhanh</t>
        </is>
      </c>
      <c r="C580" s="673" t="n"/>
      <c r="D580" s="675" t="n">
        <v>0.72</v>
      </c>
      <c r="E580" s="652">
        <f>D580*C577</f>
        <v/>
      </c>
      <c r="F580" s="652" t="n"/>
      <c r="G580" s="652" t="n"/>
      <c r="H580" s="652" t="n"/>
    </row>
    <row r="581">
      <c r="B581" s="659" t="inlineStr">
        <is>
          <t>3. Khả năng thanh toán tức thời</t>
        </is>
      </c>
      <c r="C581" s="673" t="n"/>
      <c r="D581" s="675" t="n">
        <v>0.16</v>
      </c>
      <c r="E581" s="652">
        <f>D581*C577</f>
        <v/>
      </c>
      <c r="F581" s="652" t="n"/>
      <c r="G581" s="652" t="n"/>
      <c r="H581" s="652" t="n"/>
    </row>
    <row r="582">
      <c r="B582" s="656" t="inlineStr">
        <is>
          <t>Chỉ tiêu hoạt động</t>
        </is>
      </c>
      <c r="C582" s="657" t="n"/>
      <c r="D582" s="672" t="n"/>
      <c r="E582" s="652" t="n"/>
      <c r="F582" s="648" t="n"/>
      <c r="G582" s="648" t="n"/>
      <c r="H582" s="648" t="n"/>
    </row>
    <row r="583">
      <c r="B583" s="659" t="inlineStr">
        <is>
          <t>4. Vòng quay vốn lưu động</t>
        </is>
      </c>
      <c r="C583" s="673" t="n"/>
      <c r="D583" s="675" t="n">
        <v>3.33</v>
      </c>
      <c r="E583" s="652">
        <f>D583*C577</f>
        <v/>
      </c>
      <c r="F583" s="652" t="n"/>
      <c r="G583" s="652" t="n"/>
      <c r="H583" s="652" t="n"/>
    </row>
    <row r="584">
      <c r="B584" s="659" t="inlineStr">
        <is>
          <t>5. Vòng quay hàng tồn kho</t>
        </is>
      </c>
      <c r="C584" s="673" t="n"/>
      <c r="D584" s="675" t="n">
        <v>5.83</v>
      </c>
      <c r="E584" s="652">
        <f>D584*C577</f>
        <v/>
      </c>
      <c r="F584" s="652" t="n"/>
      <c r="G584" s="652" t="n"/>
      <c r="H584" s="652" t="n"/>
    </row>
    <row r="585">
      <c r="B585" s="659" t="inlineStr">
        <is>
          <t>6. Vòng quay các khoản phải thu</t>
        </is>
      </c>
      <c r="C585" s="673" t="n"/>
      <c r="D585" s="675" t="n">
        <v>8.67</v>
      </c>
      <c r="E585" s="652">
        <f>D585*C577</f>
        <v/>
      </c>
      <c r="F585" s="652" t="n"/>
      <c r="G585" s="652" t="n"/>
      <c r="H585" s="652" t="n"/>
    </row>
    <row r="586">
      <c r="B586" s="659" t="inlineStr">
        <is>
          <t>7. Hiệu suất sử dụng TSCĐ</t>
        </is>
      </c>
      <c r="C586" s="673" t="n"/>
      <c r="D586" s="675" t="n">
        <v>6.5</v>
      </c>
      <c r="E586" s="652">
        <f>D586*C577</f>
        <v/>
      </c>
      <c r="F586" s="652" t="n"/>
      <c r="G586" s="652" t="n"/>
      <c r="H586" s="652" t="n"/>
    </row>
    <row r="587">
      <c r="B587" s="656" t="inlineStr">
        <is>
          <t>Chỉ tiêu cân nợ</t>
        </is>
      </c>
      <c r="C587" s="657" t="n"/>
      <c r="D587" s="672" t="n"/>
      <c r="E587" s="652" t="n"/>
      <c r="F587" s="648" t="n"/>
      <c r="G587" s="648" t="n"/>
      <c r="H587" s="648" t="n"/>
    </row>
    <row r="588">
      <c r="B588" s="659" t="inlineStr">
        <is>
          <t>8. Tổng nợ phải trả/ Tổng tài sản</t>
        </is>
      </c>
      <c r="C588" s="673" t="n"/>
      <c r="D588" s="676" t="n">
        <v>0.66</v>
      </c>
      <c r="E588" s="652">
        <f>D588*C577</f>
        <v/>
      </c>
      <c r="F588" s="652" t="n"/>
      <c r="G588" s="652" t="n"/>
      <c r="H588" s="652" t="n"/>
    </row>
    <row r="589">
      <c r="B589" s="659" t="inlineStr">
        <is>
          <t>9. Nợ dài dạn/Vốn CSH</t>
        </is>
      </c>
      <c r="C589" s="673" t="n"/>
      <c r="D589" s="676" t="n">
        <v>0.25</v>
      </c>
      <c r="E589" s="652">
        <f>D589*C577</f>
        <v/>
      </c>
      <c r="F589" s="652" t="n"/>
      <c r="G589" s="652" t="n"/>
      <c r="H589" s="652" t="n"/>
    </row>
    <row r="590">
      <c r="B590" s="659" t="inlineStr">
        <is>
          <t>10. Tổng nợ/Vốn CSH</t>
        </is>
      </c>
      <c r="C590" s="673" t="n"/>
      <c r="D590" s="676" t="n">
        <v>1.3</v>
      </c>
      <c r="E590" s="652">
        <f>D590*C577</f>
        <v/>
      </c>
      <c r="F590" s="652" t="n"/>
      <c r="G590" s="652" t="n"/>
      <c r="H590" s="652" t="n"/>
    </row>
    <row r="591">
      <c r="B591" s="656" t="inlineStr">
        <is>
          <t>Chỉ tiêu thu nhập</t>
        </is>
      </c>
      <c r="C591" s="657" t="n"/>
      <c r="D591" s="672" t="n"/>
      <c r="E591" s="652" t="n"/>
      <c r="F591" s="648" t="n"/>
      <c r="G591" s="648" t="n"/>
      <c r="H591" s="648" t="n"/>
    </row>
    <row r="592">
      <c r="B592" s="665" t="inlineStr">
        <is>
          <t>11. Lợi nhuận gộp/Doanh thu thuần</t>
        </is>
      </c>
      <c r="C592" s="673" t="n"/>
      <c r="D592" s="677" t="n">
        <v>0.1083</v>
      </c>
      <c r="E592" s="652">
        <f>D592*C577</f>
        <v/>
      </c>
      <c r="F592" s="652" t="n"/>
      <c r="G592" s="652" t="n"/>
      <c r="H592" s="652" t="n"/>
    </row>
    <row r="593">
      <c r="B593" s="665" t="inlineStr">
        <is>
          <t>12. Lợi nhuận từ hoạt động kinh doanh/Doanh thu thuần</t>
        </is>
      </c>
      <c r="C593" s="673" t="n"/>
      <c r="D593" s="677" t="n">
        <v>0.075</v>
      </c>
      <c r="E593" s="652">
        <f>D593*C577</f>
        <v/>
      </c>
      <c r="F593" s="652" t="n"/>
      <c r="G593" s="652" t="n"/>
      <c r="H593" s="652" t="n"/>
    </row>
    <row r="594">
      <c r="B594" s="665" t="inlineStr">
        <is>
          <t>13. Lợi nhuận sau thuế/Vốn CSH bình quân</t>
        </is>
      </c>
      <c r="C594" s="673" t="n"/>
      <c r="D594" s="677" t="n">
        <v>0.1433</v>
      </c>
      <c r="E594" s="652">
        <f>D594*C577</f>
        <v/>
      </c>
      <c r="F594" s="652" t="n"/>
      <c r="G594" s="652" t="n"/>
      <c r="H594" s="652" t="n"/>
    </row>
    <row r="595">
      <c r="B595" s="665" t="inlineStr">
        <is>
          <t>14. Lợi nhuận sau thuế/Tổng tài sản bình quân</t>
        </is>
      </c>
      <c r="C595" s="673" t="n"/>
      <c r="D595" s="677" t="n">
        <v>0.0467</v>
      </c>
      <c r="E595" s="652">
        <f>D595*C577</f>
        <v/>
      </c>
      <c r="F595" s="652" t="n"/>
      <c r="G595" s="652" t="n"/>
      <c r="H595" s="652" t="n"/>
    </row>
    <row r="596" ht="15.75" customHeight="1" s="782" thickBot="1">
      <c r="B596" s="667" t="inlineStr">
        <is>
          <t>15. EBIT/Chi phí lãi vay</t>
        </is>
      </c>
      <c r="C596" s="678" t="n"/>
      <c r="D596" s="679" t="n">
        <v>3.5</v>
      </c>
      <c r="E596" s="652">
        <f>D596*C577</f>
        <v/>
      </c>
      <c r="F596" s="652" t="n"/>
      <c r="G596" s="652" t="n"/>
      <c r="H596" s="652" t="n"/>
    </row>
    <row r="597" ht="29.25" customHeight="1" s="782" thickTop="1">
      <c r="B597" s="670" t="inlineStr">
        <is>
          <t>Kinh doanh Phân bón, hóa chất, các sản phẩm hóa chất khác, thuốc, hóa dược, dược liệu, thiết bị y tế</t>
        </is>
      </c>
      <c r="C597" s="671">
        <f>IF(B597=$G$218,100%,0%)</f>
        <v/>
      </c>
      <c r="D597" s="671" t="n"/>
      <c r="E597" s="644" t="n"/>
      <c r="F597" s="644" t="n"/>
      <c r="G597" s="644" t="n"/>
      <c r="H597" s="644" t="n"/>
    </row>
    <row r="598">
      <c r="B598" s="656" t="inlineStr">
        <is>
          <t>Chỉ tiêu thanh khoản</t>
        </is>
      </c>
      <c r="C598" s="685" t="n"/>
      <c r="D598" s="672" t="n"/>
      <c r="E598" s="648" t="n"/>
      <c r="F598" s="648" t="n"/>
      <c r="G598" s="648" t="n"/>
      <c r="H598" s="648" t="n"/>
    </row>
    <row r="599">
      <c r="B599" s="659" t="inlineStr">
        <is>
          <t>1.Khả năng thanh toán hiện hành</t>
        </is>
      </c>
      <c r="C599" s="673" t="n"/>
      <c r="D599" s="675" t="n">
        <v>1.33</v>
      </c>
      <c r="E599" s="652">
        <f>C597*D599</f>
        <v/>
      </c>
      <c r="F599" s="652" t="n"/>
      <c r="G599" s="652" t="n"/>
      <c r="H599" s="652" t="n"/>
    </row>
    <row r="600">
      <c r="B600" s="659" t="inlineStr">
        <is>
          <t>2. Khả năng thanh toán nhanh</t>
        </is>
      </c>
      <c r="C600" s="673" t="n"/>
      <c r="D600" s="675" t="n">
        <v>0.77</v>
      </c>
      <c r="E600" s="652">
        <f>D600*C597</f>
        <v/>
      </c>
      <c r="F600" s="652" t="n"/>
      <c r="G600" s="652" t="n"/>
      <c r="H600" s="652" t="n"/>
    </row>
    <row r="601">
      <c r="B601" s="659" t="inlineStr">
        <is>
          <t>3. Khả năng thanh toán tức thời</t>
        </is>
      </c>
      <c r="C601" s="673" t="n"/>
      <c r="D601" s="675" t="n">
        <v>0.16</v>
      </c>
      <c r="E601" s="652">
        <f>D601*C597</f>
        <v/>
      </c>
      <c r="F601" s="652" t="n"/>
      <c r="G601" s="652" t="n"/>
      <c r="H601" s="652" t="n"/>
    </row>
    <row r="602">
      <c r="B602" s="656" t="inlineStr">
        <is>
          <t>Chỉ tiêu hoạt động</t>
        </is>
      </c>
      <c r="C602" s="685" t="n"/>
      <c r="D602" s="672" t="n"/>
      <c r="E602" s="652" t="n"/>
      <c r="F602" s="648" t="n"/>
      <c r="G602" s="648" t="n"/>
      <c r="H602" s="648" t="n"/>
    </row>
    <row r="603">
      <c r="B603" s="659" t="inlineStr">
        <is>
          <t>4. Vòng quay vốn lưu động</t>
        </is>
      </c>
      <c r="C603" s="673" t="n"/>
      <c r="D603" s="675" t="n">
        <v>3.5</v>
      </c>
      <c r="E603" s="652">
        <f>D603*C597</f>
        <v/>
      </c>
      <c r="F603" s="652" t="n"/>
      <c r="G603" s="652" t="n"/>
      <c r="H603" s="652" t="n"/>
    </row>
    <row r="604">
      <c r="B604" s="659" t="inlineStr">
        <is>
          <t>5. Vòng quay hàng tồn kho</t>
        </is>
      </c>
      <c r="C604" s="673" t="n"/>
      <c r="D604" s="675" t="n">
        <v>8.17</v>
      </c>
      <c r="E604" s="652">
        <f>D604*C597</f>
        <v/>
      </c>
      <c r="F604" s="652" t="n"/>
      <c r="G604" s="652" t="n"/>
      <c r="H604" s="652" t="n"/>
    </row>
    <row r="605">
      <c r="B605" s="659" t="inlineStr">
        <is>
          <t>6. Vòng quay các khoản phải thu</t>
        </is>
      </c>
      <c r="C605" s="673" t="n"/>
      <c r="D605" s="675" t="n">
        <v>8.67</v>
      </c>
      <c r="E605" s="652">
        <f>D605*C597</f>
        <v/>
      </c>
      <c r="F605" s="652" t="n"/>
      <c r="G605" s="652" t="n"/>
      <c r="H605" s="652" t="n"/>
    </row>
    <row r="606">
      <c r="B606" s="659" t="inlineStr">
        <is>
          <t>7. Hiệu suất sử dụng TSCĐ</t>
        </is>
      </c>
      <c r="C606" s="673" t="n"/>
      <c r="D606" s="675" t="n">
        <v>4</v>
      </c>
      <c r="E606" s="652">
        <f>D606*C597</f>
        <v/>
      </c>
      <c r="F606" s="652" t="n"/>
      <c r="G606" s="652" t="n"/>
      <c r="H606" s="652" t="n"/>
    </row>
    <row r="607">
      <c r="B607" s="656" t="inlineStr">
        <is>
          <t>Chỉ tiêu cân nợ</t>
        </is>
      </c>
      <c r="C607" s="685" t="n"/>
      <c r="D607" s="672" t="n"/>
      <c r="E607" s="652" t="n"/>
      <c r="F607" s="648" t="n"/>
      <c r="G607" s="648" t="n"/>
      <c r="H607" s="648" t="n"/>
    </row>
    <row r="608">
      <c r="B608" s="659" t="inlineStr">
        <is>
          <t>8. Tổng nợ phải trả/ Tổng tài sản</t>
        </is>
      </c>
      <c r="C608" s="673" t="n"/>
      <c r="D608" s="676" t="n">
        <v>0.75</v>
      </c>
      <c r="E608" s="652">
        <f>D608*C597</f>
        <v/>
      </c>
      <c r="F608" s="652" t="n"/>
      <c r="G608" s="652" t="n"/>
      <c r="H608" s="652" t="n"/>
    </row>
    <row r="609">
      <c r="B609" s="659" t="inlineStr">
        <is>
          <t>9. Nợ dài dạn/Vốn CSH</t>
        </is>
      </c>
      <c r="C609" s="673" t="n"/>
      <c r="D609" s="677" t="n">
        <v>0.207</v>
      </c>
      <c r="E609" s="652">
        <f>D609*C597</f>
        <v/>
      </c>
      <c r="F609" s="652" t="n"/>
      <c r="G609" s="652" t="n"/>
      <c r="H609" s="652" t="n"/>
    </row>
    <row r="610">
      <c r="B610" s="659" t="inlineStr">
        <is>
          <t>10. Tổng nợ/Vốn CSH</t>
        </is>
      </c>
      <c r="C610" s="673" t="n"/>
      <c r="D610" s="676" t="n">
        <v>1.97</v>
      </c>
      <c r="E610" s="652">
        <f>D610*C597</f>
        <v/>
      </c>
      <c r="F610" s="652" t="n"/>
      <c r="G610" s="652" t="n"/>
      <c r="H610" s="652" t="n"/>
    </row>
    <row r="611">
      <c r="B611" s="656" t="inlineStr">
        <is>
          <t>Chỉ tiêu thu nhập</t>
        </is>
      </c>
      <c r="C611" s="685" t="n"/>
      <c r="D611" s="672" t="n"/>
      <c r="E611" s="652" t="n"/>
      <c r="F611" s="648" t="n"/>
      <c r="G611" s="648" t="n"/>
      <c r="H611" s="648" t="n"/>
    </row>
    <row r="612">
      <c r="B612" s="665" t="inlineStr">
        <is>
          <t>11. Lợi nhuận gộp/Doanh thu thuần</t>
        </is>
      </c>
      <c r="C612" s="673" t="n"/>
      <c r="D612" s="677" t="n">
        <v>0.133</v>
      </c>
      <c r="E612" s="652">
        <f>D612*C597</f>
        <v/>
      </c>
      <c r="F612" s="652" t="n"/>
      <c r="G612" s="652" t="n"/>
      <c r="H612" s="652" t="n"/>
    </row>
    <row r="613">
      <c r="B613" s="665" t="inlineStr">
        <is>
          <t>12. Lợi nhuận từ hoạt động kinh doanh/Doanh thu thuần</t>
        </is>
      </c>
      <c r="C613" s="673" t="n"/>
      <c r="D613" s="677" t="n">
        <v>0.09329999999999999</v>
      </c>
      <c r="E613" s="652">
        <f>D613*C597</f>
        <v/>
      </c>
      <c r="F613" s="652" t="n"/>
      <c r="G613" s="652" t="n"/>
      <c r="H613" s="652" t="n"/>
    </row>
    <row r="614">
      <c r="B614" s="665" t="inlineStr">
        <is>
          <t>13. Lợi nhuận sau thuế/Vốn CSH bình quân</t>
        </is>
      </c>
      <c r="C614" s="673" t="n"/>
      <c r="D614" s="676" t="n">
        <v>0.23</v>
      </c>
      <c r="E614" s="652">
        <f>D614*C597</f>
        <v/>
      </c>
      <c r="F614" s="652" t="n"/>
      <c r="G614" s="652" t="n"/>
      <c r="H614" s="652" t="n"/>
    </row>
    <row r="615">
      <c r="B615" s="665" t="inlineStr">
        <is>
          <t>14. Lợi nhuận sau thuế/Tổng tài sản bình quân</t>
        </is>
      </c>
      <c r="C615" s="673" t="n"/>
      <c r="D615" s="677" t="n">
        <v>0.097</v>
      </c>
      <c r="E615" s="652">
        <f>D615*C597</f>
        <v/>
      </c>
      <c r="F615" s="652" t="n"/>
      <c r="G615" s="652" t="n"/>
      <c r="H615" s="652" t="n"/>
    </row>
    <row r="616" ht="15.75" customHeight="1" s="782" thickBot="1">
      <c r="B616" s="667" t="inlineStr">
        <is>
          <t>15. EBIT/Chi phí lãi vay</t>
        </is>
      </c>
      <c r="C616" s="678" t="n"/>
      <c r="D616" s="679" t="n">
        <v>3.5</v>
      </c>
      <c r="E616" s="652">
        <f>D616*C597</f>
        <v/>
      </c>
      <c r="F616" s="652" t="n"/>
      <c r="G616" s="652" t="n"/>
      <c r="H616" s="652" t="n"/>
    </row>
    <row r="617" ht="15.75" customHeight="1" s="782" thickTop="1">
      <c r="B617" s="670" t="inlineStr">
        <is>
          <t>Thương mại xăng, dầu, gas, khí đốt</t>
        </is>
      </c>
      <c r="C617" s="671">
        <f>IF(B617=$G$218,100%,0%)</f>
        <v/>
      </c>
      <c r="D617" s="671" t="n"/>
      <c r="E617" s="644" t="n"/>
      <c r="F617" s="644" t="n"/>
      <c r="G617" s="644" t="n"/>
      <c r="H617" s="644" t="n"/>
    </row>
    <row r="618">
      <c r="B618" s="656" t="inlineStr">
        <is>
          <t>Chỉ tiêu thanh khoản</t>
        </is>
      </c>
      <c r="C618" s="685" t="n"/>
      <c r="D618" s="672" t="n"/>
      <c r="E618" s="648" t="n"/>
      <c r="F618" s="648" t="n"/>
      <c r="G618" s="648" t="n"/>
      <c r="H618" s="648" t="n"/>
    </row>
    <row r="619">
      <c r="B619" s="659" t="inlineStr">
        <is>
          <t>1.Khả năng thanh toán hiện hành</t>
        </is>
      </c>
      <c r="C619" s="673" t="n"/>
      <c r="D619" s="675" t="n">
        <v>1.18</v>
      </c>
      <c r="E619" s="652">
        <f>C617*D619</f>
        <v/>
      </c>
      <c r="F619" s="652" t="n"/>
      <c r="G619" s="652" t="n"/>
      <c r="H619" s="652" t="n"/>
    </row>
    <row r="620">
      <c r="B620" s="659" t="inlineStr">
        <is>
          <t>2. Khả năng thanh toán nhanh</t>
        </is>
      </c>
      <c r="C620" s="673" t="n"/>
      <c r="D620" s="675" t="n">
        <v>0.6</v>
      </c>
      <c r="E620" s="652">
        <f>D620*C617</f>
        <v/>
      </c>
      <c r="F620" s="652" t="n"/>
      <c r="G620" s="652" t="n"/>
      <c r="H620" s="652" t="n"/>
    </row>
    <row r="621">
      <c r="B621" s="659" t="inlineStr">
        <is>
          <t>3. Khả năng thanh toán tức thời</t>
        </is>
      </c>
      <c r="C621" s="673" t="n"/>
      <c r="D621" s="675" t="n">
        <v>0.12</v>
      </c>
      <c r="E621" s="652">
        <f>D621*C617</f>
        <v/>
      </c>
      <c r="F621" s="652" t="n"/>
      <c r="G621" s="652" t="n"/>
      <c r="H621" s="652" t="n"/>
    </row>
    <row r="622">
      <c r="B622" s="656" t="inlineStr">
        <is>
          <t>Chỉ tiêu hoạt động</t>
        </is>
      </c>
      <c r="C622" s="685" t="n"/>
      <c r="D622" s="672" t="n"/>
      <c r="E622" s="652" t="n"/>
      <c r="F622" s="648" t="n"/>
      <c r="G622" s="648" t="n"/>
      <c r="H622" s="648" t="n"/>
    </row>
    <row r="623">
      <c r="B623" s="659" t="inlineStr">
        <is>
          <t>4. Vòng quay vốn lưu động</t>
        </is>
      </c>
      <c r="C623" s="673" t="n"/>
      <c r="D623" s="675" t="n">
        <v>6.67</v>
      </c>
      <c r="E623" s="652">
        <f>D623*C617</f>
        <v/>
      </c>
      <c r="F623" s="652" t="n"/>
      <c r="G623" s="652" t="n"/>
      <c r="H623" s="652" t="n"/>
    </row>
    <row r="624">
      <c r="B624" s="659" t="inlineStr">
        <is>
          <t>5. Vòng quay hàng tồn kho</t>
        </is>
      </c>
      <c r="C624" s="673" t="n"/>
      <c r="D624" s="675" t="n">
        <v>13.33</v>
      </c>
      <c r="E624" s="652">
        <f>D624*C617</f>
        <v/>
      </c>
      <c r="F624" s="652" t="n"/>
      <c r="G624" s="652" t="n"/>
      <c r="H624" s="652" t="n"/>
    </row>
    <row r="625">
      <c r="B625" s="659" t="inlineStr">
        <is>
          <t>6. Vòng quay các khoản phải thu</t>
        </is>
      </c>
      <c r="C625" s="673" t="n"/>
      <c r="D625" s="675" t="n">
        <v>9</v>
      </c>
      <c r="E625" s="652">
        <f>D625*C617</f>
        <v/>
      </c>
      <c r="F625" s="652" t="n"/>
      <c r="G625" s="652" t="n"/>
      <c r="H625" s="652" t="n"/>
    </row>
    <row r="626">
      <c r="B626" s="659" t="inlineStr">
        <is>
          <t>7. Hiệu suất sử dụng TSCĐ</t>
        </is>
      </c>
      <c r="C626" s="673" t="n"/>
      <c r="D626" s="675" t="n">
        <v>12.33</v>
      </c>
      <c r="E626" s="652">
        <f>D626*C617</f>
        <v/>
      </c>
      <c r="F626" s="652" t="n"/>
      <c r="G626" s="652" t="n"/>
      <c r="H626" s="652" t="n"/>
    </row>
    <row r="627">
      <c r="B627" s="656" t="inlineStr">
        <is>
          <t>Chỉ tiêu cân nợ</t>
        </is>
      </c>
      <c r="C627" s="685" t="n"/>
      <c r="D627" s="672" t="n"/>
      <c r="E627" s="652" t="n"/>
      <c r="F627" s="648" t="n"/>
      <c r="G627" s="648" t="n"/>
      <c r="H627" s="648" t="n"/>
    </row>
    <row r="628">
      <c r="B628" s="659" t="inlineStr">
        <is>
          <t>8. Tổng nợ phải trả/ Tổng tài sản</t>
        </is>
      </c>
      <c r="C628" s="673" t="n"/>
      <c r="D628" s="676" t="n">
        <v>0.68</v>
      </c>
      <c r="E628" s="652">
        <f>D628*C617</f>
        <v/>
      </c>
      <c r="F628" s="652" t="n"/>
      <c r="G628" s="652" t="n"/>
      <c r="H628" s="652" t="n"/>
    </row>
    <row r="629">
      <c r="B629" s="659" t="inlineStr">
        <is>
          <t>9. Nợ dài dạn/Vốn CSH</t>
        </is>
      </c>
      <c r="C629" s="673" t="n"/>
      <c r="D629" s="676" t="n">
        <v>0.36</v>
      </c>
      <c r="E629" s="652">
        <f>D629*C617</f>
        <v/>
      </c>
      <c r="F629" s="652" t="n"/>
      <c r="G629" s="652" t="n"/>
      <c r="H629" s="652" t="n"/>
    </row>
    <row r="630">
      <c r="B630" s="665" t="inlineStr">
        <is>
          <t>10. Tổng nợ/Vốn CSH</t>
        </is>
      </c>
      <c r="C630" s="673" t="n"/>
      <c r="D630" s="676" t="n">
        <v>1.44</v>
      </c>
      <c r="E630" s="652">
        <f>D630*C617</f>
        <v/>
      </c>
      <c r="F630" s="652" t="n"/>
      <c r="G630" s="652" t="n"/>
      <c r="H630" s="652" t="n"/>
    </row>
    <row r="631">
      <c r="B631" s="656" t="inlineStr">
        <is>
          <t>Chỉ tiêu thu nhập</t>
        </is>
      </c>
      <c r="C631" s="685" t="n"/>
      <c r="D631" s="672" t="n"/>
      <c r="E631" s="652" t="n"/>
      <c r="F631" s="648" t="n"/>
      <c r="G631" s="648" t="n"/>
      <c r="H631" s="648" t="n"/>
    </row>
    <row r="632">
      <c r="B632" s="665" t="inlineStr">
        <is>
          <t>11. Lợi nhuận gộp/Doanh thu thuần</t>
        </is>
      </c>
      <c r="C632" s="673" t="n"/>
      <c r="D632" s="677" t="n">
        <v>0.067</v>
      </c>
      <c r="E632" s="652">
        <f>D632*C617</f>
        <v/>
      </c>
      <c r="F632" s="652" t="n"/>
      <c r="G632" s="652" t="n"/>
      <c r="H632" s="652" t="n"/>
    </row>
    <row r="633">
      <c r="B633" s="665" t="inlineStr">
        <is>
          <t>12. Lợi nhuận từ hoạt động kinh doanh/Doanh thu thuần</t>
        </is>
      </c>
      <c r="C633" s="673" t="n"/>
      <c r="D633" s="676" t="n">
        <v>0.05</v>
      </c>
      <c r="E633" s="652">
        <f>D633*C617</f>
        <v/>
      </c>
      <c r="F633" s="652" t="n"/>
      <c r="G633" s="652" t="n"/>
      <c r="H633" s="652" t="n"/>
    </row>
    <row r="634">
      <c r="B634" s="665" t="inlineStr">
        <is>
          <t>13. Lợi nhuận sau thuế/Vốn CSH bình quân</t>
        </is>
      </c>
      <c r="C634" s="673" t="n"/>
      <c r="D634" s="677" t="n">
        <v>0.177</v>
      </c>
      <c r="E634" s="652">
        <f>D634*C617</f>
        <v/>
      </c>
      <c r="F634" s="652" t="n"/>
      <c r="G634" s="652" t="n"/>
      <c r="H634" s="652" t="n"/>
    </row>
    <row r="635">
      <c r="B635" s="665" t="inlineStr">
        <is>
          <t>14. Lợi nhuận sau thuế/Tổng tài sản bình quân</t>
        </is>
      </c>
      <c r="C635" s="673" t="n"/>
      <c r="D635" s="677" t="n">
        <v>0.08799999999999999</v>
      </c>
      <c r="E635" s="652">
        <f>D635*C617</f>
        <v/>
      </c>
      <c r="F635" s="652" t="n"/>
      <c r="G635" s="652" t="n"/>
      <c r="H635" s="652" t="n"/>
    </row>
    <row r="636" ht="15.75" customHeight="1" s="782" thickBot="1">
      <c r="B636" s="667" t="inlineStr">
        <is>
          <t>15. EBIT/Chi phí lãi vay</t>
        </is>
      </c>
      <c r="C636" s="678" t="n"/>
      <c r="D636" s="679" t="n">
        <v>2.8</v>
      </c>
      <c r="E636" s="652">
        <f>D636*C617</f>
        <v/>
      </c>
      <c r="F636" s="652" t="n"/>
      <c r="G636" s="652" t="n"/>
      <c r="H636" s="652" t="n"/>
    </row>
    <row r="637" ht="29.25" customHeight="1" s="782" thickTop="1">
      <c r="B637" s="670" t="inlineStr">
        <is>
          <t>Kinh doanh sắt thép, xi măng, vật liệu xây dựng tổng hợp khác</t>
        </is>
      </c>
      <c r="C637" s="671">
        <f>IF(B637=$G$218,100%,0%)</f>
        <v/>
      </c>
      <c r="D637" s="671" t="n"/>
      <c r="E637" s="644" t="n"/>
      <c r="F637" s="644" t="n"/>
      <c r="G637" s="644" t="n"/>
      <c r="H637" s="644" t="n"/>
    </row>
    <row r="638">
      <c r="B638" s="656" t="inlineStr">
        <is>
          <t>Chỉ tiêu thanh khoản</t>
        </is>
      </c>
      <c r="C638" s="685" t="n"/>
      <c r="D638" s="672" t="n"/>
      <c r="E638" s="648" t="n"/>
      <c r="F638" s="648" t="n"/>
      <c r="G638" s="648" t="n"/>
      <c r="H638" s="648" t="n"/>
    </row>
    <row r="639">
      <c r="B639" s="659" t="inlineStr">
        <is>
          <t>1.Khả năng thanh toán hiện hành</t>
        </is>
      </c>
      <c r="C639" s="673" t="n"/>
      <c r="D639" s="675" t="n">
        <v>1.2</v>
      </c>
      <c r="E639" s="652">
        <f>C637*D639</f>
        <v/>
      </c>
      <c r="F639" s="652" t="n"/>
      <c r="G639" s="652" t="n"/>
      <c r="H639" s="652" t="n"/>
    </row>
    <row r="640">
      <c r="B640" s="659" t="inlineStr">
        <is>
          <t>2. Khả năng thanh toán nhanh</t>
        </is>
      </c>
      <c r="C640" s="673" t="n"/>
      <c r="D640" s="675" t="n">
        <v>0.77</v>
      </c>
      <c r="E640" s="652">
        <f>D640*C637</f>
        <v/>
      </c>
      <c r="F640" s="652" t="n"/>
      <c r="G640" s="652" t="n"/>
      <c r="H640" s="652" t="n"/>
    </row>
    <row r="641">
      <c r="B641" s="659" t="inlineStr">
        <is>
          <t>3. Khả năng thanh toán tức thời</t>
        </is>
      </c>
      <c r="C641" s="673" t="n"/>
      <c r="D641" s="675" t="n">
        <v>0.16</v>
      </c>
      <c r="E641" s="652">
        <f>D641*C637</f>
        <v/>
      </c>
      <c r="F641" s="652" t="n"/>
      <c r="G641" s="652" t="n"/>
      <c r="H641" s="652" t="n"/>
    </row>
    <row r="642">
      <c r="B642" s="656" t="inlineStr">
        <is>
          <t>Chỉ tiêu hoạt động</t>
        </is>
      </c>
      <c r="C642" s="685" t="n"/>
      <c r="D642" s="672" t="n"/>
      <c r="E642" s="652" t="n"/>
      <c r="F642" s="648" t="n"/>
      <c r="G642" s="648" t="n"/>
      <c r="H642" s="648" t="n"/>
    </row>
    <row r="643">
      <c r="B643" s="659" t="inlineStr">
        <is>
          <t>4. Vòng quay vốn lưu động</t>
        </is>
      </c>
      <c r="C643" s="673" t="n"/>
      <c r="D643" s="675" t="n">
        <v>3.67</v>
      </c>
      <c r="E643" s="652">
        <f>D643*C637</f>
        <v/>
      </c>
      <c r="F643" s="652" t="n"/>
      <c r="G643" s="652" t="n"/>
      <c r="H643" s="652" t="n"/>
    </row>
    <row r="644">
      <c r="B644" s="659" t="inlineStr">
        <is>
          <t>5. Vòng quay hàng tồn kho</t>
        </is>
      </c>
      <c r="C644" s="673" t="n"/>
      <c r="D644" s="675" t="n">
        <v>6.67</v>
      </c>
      <c r="E644" s="652">
        <f>D644*C637</f>
        <v/>
      </c>
      <c r="F644" s="652" t="n"/>
      <c r="G644" s="652" t="n"/>
      <c r="H644" s="652" t="n"/>
    </row>
    <row r="645">
      <c r="B645" s="659" t="inlineStr">
        <is>
          <t>6. Vòng quay các khoản phải thu</t>
        </is>
      </c>
      <c r="C645" s="673" t="n"/>
      <c r="D645" s="675" t="n">
        <v>4.67</v>
      </c>
      <c r="E645" s="652">
        <f>D645*C637</f>
        <v/>
      </c>
      <c r="F645" s="652" t="n"/>
      <c r="G645" s="652" t="n"/>
      <c r="H645" s="652" t="n"/>
    </row>
    <row r="646">
      <c r="B646" s="659" t="inlineStr">
        <is>
          <t>7. Hiệu suất sử dụng TSCĐ</t>
        </is>
      </c>
      <c r="C646" s="673" t="n"/>
      <c r="D646" s="675" t="n">
        <v>39</v>
      </c>
      <c r="E646" s="652">
        <f>D646*C637</f>
        <v/>
      </c>
      <c r="F646" s="652" t="n"/>
      <c r="G646" s="652" t="n"/>
      <c r="H646" s="652" t="n"/>
    </row>
    <row r="647">
      <c r="B647" s="656" t="inlineStr">
        <is>
          <t>Chỉ tiêu cân nợ</t>
        </is>
      </c>
      <c r="C647" s="685" t="n"/>
      <c r="D647" s="672" t="n"/>
      <c r="E647" s="652" t="n"/>
      <c r="F647" s="648" t="n"/>
      <c r="G647" s="648" t="n"/>
      <c r="H647" s="648" t="n"/>
    </row>
    <row r="648">
      <c r="B648" s="665" t="inlineStr">
        <is>
          <t>8. Tổng nợ phải trả/ Tổng tài sản</t>
        </is>
      </c>
      <c r="C648" s="673" t="n"/>
      <c r="D648" s="676" t="n">
        <v>0.77</v>
      </c>
      <c r="E648" s="652">
        <f>D648*C637</f>
        <v/>
      </c>
      <c r="F648" s="652" t="n"/>
      <c r="G648" s="652" t="n"/>
      <c r="H648" s="652" t="n"/>
    </row>
    <row r="649">
      <c r="B649" s="665" t="inlineStr">
        <is>
          <t>9. Nợ dài dạn/Vốn CSH</t>
        </is>
      </c>
      <c r="C649" s="673" t="n"/>
      <c r="D649" s="676" t="n">
        <v>0.5</v>
      </c>
      <c r="E649" s="652">
        <f>D649*C637</f>
        <v/>
      </c>
      <c r="F649" s="652" t="n"/>
      <c r="G649" s="652" t="n"/>
      <c r="H649" s="652" t="n"/>
    </row>
    <row r="650">
      <c r="B650" s="659" t="inlineStr">
        <is>
          <t>10. Tổng nợ/Vốn CSH</t>
        </is>
      </c>
      <c r="C650" s="673" t="n"/>
      <c r="D650" s="676" t="n">
        <v>2.57</v>
      </c>
      <c r="E650" s="652">
        <f>D650*C637</f>
        <v/>
      </c>
      <c r="F650" s="652" t="n"/>
      <c r="G650" s="652" t="n"/>
      <c r="H650" s="652" t="n"/>
    </row>
    <row r="651">
      <c r="B651" s="656" t="inlineStr">
        <is>
          <t>Chỉ tiêu thu nhập</t>
        </is>
      </c>
      <c r="C651" s="685" t="n"/>
      <c r="D651" s="672" t="n"/>
      <c r="E651" s="652" t="n"/>
      <c r="F651" s="648" t="n"/>
      <c r="G651" s="648" t="n"/>
      <c r="H651" s="648" t="n"/>
    </row>
    <row r="652">
      <c r="B652" s="659" t="inlineStr">
        <is>
          <t>11. Lợi nhuận gộp/Doanh thu thuần</t>
        </is>
      </c>
      <c r="C652" s="673" t="n"/>
      <c r="D652" s="677" t="n">
        <v>0.0633</v>
      </c>
      <c r="E652" s="652">
        <f>D652*C637</f>
        <v/>
      </c>
      <c r="F652" s="652" t="n"/>
      <c r="G652" s="652" t="n"/>
      <c r="H652" s="652" t="n"/>
    </row>
    <row r="653">
      <c r="B653" s="659" t="inlineStr">
        <is>
          <t>12. Lợi nhuận từ hoạt động kinh doanh/Doanh thu thuần</t>
        </is>
      </c>
      <c r="C653" s="673" t="n"/>
      <c r="D653" s="677" t="n">
        <v>0.0633</v>
      </c>
      <c r="E653" s="652">
        <f>D653*C637</f>
        <v/>
      </c>
      <c r="F653" s="652" t="n"/>
      <c r="G653" s="652" t="n"/>
      <c r="H653" s="652" t="n"/>
    </row>
    <row r="654">
      <c r="B654" s="659" t="inlineStr">
        <is>
          <t>13. Lợi nhuận sau thuế/Vốn CSH bình quân</t>
        </is>
      </c>
      <c r="C654" s="673" t="n"/>
      <c r="D654" s="677" t="n">
        <v>0.1267</v>
      </c>
      <c r="E654" s="652">
        <f>D654*C637</f>
        <v/>
      </c>
      <c r="F654" s="652" t="n"/>
      <c r="G654" s="652" t="n"/>
      <c r="H654" s="652" t="n"/>
    </row>
    <row r="655">
      <c r="B655" s="659" t="inlineStr">
        <is>
          <t>14. Lợi nhuận sau thuế/Tổng tài sản bình quân</t>
        </is>
      </c>
      <c r="C655" s="673" t="n"/>
      <c r="D655" s="677" t="n">
        <v>0.065</v>
      </c>
      <c r="E655" s="652">
        <f>D655*C637</f>
        <v/>
      </c>
      <c r="F655" s="652" t="n"/>
      <c r="G655" s="652" t="n"/>
      <c r="H655" s="652" t="n"/>
    </row>
    <row r="656" ht="15.75" customHeight="1" s="782" thickBot="1">
      <c r="B656" s="686" t="inlineStr">
        <is>
          <t>15. EBIT/Chi phí lãi vay</t>
        </is>
      </c>
      <c r="C656" s="678" t="n"/>
      <c r="D656" s="679" t="n">
        <v>2.8</v>
      </c>
      <c r="E656" s="652">
        <f>D656*C637</f>
        <v/>
      </c>
      <c r="F656" s="652" t="n"/>
      <c r="G656" s="652" t="n"/>
      <c r="H656" s="652" t="n"/>
    </row>
    <row r="657" ht="15.75" customHeight="1" s="782" thickTop="1">
      <c r="B657" s="670" t="inlineStr">
        <is>
          <t>Thương mại hàng công nghiệp nặng khác</t>
        </is>
      </c>
      <c r="C657" s="671">
        <f>IF(B657=$G$218,100%,0%)</f>
        <v/>
      </c>
      <c r="D657" s="671" t="n"/>
      <c r="E657" s="644" t="n"/>
      <c r="F657" s="644" t="n"/>
      <c r="G657" s="644" t="n"/>
      <c r="H657" s="644" t="n"/>
    </row>
    <row r="658">
      <c r="B658" s="656" t="inlineStr">
        <is>
          <t>Chỉ tiêu thanh khoản</t>
        </is>
      </c>
      <c r="C658" s="685" t="n"/>
      <c r="D658" s="672" t="n"/>
      <c r="E658" s="648" t="n"/>
      <c r="F658" s="648" t="n"/>
      <c r="G658" s="648" t="n"/>
      <c r="H658" s="648" t="n"/>
    </row>
    <row r="659">
      <c r="B659" s="659" t="inlineStr">
        <is>
          <t>1.Khả năng thanh toán hiện hành</t>
        </is>
      </c>
      <c r="C659" s="673" t="n"/>
      <c r="D659" s="675" t="n">
        <v>1.23</v>
      </c>
      <c r="E659" s="652">
        <f>C657*D659</f>
        <v/>
      </c>
      <c r="F659" s="652" t="n"/>
      <c r="G659" s="652" t="n"/>
      <c r="H659" s="652" t="n"/>
    </row>
    <row r="660">
      <c r="B660" s="659" t="inlineStr">
        <is>
          <t>2. Khả năng thanh toán nhanh</t>
        </is>
      </c>
      <c r="C660" s="673" t="n"/>
      <c r="D660" s="675" t="n">
        <v>0.72</v>
      </c>
      <c r="E660" s="652">
        <f>D660*C657</f>
        <v/>
      </c>
      <c r="F660" s="652" t="n"/>
      <c r="G660" s="652" t="n"/>
      <c r="H660" s="652" t="n"/>
    </row>
    <row r="661">
      <c r="B661" s="659" t="inlineStr">
        <is>
          <t>3. Khả năng thanh toán tức thời</t>
        </is>
      </c>
      <c r="C661" s="673" t="n"/>
      <c r="D661" s="675" t="n">
        <v>0.16</v>
      </c>
      <c r="E661" s="652">
        <f>D661*C657</f>
        <v/>
      </c>
      <c r="F661" s="652" t="n"/>
      <c r="G661" s="652" t="n"/>
      <c r="H661" s="652" t="n"/>
    </row>
    <row r="662">
      <c r="B662" s="656" t="inlineStr">
        <is>
          <t>Chỉ tiêu hoạt động</t>
        </is>
      </c>
      <c r="C662" s="685" t="n"/>
      <c r="D662" s="672" t="n"/>
      <c r="E662" s="652" t="n"/>
      <c r="F662" s="648" t="n"/>
      <c r="G662" s="648" t="n"/>
      <c r="H662" s="648" t="n"/>
    </row>
    <row r="663">
      <c r="B663" s="659" t="inlineStr">
        <is>
          <t>4. Vòng quay vốn lưu động</t>
        </is>
      </c>
      <c r="C663" s="673" t="n"/>
      <c r="D663" s="675" t="n">
        <v>3</v>
      </c>
      <c r="E663" s="652">
        <f>D663*C657</f>
        <v/>
      </c>
      <c r="F663" s="652" t="n"/>
      <c r="G663" s="652" t="n"/>
      <c r="H663" s="652" t="n"/>
    </row>
    <row r="664">
      <c r="B664" s="659" t="inlineStr">
        <is>
          <t>5. Vòng quay hàng tồn kho</t>
        </is>
      </c>
      <c r="C664" s="673" t="n"/>
      <c r="D664" s="675" t="n">
        <v>8.17</v>
      </c>
      <c r="E664" s="652">
        <f>D664*C657</f>
        <v/>
      </c>
      <c r="F664" s="652" t="n"/>
      <c r="G664" s="652" t="n"/>
      <c r="H664" s="652" t="n"/>
    </row>
    <row r="665">
      <c r="B665" s="659" t="inlineStr">
        <is>
          <t>6. Vòng quay các khoản phải thu</t>
        </is>
      </c>
      <c r="C665" s="673" t="n"/>
      <c r="D665" s="675" t="n">
        <v>6.5</v>
      </c>
      <c r="E665" s="652">
        <f>D665*C657</f>
        <v/>
      </c>
      <c r="F665" s="652" t="n"/>
      <c r="G665" s="652" t="n"/>
      <c r="H665" s="652" t="n"/>
    </row>
    <row r="666">
      <c r="B666" s="659" t="inlineStr">
        <is>
          <t>7. Hiệu suất sử dụng TSCĐ</t>
        </is>
      </c>
      <c r="C666" s="673" t="n"/>
      <c r="D666" s="675" t="n">
        <v>8.33</v>
      </c>
      <c r="E666" s="652">
        <f>D666*C657</f>
        <v/>
      </c>
      <c r="F666" s="652" t="n"/>
      <c r="G666" s="652" t="n"/>
      <c r="H666" s="652" t="n"/>
    </row>
    <row r="667">
      <c r="B667" s="656" t="inlineStr">
        <is>
          <t>Chỉ tiêu cân nợ</t>
        </is>
      </c>
      <c r="C667" s="685" t="n"/>
      <c r="D667" s="672" t="n"/>
      <c r="E667" s="652" t="n"/>
      <c r="F667" s="648" t="n"/>
      <c r="G667" s="648" t="n"/>
      <c r="H667" s="648" t="n"/>
    </row>
    <row r="668">
      <c r="B668" s="659" t="inlineStr">
        <is>
          <t>8. Tổng nợ phải trả/ Tổng tài sản</t>
        </is>
      </c>
      <c r="C668" s="673" t="n"/>
      <c r="D668" s="676" t="n">
        <v>0.75</v>
      </c>
      <c r="E668" s="652">
        <f>D668*C657</f>
        <v/>
      </c>
      <c r="F668" s="652" t="n"/>
      <c r="G668" s="652" t="n"/>
      <c r="H668" s="652" t="n"/>
    </row>
    <row r="669">
      <c r="B669" s="659" t="inlineStr">
        <is>
          <t>9. Nợ dài dạn/Vốn CSH</t>
        </is>
      </c>
      <c r="C669" s="673" t="n"/>
      <c r="D669" s="676" t="n">
        <v>0.45</v>
      </c>
      <c r="E669" s="652">
        <f>D669*C657</f>
        <v/>
      </c>
      <c r="F669" s="652" t="n"/>
      <c r="G669" s="652" t="n"/>
      <c r="H669" s="652" t="n"/>
    </row>
    <row r="670">
      <c r="B670" s="659" t="inlineStr">
        <is>
          <t>10. Tổng nợ/Vốn CSH</t>
        </is>
      </c>
      <c r="C670" s="673" t="n"/>
      <c r="D670" s="676" t="n">
        <v>1.97</v>
      </c>
      <c r="E670" s="652">
        <f>D670*C657</f>
        <v/>
      </c>
      <c r="F670" s="652" t="n"/>
      <c r="G670" s="652" t="n"/>
      <c r="H670" s="652" t="n"/>
    </row>
    <row r="671">
      <c r="B671" s="656" t="inlineStr">
        <is>
          <t>Chỉ tiêu thu nhập</t>
        </is>
      </c>
      <c r="C671" s="685" t="n"/>
      <c r="D671" s="672" t="n"/>
      <c r="E671" s="652" t="n"/>
      <c r="F671" s="648" t="n"/>
      <c r="G671" s="648" t="n"/>
      <c r="H671" s="648" t="n"/>
    </row>
    <row r="672">
      <c r="B672" s="665" t="inlineStr">
        <is>
          <t>11. Lợi nhuận gộp/Doanh thu thuần</t>
        </is>
      </c>
      <c r="C672" s="673" t="n"/>
      <c r="D672" s="677" t="n">
        <v>0.1017</v>
      </c>
      <c r="E672" s="652">
        <f>D672*C657</f>
        <v/>
      </c>
      <c r="F672" s="652" t="n"/>
      <c r="G672" s="652" t="n"/>
      <c r="H672" s="652" t="n"/>
    </row>
    <row r="673">
      <c r="B673" s="665" t="inlineStr">
        <is>
          <t>12. Lợi nhuận từ hoạt động kinh doanh/Doanh thu thuần</t>
        </is>
      </c>
      <c r="C673" s="673" t="n"/>
      <c r="D673" s="677" t="n">
        <v>0.055</v>
      </c>
      <c r="E673" s="652">
        <f>D673*C657</f>
        <v/>
      </c>
      <c r="F673" s="652" t="n"/>
      <c r="G673" s="652" t="n"/>
      <c r="H673" s="652" t="n"/>
    </row>
    <row r="674">
      <c r="B674" s="665" t="inlineStr">
        <is>
          <t>13. Lợi nhuận sau thuế/Vốn CSH bình quân</t>
        </is>
      </c>
      <c r="C674" s="673" t="n"/>
      <c r="D674" s="677" t="n">
        <v>0.1367</v>
      </c>
      <c r="E674" s="652">
        <f>D674*C657</f>
        <v/>
      </c>
      <c r="F674" s="652" t="n"/>
      <c r="G674" s="652" t="n"/>
      <c r="H674" s="652" t="n"/>
    </row>
    <row r="675">
      <c r="B675" s="665" t="inlineStr">
        <is>
          <t>14. Lợi nhuận sau thuế/Tổng tài sản bình quân</t>
        </is>
      </c>
      <c r="C675" s="673" t="n"/>
      <c r="D675" s="677" t="n">
        <v>0.0433</v>
      </c>
      <c r="E675" s="652">
        <f>D675*C657</f>
        <v/>
      </c>
      <c r="F675" s="652" t="n"/>
      <c r="G675" s="652" t="n"/>
      <c r="H675" s="652" t="n"/>
    </row>
    <row r="676" ht="15.75" customHeight="1" s="782" thickBot="1">
      <c r="B676" s="667" t="inlineStr">
        <is>
          <t>15. EBIT/Chi phí lãi vay</t>
        </is>
      </c>
      <c r="C676" s="678" t="n"/>
      <c r="D676" s="679" t="n">
        <v>2.8</v>
      </c>
      <c r="E676" s="652">
        <f>D676*C657</f>
        <v/>
      </c>
      <c r="F676" s="652" t="n"/>
      <c r="G676" s="652" t="n"/>
      <c r="H676" s="652" t="n"/>
    </row>
    <row r="677" ht="15.75" customHeight="1" s="782" thickTop="1">
      <c r="B677" s="670" t="inlineStr">
        <is>
          <t>Kinh doanh vận tải bộ và đường sông</t>
        </is>
      </c>
      <c r="C677" s="671">
        <f>IF(B677=$G$218,100%,0%)</f>
        <v/>
      </c>
      <c r="D677" s="687" t="n"/>
      <c r="E677" s="688" t="n"/>
      <c r="F677" s="688" t="n"/>
      <c r="G677" s="688" t="n"/>
      <c r="H677" s="688" t="n"/>
    </row>
    <row r="678">
      <c r="B678" s="656" t="inlineStr">
        <is>
          <t>Chỉ tiêu thanh khoản</t>
        </is>
      </c>
      <c r="C678" s="657" t="n"/>
      <c r="D678" s="672" t="n"/>
      <c r="E678" s="648" t="n"/>
      <c r="F678" s="648" t="n"/>
      <c r="G678" s="648" t="n"/>
      <c r="H678" s="648" t="n"/>
    </row>
    <row r="679">
      <c r="B679" s="659" t="inlineStr">
        <is>
          <t>1.Khả năng thanh toán hiện hành</t>
        </is>
      </c>
      <c r="C679" s="673" t="n"/>
      <c r="D679" s="675" t="n">
        <v>1.07</v>
      </c>
      <c r="E679" s="652">
        <f>C677*D679</f>
        <v/>
      </c>
      <c r="F679" s="652" t="n"/>
      <c r="G679" s="652" t="n"/>
      <c r="H679" s="652" t="n"/>
    </row>
    <row r="680">
      <c r="B680" s="659" t="inlineStr">
        <is>
          <t>2. Khả năng thanh toán nhanh</t>
        </is>
      </c>
      <c r="C680" s="673" t="n"/>
      <c r="D680" s="675" t="n">
        <v>0.73</v>
      </c>
      <c r="E680" s="652">
        <f>D680*C677</f>
        <v/>
      </c>
      <c r="F680" s="652" t="n"/>
      <c r="G680" s="652" t="n"/>
      <c r="H680" s="652" t="n"/>
    </row>
    <row r="681">
      <c r="B681" s="659" t="inlineStr">
        <is>
          <t>3. Khả năng thanh toán tức thời</t>
        </is>
      </c>
      <c r="C681" s="673" t="n"/>
      <c r="D681" s="675" t="n">
        <v>0.37</v>
      </c>
      <c r="E681" s="652">
        <f>D681*C677</f>
        <v/>
      </c>
      <c r="F681" s="652" t="n"/>
      <c r="G681" s="652" t="n"/>
      <c r="H681" s="652" t="n"/>
    </row>
    <row r="682">
      <c r="B682" s="656" t="inlineStr">
        <is>
          <t>Chỉ tiêu hoạt động</t>
        </is>
      </c>
      <c r="C682" s="657" t="n"/>
      <c r="D682" s="672" t="n"/>
      <c r="E682" s="652" t="n"/>
      <c r="F682" s="648" t="n"/>
      <c r="G682" s="648" t="n"/>
      <c r="H682" s="648" t="n"/>
    </row>
    <row r="683">
      <c r="B683" s="659" t="inlineStr">
        <is>
          <t>4. Vòng quay vốn lưu động</t>
        </is>
      </c>
      <c r="C683" s="673" t="n"/>
      <c r="D683" s="675" t="n">
        <v>5.5</v>
      </c>
      <c r="E683" s="652">
        <f>D683*C677</f>
        <v/>
      </c>
      <c r="F683" s="652" t="n"/>
      <c r="G683" s="652" t="n"/>
      <c r="H683" s="652" t="n"/>
    </row>
    <row r="684">
      <c r="B684" s="659" t="inlineStr">
        <is>
          <t>5. Vòng quay hàng tồn kho</t>
        </is>
      </c>
      <c r="C684" s="673" t="n"/>
      <c r="D684" s="675" t="n">
        <v>15</v>
      </c>
      <c r="E684" s="652">
        <f>D684*C677</f>
        <v/>
      </c>
      <c r="F684" s="652" t="n"/>
      <c r="G684" s="652" t="n"/>
      <c r="H684" s="652" t="n"/>
    </row>
    <row r="685">
      <c r="B685" s="659" t="inlineStr">
        <is>
          <t>6. Vòng quay các khoản phải thu</t>
        </is>
      </c>
      <c r="C685" s="673" t="n"/>
      <c r="D685" s="675" t="n">
        <v>14.33</v>
      </c>
      <c r="E685" s="652">
        <f>D685*C677</f>
        <v/>
      </c>
      <c r="F685" s="652" t="n"/>
      <c r="G685" s="652" t="n"/>
      <c r="H685" s="652" t="n"/>
    </row>
    <row r="686">
      <c r="B686" s="659" t="inlineStr">
        <is>
          <t>7. Hiệu suất sử dụng TSCĐ</t>
        </is>
      </c>
      <c r="C686" s="673" t="n"/>
      <c r="D686" s="675" t="n">
        <v>1.97</v>
      </c>
      <c r="E686" s="652">
        <f>D686*C677</f>
        <v/>
      </c>
      <c r="F686" s="652" t="n"/>
      <c r="G686" s="652" t="n"/>
      <c r="H686" s="652" t="n"/>
    </row>
    <row r="687">
      <c r="B687" s="656" t="inlineStr">
        <is>
          <t>Chỉ tiêu cân nợ</t>
        </is>
      </c>
      <c r="C687" s="657" t="n"/>
      <c r="D687" s="672" t="n"/>
      <c r="E687" s="652" t="n"/>
      <c r="F687" s="648" t="n"/>
      <c r="G687" s="648" t="n"/>
      <c r="H687" s="648" t="n"/>
    </row>
    <row r="688">
      <c r="B688" s="659" t="inlineStr">
        <is>
          <t>8. Tổng nợ phải trả/ Tổng tài sản</t>
        </is>
      </c>
      <c r="C688" s="673" t="n"/>
      <c r="D688" s="677" t="n">
        <v>0.6667</v>
      </c>
      <c r="E688" s="652">
        <f>D688*C677</f>
        <v/>
      </c>
      <c r="F688" s="652" t="n"/>
      <c r="G688" s="652" t="n"/>
      <c r="H688" s="652" t="n"/>
    </row>
    <row r="689">
      <c r="B689" s="659" t="inlineStr">
        <is>
          <t>9. Nợ dài dạn/Vốn CSH</t>
        </is>
      </c>
      <c r="C689" s="673" t="n"/>
      <c r="D689" s="676" t="n">
        <v>0.65</v>
      </c>
      <c r="E689" s="652">
        <f>D689*C677</f>
        <v/>
      </c>
      <c r="F689" s="652" t="n"/>
      <c r="G689" s="652" t="n"/>
      <c r="H689" s="652" t="n"/>
    </row>
    <row r="690">
      <c r="B690" s="665" t="inlineStr">
        <is>
          <t>10. Tổng nợ/Vốn CSH</t>
        </is>
      </c>
      <c r="C690" s="673" t="n"/>
      <c r="D690" s="676" t="n">
        <v>1.4</v>
      </c>
      <c r="E690" s="652">
        <f>D690*C677</f>
        <v/>
      </c>
      <c r="F690" s="652" t="n"/>
      <c r="G690" s="652" t="n"/>
      <c r="H690" s="652" t="n"/>
    </row>
    <row r="691">
      <c r="B691" s="656" t="inlineStr">
        <is>
          <t>Chỉ tiêu thu nhập</t>
        </is>
      </c>
      <c r="C691" s="657" t="n"/>
      <c r="D691" s="672" t="n"/>
      <c r="E691" s="652" t="n"/>
      <c r="F691" s="648" t="n"/>
      <c r="G691" s="648" t="n"/>
      <c r="H691" s="648" t="n"/>
    </row>
    <row r="692">
      <c r="B692" s="665" t="inlineStr">
        <is>
          <t>11. Lợi nhuận gộp/Doanh thu thuần</t>
        </is>
      </c>
      <c r="C692" s="673" t="n"/>
      <c r="D692" s="677" t="n">
        <v>0.1867</v>
      </c>
      <c r="E692" s="652">
        <f>D692*C677</f>
        <v/>
      </c>
      <c r="F692" s="652" t="n"/>
      <c r="G692" s="652" t="n"/>
      <c r="H692" s="652" t="n"/>
    </row>
    <row r="693">
      <c r="B693" s="665" t="inlineStr">
        <is>
          <t>12. Lợi nhuận từ hoạt động kinh doanh/Doanh thu thuần</t>
        </is>
      </c>
      <c r="C693" s="673" t="n"/>
      <c r="D693" s="677" t="n">
        <v>0.1033</v>
      </c>
      <c r="E693" s="652">
        <f>D693*C677</f>
        <v/>
      </c>
      <c r="F693" s="652" t="n"/>
      <c r="G693" s="652" t="n"/>
      <c r="H693" s="652" t="n"/>
    </row>
    <row r="694">
      <c r="B694" s="665" t="inlineStr">
        <is>
          <t>13. Lợi nhuận sau thuế/Vốn CSH bình quân</t>
        </is>
      </c>
      <c r="C694" s="673" t="n"/>
      <c r="D694" s="676" t="n">
        <v>0.14</v>
      </c>
      <c r="E694" s="652">
        <f>D694*C677</f>
        <v/>
      </c>
      <c r="F694" s="652" t="n"/>
      <c r="G694" s="652" t="n"/>
      <c r="H694" s="652" t="n"/>
    </row>
    <row r="695">
      <c r="B695" s="665" t="inlineStr">
        <is>
          <t>14. Lợi nhuận sau thuế/Tổng tài sản bình quân</t>
        </is>
      </c>
      <c r="C695" s="673" t="n"/>
      <c r="D695" s="677" t="n">
        <v>0.0617</v>
      </c>
      <c r="E695" s="652">
        <f>D695*C677</f>
        <v/>
      </c>
      <c r="F695" s="652" t="n"/>
      <c r="G695" s="652" t="n"/>
      <c r="H695" s="652" t="n"/>
    </row>
    <row r="696" ht="15.75" customHeight="1" s="782" thickBot="1">
      <c r="B696" s="667" t="inlineStr">
        <is>
          <t>15. EBIT/Chi phí lãi vay</t>
        </is>
      </c>
      <c r="C696" s="678" t="n"/>
      <c r="D696" s="679" t="n">
        <v>2.5</v>
      </c>
      <c r="E696" s="652">
        <f>D696*C677</f>
        <v/>
      </c>
      <c r="F696" s="652" t="n"/>
      <c r="G696" s="652" t="n"/>
      <c r="H696" s="652" t="n"/>
    </row>
    <row r="697" ht="15.75" customHeight="1" s="782" thickTop="1">
      <c r="B697" s="670" t="inlineStr">
        <is>
          <t>Kinh doanh vận tải biển</t>
        </is>
      </c>
      <c r="C697" s="671">
        <f>IF(B697=$G$218,100%,0%)</f>
        <v/>
      </c>
      <c r="D697" s="671" t="n"/>
      <c r="E697" s="644" t="n"/>
      <c r="F697" s="644" t="n"/>
      <c r="G697" s="644" t="n"/>
      <c r="H697" s="644" t="n"/>
    </row>
    <row r="698">
      <c r="B698" s="656" t="inlineStr">
        <is>
          <t>Chỉ tiêu thanh khoản</t>
        </is>
      </c>
      <c r="C698" s="685" t="n"/>
      <c r="D698" s="672" t="n"/>
      <c r="E698" s="648" t="n"/>
      <c r="F698" s="648" t="n"/>
      <c r="G698" s="648" t="n"/>
      <c r="H698" s="648" t="n"/>
    </row>
    <row r="699">
      <c r="B699" s="659" t="inlineStr">
        <is>
          <t>1.Khả năng thanh toán hiện hành</t>
        </is>
      </c>
      <c r="C699" s="673" t="n"/>
      <c r="D699" s="675" t="n">
        <v>1.07</v>
      </c>
      <c r="E699" s="652">
        <f>C697*D699</f>
        <v/>
      </c>
      <c r="F699" s="652" t="n"/>
      <c r="G699" s="652" t="n"/>
      <c r="H699" s="652" t="n"/>
    </row>
    <row r="700">
      <c r="B700" s="659" t="inlineStr">
        <is>
          <t>2. Khả năng thanh toán nhanh</t>
        </is>
      </c>
      <c r="C700" s="673" t="n"/>
      <c r="D700" s="675" t="n">
        <v>0.87</v>
      </c>
      <c r="E700" s="652">
        <f>D700*C697</f>
        <v/>
      </c>
      <c r="F700" s="652" t="n"/>
      <c r="G700" s="652" t="n"/>
      <c r="H700" s="652" t="n"/>
    </row>
    <row r="701">
      <c r="B701" s="659" t="inlineStr">
        <is>
          <t>3. Khả năng thanh toán tức thời</t>
        </is>
      </c>
      <c r="C701" s="673" t="n"/>
      <c r="D701" s="675" t="n">
        <v>0.37</v>
      </c>
      <c r="E701" s="652">
        <f>D701*C697</f>
        <v/>
      </c>
      <c r="F701" s="652" t="n"/>
      <c r="G701" s="652" t="n"/>
      <c r="H701" s="652" t="n"/>
    </row>
    <row r="702">
      <c r="B702" s="656" t="inlineStr">
        <is>
          <t>Chỉ tiêu hoạt động</t>
        </is>
      </c>
      <c r="C702" s="685" t="n"/>
      <c r="D702" s="672" t="n"/>
      <c r="E702" s="652" t="n"/>
      <c r="F702" s="648" t="n"/>
      <c r="G702" s="648" t="n"/>
      <c r="H702" s="648" t="n"/>
    </row>
    <row r="703">
      <c r="B703" s="659" t="inlineStr">
        <is>
          <t>4. Vòng quay vốn lưu động</t>
        </is>
      </c>
      <c r="C703" s="673" t="n"/>
      <c r="D703" s="675" t="n">
        <v>4.77</v>
      </c>
      <c r="E703" s="652">
        <f>D703*C697</f>
        <v/>
      </c>
      <c r="F703" s="652" t="n"/>
      <c r="G703" s="652" t="n"/>
      <c r="H703" s="652" t="n"/>
    </row>
    <row r="704">
      <c r="B704" s="659" t="inlineStr">
        <is>
          <t>5. Vòng quay hàng tồn kho</t>
        </is>
      </c>
      <c r="C704" s="673" t="n"/>
      <c r="D704" s="675" t="n">
        <v>15</v>
      </c>
      <c r="E704" s="652">
        <f>D704*C697</f>
        <v/>
      </c>
      <c r="F704" s="652" t="n"/>
      <c r="G704" s="652" t="n"/>
      <c r="H704" s="652" t="n"/>
    </row>
    <row r="705">
      <c r="B705" s="659" t="inlineStr">
        <is>
          <t>6. Vòng quay các khoản phải thu</t>
        </is>
      </c>
      <c r="C705" s="673" t="n"/>
      <c r="D705" s="675" t="n">
        <v>5.67</v>
      </c>
      <c r="E705" s="652">
        <f>D705*C697</f>
        <v/>
      </c>
      <c r="F705" s="652" t="n"/>
      <c r="G705" s="652" t="n"/>
      <c r="H705" s="652" t="n"/>
    </row>
    <row r="706">
      <c r="B706" s="659" t="inlineStr">
        <is>
          <t>7. Hiệu suất sử dụng TSCĐ</t>
        </is>
      </c>
      <c r="C706" s="673" t="n"/>
      <c r="D706" s="675" t="n">
        <v>1.97</v>
      </c>
      <c r="E706" s="652">
        <f>D706*C697</f>
        <v/>
      </c>
      <c r="F706" s="652" t="n"/>
      <c r="G706" s="652" t="n"/>
      <c r="H706" s="652" t="n"/>
    </row>
    <row r="707">
      <c r="B707" s="656" t="inlineStr">
        <is>
          <t>Chỉ tiêu cân nợ</t>
        </is>
      </c>
      <c r="C707" s="685" t="n"/>
      <c r="D707" s="672" t="n"/>
      <c r="E707" s="652" t="n"/>
      <c r="F707" s="648" t="n"/>
      <c r="G707" s="648" t="n"/>
      <c r="H707" s="648" t="n"/>
    </row>
    <row r="708">
      <c r="B708" s="659" t="inlineStr">
        <is>
          <t>8. Tổng nợ phải trả/ Tổng tài sản</t>
        </is>
      </c>
      <c r="C708" s="673" t="n"/>
      <c r="D708" s="676" t="n">
        <v>0.67</v>
      </c>
      <c r="E708" s="652">
        <f>D708*C697</f>
        <v/>
      </c>
      <c r="F708" s="652" t="n"/>
      <c r="G708" s="652" t="n"/>
      <c r="H708" s="652" t="n"/>
    </row>
    <row r="709">
      <c r="B709" s="659" t="inlineStr">
        <is>
          <t>9. Nợ dài dạn/Vốn CSH</t>
        </is>
      </c>
      <c r="C709" s="673" t="n"/>
      <c r="D709" s="676" t="n">
        <v>1.55</v>
      </c>
      <c r="E709" s="652">
        <f>D709*C697</f>
        <v/>
      </c>
      <c r="F709" s="652" t="n"/>
      <c r="G709" s="652" t="n"/>
      <c r="H709" s="652" t="n"/>
    </row>
    <row r="710">
      <c r="B710" s="659" t="inlineStr">
        <is>
          <t>10. Tổng nợ/Vốn CSH</t>
        </is>
      </c>
      <c r="C710" s="673" t="n"/>
      <c r="D710" s="676" t="n">
        <v>1.4</v>
      </c>
      <c r="E710" s="652">
        <f>D710*C697</f>
        <v/>
      </c>
      <c r="F710" s="652" t="n"/>
      <c r="G710" s="652" t="n"/>
      <c r="H710" s="652" t="n"/>
    </row>
    <row r="711">
      <c r="B711" s="656" t="inlineStr">
        <is>
          <t>Chỉ tiêu thu nhập</t>
        </is>
      </c>
      <c r="C711" s="685" t="n"/>
      <c r="D711" s="672" t="n"/>
      <c r="E711" s="652" t="n"/>
      <c r="F711" s="648" t="n"/>
      <c r="G711" s="648" t="n"/>
      <c r="H711" s="648" t="n"/>
    </row>
    <row r="712">
      <c r="B712" s="665" t="inlineStr">
        <is>
          <t>11. Lợi nhuận gộp/Doanh thu thuần</t>
        </is>
      </c>
      <c r="C712" s="673" t="n"/>
      <c r="D712" s="677" t="n">
        <v>0.1867</v>
      </c>
      <c r="E712" s="652">
        <f>D712*C697</f>
        <v/>
      </c>
      <c r="F712" s="652" t="n"/>
      <c r="G712" s="652" t="n"/>
      <c r="H712" s="652" t="n"/>
    </row>
    <row r="713">
      <c r="B713" s="665" t="inlineStr">
        <is>
          <t>12. Lợi nhuận từ hoạt động kinh doanh/Doanh thu thuần</t>
        </is>
      </c>
      <c r="C713" s="673" t="n"/>
      <c r="D713" s="677" t="n">
        <v>0.1043</v>
      </c>
      <c r="E713" s="652">
        <f>D713*C697</f>
        <v/>
      </c>
      <c r="F713" s="652" t="n"/>
      <c r="G713" s="652" t="n"/>
      <c r="H713" s="652" t="n"/>
    </row>
    <row r="714">
      <c r="B714" s="665" t="inlineStr">
        <is>
          <t>13. Lợi nhuận sau thuế/Vốn CSH bình quân</t>
        </is>
      </c>
      <c r="C714" s="673" t="n"/>
      <c r="D714" s="676" t="n">
        <v>0.14</v>
      </c>
      <c r="E714" s="652">
        <f>D714*C697</f>
        <v/>
      </c>
      <c r="F714" s="652" t="n"/>
      <c r="G714" s="652" t="n"/>
      <c r="H714" s="652" t="n"/>
    </row>
    <row r="715">
      <c r="B715" s="665" t="inlineStr">
        <is>
          <t>14. Lợi nhuận sau thuế/Tổng tài sản bình quân</t>
        </is>
      </c>
      <c r="C715" s="673" t="n"/>
      <c r="D715" s="677" t="n">
        <v>0.0617</v>
      </c>
      <c r="E715" s="652">
        <f>D715*C697</f>
        <v/>
      </c>
      <c r="F715" s="652" t="n"/>
      <c r="G715" s="652" t="n"/>
      <c r="H715" s="652" t="n"/>
    </row>
    <row r="716" ht="15.75" customHeight="1" s="782" thickBot="1">
      <c r="B716" s="667" t="inlineStr">
        <is>
          <t>15. EBIT/Chi phí lãi vay</t>
        </is>
      </c>
      <c r="C716" s="678" t="n"/>
      <c r="D716" s="679" t="n">
        <v>2.5</v>
      </c>
      <c r="E716" s="652">
        <f>D716*C697</f>
        <v/>
      </c>
      <c r="F716" s="652" t="n"/>
      <c r="G716" s="652" t="n"/>
      <c r="H716" s="652" t="n"/>
    </row>
    <row r="717" ht="29.25" customHeight="1" s="782" thickTop="1">
      <c r="B717" s="670" t="inlineStr">
        <is>
          <t>Kinh doanh dịch vụ khách sạn, du lịch, ăn uống, vui chơi giải trí</t>
        </is>
      </c>
      <c r="C717" s="671">
        <f>IF(B717=$G$218,100%,0%)</f>
        <v/>
      </c>
      <c r="D717" s="671" t="n"/>
      <c r="E717" s="644" t="n"/>
      <c r="F717" s="644" t="n"/>
      <c r="G717" s="644" t="n"/>
      <c r="H717" s="644" t="n"/>
    </row>
    <row r="718">
      <c r="B718" s="656" t="inlineStr">
        <is>
          <t>Chỉ tiêu thanh khoản</t>
        </is>
      </c>
      <c r="C718" s="657" t="n"/>
      <c r="D718" s="672" t="n"/>
      <c r="E718" s="648" t="n"/>
      <c r="F718" s="648" t="n"/>
      <c r="G718" s="648" t="n"/>
      <c r="H718" s="648" t="n"/>
    </row>
    <row r="719">
      <c r="B719" s="659" t="inlineStr">
        <is>
          <t>1.Khả năng thanh toán hiện hành</t>
        </is>
      </c>
      <c r="C719" s="673" t="n"/>
      <c r="D719" s="675" t="n">
        <v>1.2</v>
      </c>
      <c r="E719" s="652">
        <f>C717*D719</f>
        <v/>
      </c>
      <c r="F719" s="652" t="n"/>
      <c r="G719" s="652" t="n"/>
      <c r="H719" s="652" t="n"/>
    </row>
    <row r="720">
      <c r="B720" s="659" t="inlineStr">
        <is>
          <t>2. Khả năng thanh toán nhanh</t>
        </is>
      </c>
      <c r="C720" s="673" t="n"/>
      <c r="D720" s="675" t="n">
        <v>0.9</v>
      </c>
      <c r="E720" s="652">
        <f>D720*C717</f>
        <v/>
      </c>
      <c r="F720" s="652" t="n"/>
      <c r="G720" s="652" t="n"/>
      <c r="H720" s="652" t="n"/>
    </row>
    <row r="721">
      <c r="B721" s="659" t="inlineStr">
        <is>
          <t>3. Khả năng thanh toán tức thời</t>
        </is>
      </c>
      <c r="C721" s="673" t="n"/>
      <c r="D721" s="675" t="n">
        <v>0.4</v>
      </c>
      <c r="E721" s="652">
        <f>D721*C717</f>
        <v/>
      </c>
      <c r="F721" s="652" t="n"/>
      <c r="G721" s="652" t="n"/>
      <c r="H721" s="652" t="n"/>
    </row>
    <row r="722">
      <c r="B722" s="656" t="inlineStr">
        <is>
          <t>Chỉ tiêu hoạt động</t>
        </is>
      </c>
      <c r="C722" s="657" t="n"/>
      <c r="D722" s="672" t="n"/>
      <c r="E722" s="652" t="n"/>
      <c r="F722" s="648" t="n"/>
      <c r="G722" s="648" t="n"/>
      <c r="H722" s="648" t="n"/>
    </row>
    <row r="723">
      <c r="B723" s="659" t="inlineStr">
        <is>
          <t>4. Vòng quay vốn lưu động</t>
        </is>
      </c>
      <c r="C723" s="673" t="n"/>
      <c r="D723" s="675" t="n">
        <v>4.3</v>
      </c>
      <c r="E723" s="652">
        <f>D723*C717</f>
        <v/>
      </c>
      <c r="F723" s="652" t="n"/>
      <c r="G723" s="652" t="n"/>
      <c r="H723" s="652" t="n"/>
    </row>
    <row r="724">
      <c r="B724" s="659" t="inlineStr">
        <is>
          <t>5. Vòng quay hàng tồn kho</t>
        </is>
      </c>
      <c r="C724" s="673" t="n"/>
      <c r="D724" s="675" t="n">
        <v>21</v>
      </c>
      <c r="E724" s="652">
        <f>D724*C717</f>
        <v/>
      </c>
      <c r="F724" s="652" t="n"/>
      <c r="G724" s="652" t="n"/>
      <c r="H724" s="652" t="n"/>
    </row>
    <row r="725">
      <c r="B725" s="659" t="inlineStr">
        <is>
          <t>6. Vòng quay các khoản phải thu</t>
        </is>
      </c>
      <c r="C725" s="673" t="n"/>
      <c r="D725" s="675" t="n">
        <v>26</v>
      </c>
      <c r="E725" s="652">
        <f>D725*C717</f>
        <v/>
      </c>
      <c r="F725" s="652" t="n"/>
      <c r="G725" s="652" t="n"/>
      <c r="H725" s="652" t="n"/>
    </row>
    <row r="726">
      <c r="B726" s="659" t="inlineStr">
        <is>
          <t>7. Hiệu suất sử dụng TSCĐ</t>
        </is>
      </c>
      <c r="C726" s="673" t="n"/>
      <c r="D726" s="675" t="n">
        <v>0.8</v>
      </c>
      <c r="E726" s="652">
        <f>D726*C717</f>
        <v/>
      </c>
      <c r="F726" s="652" t="n"/>
      <c r="G726" s="652" t="n"/>
      <c r="H726" s="652" t="n"/>
    </row>
    <row r="727">
      <c r="B727" s="656" t="inlineStr">
        <is>
          <t>Chỉ tiêu cân nợ</t>
        </is>
      </c>
      <c r="C727" s="657" t="n"/>
      <c r="D727" s="672" t="n"/>
      <c r="E727" s="652" t="n"/>
      <c r="F727" s="648" t="n"/>
      <c r="G727" s="648" t="n"/>
      <c r="H727" s="648" t="n"/>
    </row>
    <row r="728">
      <c r="B728" s="659" t="inlineStr">
        <is>
          <t>8. Tổng nợ phải trả/ Tổng tài sản</t>
        </is>
      </c>
      <c r="C728" s="673" t="n"/>
      <c r="D728" s="676" t="n">
        <v>0.68</v>
      </c>
      <c r="E728" s="652">
        <f>D728*C717</f>
        <v/>
      </c>
      <c r="F728" s="652" t="n"/>
      <c r="G728" s="652" t="n"/>
      <c r="H728" s="652" t="n"/>
    </row>
    <row r="729">
      <c r="B729" s="659" t="inlineStr">
        <is>
          <t>9. Nợ dài dạn/Vốn CSH</t>
        </is>
      </c>
      <c r="C729" s="673" t="n"/>
      <c r="D729" s="676" t="n">
        <v>1.25</v>
      </c>
      <c r="E729" s="652">
        <f>D729*C717</f>
        <v/>
      </c>
      <c r="F729" s="652" t="n"/>
      <c r="G729" s="652" t="n"/>
      <c r="H729" s="652" t="n"/>
    </row>
    <row r="730">
      <c r="B730" s="659" t="inlineStr">
        <is>
          <t>10. Tổng nợ/Vốn CSH</t>
        </is>
      </c>
      <c r="C730" s="673" t="n"/>
      <c r="D730" s="676" t="n">
        <v>1.77</v>
      </c>
      <c r="E730" s="652">
        <f>D730*C717</f>
        <v/>
      </c>
      <c r="F730" s="652" t="n"/>
      <c r="G730" s="652" t="n"/>
      <c r="H730" s="652" t="n"/>
    </row>
    <row r="731">
      <c r="B731" s="656" t="inlineStr">
        <is>
          <t>Chỉ tiêu thu nhập</t>
        </is>
      </c>
      <c r="C731" s="657" t="n"/>
      <c r="D731" s="672" t="n"/>
      <c r="E731" s="652" t="n"/>
      <c r="F731" s="648" t="n"/>
      <c r="G731" s="648" t="n"/>
      <c r="H731" s="648" t="n"/>
    </row>
    <row r="732">
      <c r="B732" s="665" t="inlineStr">
        <is>
          <t>11. Lợi nhuận gộp/Doanh thu thuần</t>
        </is>
      </c>
      <c r="C732" s="673" t="n"/>
      <c r="D732" s="676" t="n">
        <v>0.38</v>
      </c>
      <c r="E732" s="652">
        <f>D732*C717</f>
        <v/>
      </c>
      <c r="F732" s="652" t="n"/>
      <c r="G732" s="652" t="n"/>
      <c r="H732" s="652" t="n"/>
    </row>
    <row r="733">
      <c r="B733" s="665" t="inlineStr">
        <is>
          <t>12. Lợi nhuận từ hoạt động kinh doanh/Doanh thu thuần</t>
        </is>
      </c>
      <c r="C733" s="673" t="n"/>
      <c r="D733" s="676" t="n">
        <v>0.14</v>
      </c>
      <c r="E733" s="652">
        <f>D733*C717</f>
        <v/>
      </c>
      <c r="F733" s="652" t="n"/>
      <c r="G733" s="652" t="n"/>
      <c r="H733" s="652" t="n"/>
    </row>
    <row r="734">
      <c r="B734" s="665" t="inlineStr">
        <is>
          <t>13. Lợi nhuận sau thuế/Vốn CSH bình quân</t>
        </is>
      </c>
      <c r="C734" s="673" t="n"/>
      <c r="D734" s="676" t="n">
        <v>0.2</v>
      </c>
      <c r="E734" s="652">
        <f>D734*C717</f>
        <v/>
      </c>
      <c r="F734" s="652" t="n"/>
      <c r="G734" s="652" t="n"/>
      <c r="H734" s="652" t="n"/>
    </row>
    <row r="735">
      <c r="B735" s="665" t="inlineStr">
        <is>
          <t>14. Lợi nhuận sau thuế/Tổng tài sản bình quân</t>
        </is>
      </c>
      <c r="C735" s="673" t="n"/>
      <c r="D735" s="676" t="n">
        <v>0.09</v>
      </c>
      <c r="E735" s="652">
        <f>D735*C717</f>
        <v/>
      </c>
      <c r="F735" s="652" t="n"/>
      <c r="G735" s="652" t="n"/>
      <c r="H735" s="652" t="n"/>
    </row>
    <row r="736" ht="15.75" customHeight="1" s="782" thickBot="1">
      <c r="B736" s="667" t="inlineStr">
        <is>
          <t>15. EBIT/Chi phí lãi vay</t>
        </is>
      </c>
      <c r="C736" s="678" t="n"/>
      <c r="D736" s="679" t="n">
        <v>3.5</v>
      </c>
      <c r="E736" s="652">
        <f>D736*C717</f>
        <v/>
      </c>
      <c r="F736" s="652" t="n"/>
      <c r="G736" s="652" t="n"/>
      <c r="H736" s="652" t="n"/>
    </row>
    <row r="737" ht="15.75" customHeight="1" s="782" thickTop="1">
      <c r="B737" s="670" t="inlineStr">
        <is>
          <t>Kinh doanh bất động sản và cơ sở hạ tầng</t>
        </is>
      </c>
      <c r="C737" s="671">
        <f>IF(B737=$G$218,100%,0%)</f>
        <v/>
      </c>
      <c r="D737" s="671" t="n"/>
      <c r="E737" s="644" t="n"/>
      <c r="F737" s="644" t="n"/>
      <c r="G737" s="644" t="n"/>
      <c r="H737" s="644" t="n"/>
    </row>
    <row r="738">
      <c r="B738" s="656" t="inlineStr">
        <is>
          <t>Chỉ tiêu thanh khoản</t>
        </is>
      </c>
      <c r="C738" s="685" t="n"/>
      <c r="D738" s="672" t="n"/>
      <c r="E738" s="648" t="n"/>
      <c r="F738" s="648" t="n"/>
      <c r="G738" s="648" t="n"/>
      <c r="H738" s="648" t="n"/>
    </row>
    <row r="739">
      <c r="B739" s="659" t="inlineStr">
        <is>
          <t>1.Khả năng thanh toán hiện hành</t>
        </is>
      </c>
      <c r="C739" s="673" t="n"/>
      <c r="D739" s="675" t="n">
        <v>1.17</v>
      </c>
      <c r="E739" s="652">
        <f>C737*D739</f>
        <v/>
      </c>
      <c r="F739" s="652" t="n"/>
      <c r="G739" s="652" t="n"/>
      <c r="H739" s="652" t="n"/>
    </row>
    <row r="740">
      <c r="B740" s="659" t="inlineStr">
        <is>
          <t>2. Khả năng thanh toán nhanh</t>
        </is>
      </c>
      <c r="C740" s="673" t="n"/>
      <c r="D740" s="675" t="n">
        <v>0.68</v>
      </c>
      <c r="E740" s="652">
        <f>D740*C737</f>
        <v/>
      </c>
      <c r="F740" s="652" t="n"/>
      <c r="G740" s="652" t="n"/>
      <c r="H740" s="652" t="n"/>
    </row>
    <row r="741">
      <c r="B741" s="659" t="inlineStr">
        <is>
          <t>3. Khả năng thanh toán tức thời</t>
        </is>
      </c>
      <c r="C741" s="673" t="n"/>
      <c r="D741" s="675" t="n">
        <v>0.16</v>
      </c>
      <c r="E741" s="652">
        <f>D741*C737</f>
        <v/>
      </c>
      <c r="F741" s="652" t="n"/>
      <c r="G741" s="652" t="n"/>
      <c r="H741" s="652" t="n"/>
    </row>
    <row r="742">
      <c r="B742" s="656" t="inlineStr">
        <is>
          <t>Chỉ tiêu hoạt động</t>
        </is>
      </c>
      <c r="C742" s="685" t="n"/>
      <c r="D742" s="672" t="n"/>
      <c r="E742" s="652" t="n"/>
      <c r="F742" s="648" t="n"/>
      <c r="G742" s="648" t="n"/>
      <c r="H742" s="648" t="n"/>
    </row>
    <row r="743">
      <c r="B743" s="659" t="inlineStr">
        <is>
          <t>4. Vòng quay vốn lưu động</t>
        </is>
      </c>
      <c r="C743" s="673" t="n"/>
      <c r="D743" s="675" t="n">
        <v>1.4</v>
      </c>
      <c r="E743" s="652">
        <f>D743*C737</f>
        <v/>
      </c>
      <c r="F743" s="652" t="n"/>
      <c r="G743" s="652" t="n"/>
      <c r="H743" s="652" t="n"/>
    </row>
    <row r="744">
      <c r="B744" s="659" t="inlineStr">
        <is>
          <t>5. Vòng quay hàng tồn kho</t>
        </is>
      </c>
      <c r="C744" s="673" t="n"/>
      <c r="D744" s="675" t="n">
        <v>1.97</v>
      </c>
      <c r="E744" s="652">
        <f>D744*C737</f>
        <v/>
      </c>
      <c r="F744" s="652" t="n"/>
      <c r="G744" s="652" t="n"/>
      <c r="H744" s="652" t="n"/>
    </row>
    <row r="745">
      <c r="B745" s="659" t="inlineStr">
        <is>
          <t>6. Vòng quay các khoản phải thu</t>
        </is>
      </c>
      <c r="C745" s="673" t="n"/>
      <c r="D745" s="675" t="n">
        <v>3.17</v>
      </c>
      <c r="E745" s="652">
        <f>D745*C737</f>
        <v/>
      </c>
      <c r="F745" s="652" t="n"/>
      <c r="G745" s="652" t="n"/>
      <c r="H745" s="652" t="n"/>
    </row>
    <row r="746">
      <c r="B746" s="659" t="inlineStr">
        <is>
          <t>7. Hiệu suất sử dụng TSCĐ</t>
        </is>
      </c>
      <c r="C746" s="673" t="n"/>
      <c r="D746" s="675" t="n">
        <v>4.73</v>
      </c>
      <c r="E746" s="652">
        <f>D746*C737</f>
        <v/>
      </c>
      <c r="F746" s="652" t="n"/>
      <c r="G746" s="652" t="n"/>
      <c r="H746" s="652" t="n"/>
    </row>
    <row r="747">
      <c r="B747" s="656" t="inlineStr">
        <is>
          <t>Chỉ tiêu cân nợ</t>
        </is>
      </c>
      <c r="C747" s="685" t="n"/>
      <c r="D747" s="675" t="n"/>
      <c r="E747" s="652" t="n"/>
      <c r="F747" s="652" t="n"/>
      <c r="G747" s="652" t="n"/>
      <c r="H747" s="652" t="n"/>
    </row>
    <row r="748">
      <c r="B748" s="659" t="inlineStr">
        <is>
          <t>8. Tổng nợ phải trả/ Tổng tài sản</t>
        </is>
      </c>
      <c r="C748" s="673" t="n"/>
      <c r="D748" s="676" t="n">
        <v>0.77</v>
      </c>
      <c r="E748" s="652">
        <f>D748*C737</f>
        <v/>
      </c>
      <c r="F748" s="652" t="n"/>
      <c r="G748" s="652" t="n"/>
      <c r="H748" s="652" t="n"/>
    </row>
    <row r="749">
      <c r="B749" s="659" t="inlineStr">
        <is>
          <t>9. Nợ dài dạn/Vốn CSH</t>
        </is>
      </c>
      <c r="C749" s="673" t="n"/>
      <c r="D749" s="676" t="n">
        <v>1.67</v>
      </c>
      <c r="E749" s="652">
        <f>D749*C737</f>
        <v/>
      </c>
      <c r="F749" s="652" t="n"/>
      <c r="G749" s="652" t="n"/>
      <c r="H749" s="652" t="n"/>
    </row>
    <row r="750">
      <c r="B750" s="659" t="inlineStr">
        <is>
          <t>10. Tổng nợ/Vốn CSH</t>
        </is>
      </c>
      <c r="C750" s="673" t="n"/>
      <c r="D750" s="676" t="n">
        <v>2.57</v>
      </c>
      <c r="E750" s="652">
        <f>D750*C737</f>
        <v/>
      </c>
      <c r="F750" s="652" t="n"/>
      <c r="G750" s="652" t="n"/>
      <c r="H750" s="652" t="n"/>
    </row>
    <row r="751">
      <c r="B751" s="656" t="inlineStr">
        <is>
          <t>Chỉ tiêu thu nhập</t>
        </is>
      </c>
      <c r="C751" s="685" t="n"/>
      <c r="D751" s="675" t="n"/>
      <c r="E751" s="652" t="n"/>
      <c r="F751" s="652" t="n"/>
      <c r="G751" s="652" t="n"/>
      <c r="H751" s="652" t="n"/>
    </row>
    <row r="752">
      <c r="B752" s="665" t="inlineStr">
        <is>
          <t>11. Lợi nhuận gộp/Doanh thu thuần</t>
        </is>
      </c>
      <c r="C752" s="673" t="n"/>
      <c r="D752" s="677" t="n">
        <v>0.1833</v>
      </c>
      <c r="E752" s="652">
        <f>D752*C737</f>
        <v/>
      </c>
      <c r="F752" s="652" t="n"/>
      <c r="G752" s="652" t="n"/>
      <c r="H752" s="652" t="n"/>
    </row>
    <row r="753">
      <c r="B753" s="665" t="inlineStr">
        <is>
          <t>12. Lợi nhuận từ hoạt động kinh doanh/Doanh thu thuần</t>
        </is>
      </c>
      <c r="C753" s="673" t="n"/>
      <c r="D753" s="677" t="n">
        <v>0.1533</v>
      </c>
      <c r="E753" s="652">
        <f>D753*C737</f>
        <v/>
      </c>
      <c r="F753" s="652" t="n"/>
      <c r="G753" s="652" t="n"/>
      <c r="H753" s="652" t="n"/>
    </row>
    <row r="754">
      <c r="B754" s="665" t="inlineStr">
        <is>
          <t>13. Lợi nhuận sau thuế/Vốn CSH bình quân</t>
        </is>
      </c>
      <c r="C754" s="673" t="n"/>
      <c r="D754" s="677" t="n">
        <v>0.1367</v>
      </c>
      <c r="E754" s="652">
        <f>D754*C737</f>
        <v/>
      </c>
      <c r="F754" s="652" t="n"/>
      <c r="G754" s="652" t="n"/>
      <c r="H754" s="652" t="n"/>
    </row>
    <row r="755">
      <c r="B755" s="665" t="inlineStr">
        <is>
          <t>14. Lợi nhuận sau thuế/Tổng tài sản bình quân</t>
        </is>
      </c>
      <c r="C755" s="673" t="n"/>
      <c r="D755" s="677" t="n">
        <v>0.0483</v>
      </c>
      <c r="E755" s="652">
        <f>D755*C737</f>
        <v/>
      </c>
      <c r="F755" s="652" t="n"/>
      <c r="G755" s="652" t="n"/>
      <c r="H755" s="652" t="n"/>
    </row>
    <row r="756" ht="15.75" customHeight="1" s="782" thickBot="1">
      <c r="B756" s="667" t="inlineStr">
        <is>
          <t>15. EBIT/Chi phí lãi vay</t>
        </is>
      </c>
      <c r="C756" s="678" t="n"/>
      <c r="D756" s="679" t="n">
        <v>3.67</v>
      </c>
      <c r="E756" s="652">
        <f>D756*C737</f>
        <v/>
      </c>
      <c r="F756" s="689" t="n"/>
      <c r="G756" s="689" t="n"/>
      <c r="H756" s="682" t="n"/>
    </row>
    <row r="757" ht="15.75" customHeight="1" s="782" thickTop="1">
      <c r="B757" s="670" t="inlineStr">
        <is>
          <t>Kinh doanh dịch vụ bưu chính viễn thông</t>
        </is>
      </c>
      <c r="C757" s="671">
        <f>IF(B757=$G$218,100%,0%)</f>
        <v/>
      </c>
      <c r="D757" s="671" t="n"/>
      <c r="E757" s="644" t="n"/>
      <c r="F757" s="644" t="n"/>
      <c r="G757" s="644" t="n"/>
      <c r="H757" s="644" t="n"/>
    </row>
    <row r="758">
      <c r="B758" s="656" t="inlineStr">
        <is>
          <t>Chỉ tiêu thanh khoản</t>
        </is>
      </c>
      <c r="C758" s="657" t="n"/>
      <c r="D758" s="672" t="n"/>
      <c r="E758" s="648" t="n"/>
      <c r="F758" s="648" t="n"/>
      <c r="G758" s="648" t="n"/>
      <c r="H758" s="648" t="n"/>
    </row>
    <row r="759">
      <c r="B759" s="659" t="inlineStr">
        <is>
          <t>1.Khả năng thanh toán hiện hành</t>
        </is>
      </c>
      <c r="C759" s="673" t="n"/>
      <c r="D759" s="675" t="n">
        <v>1.4</v>
      </c>
      <c r="E759" s="652">
        <f>C757*D759</f>
        <v/>
      </c>
      <c r="F759" s="652" t="n"/>
      <c r="G759" s="652" t="n"/>
      <c r="H759" s="652" t="n"/>
    </row>
    <row r="760">
      <c r="B760" s="659" t="inlineStr">
        <is>
          <t>2. Khả năng thanh toán nhanh</t>
        </is>
      </c>
      <c r="C760" s="673" t="n"/>
      <c r="D760" s="675" t="n">
        <v>1</v>
      </c>
      <c r="E760" s="652">
        <f>D760*C757</f>
        <v/>
      </c>
      <c r="F760" s="652" t="n"/>
      <c r="G760" s="652" t="n"/>
      <c r="H760" s="652" t="n"/>
    </row>
    <row r="761">
      <c r="B761" s="659" t="inlineStr">
        <is>
          <t>3. Khả năng thanh toán tức thời</t>
        </is>
      </c>
      <c r="C761" s="673" t="n"/>
      <c r="D761" s="675" t="n">
        <v>0.32</v>
      </c>
      <c r="E761" s="652">
        <f>D761*C757</f>
        <v/>
      </c>
      <c r="F761" s="652" t="n"/>
      <c r="G761" s="652" t="n"/>
      <c r="H761" s="652" t="n"/>
    </row>
    <row r="762">
      <c r="B762" s="656" t="inlineStr">
        <is>
          <t>Chỉ tiêu hoạt động</t>
        </is>
      </c>
      <c r="C762" s="657" t="n"/>
      <c r="D762" s="672" t="n"/>
      <c r="E762" s="652" t="n"/>
      <c r="F762" s="648" t="n"/>
      <c r="G762" s="648" t="n"/>
      <c r="H762" s="648" t="n"/>
    </row>
    <row r="763">
      <c r="B763" s="659" t="inlineStr">
        <is>
          <t>4. Vòng quay vốn lưu động</t>
        </is>
      </c>
      <c r="C763" s="673" t="n"/>
      <c r="D763" s="675" t="n">
        <v>2.83</v>
      </c>
      <c r="E763" s="652">
        <f>D763*C757</f>
        <v/>
      </c>
      <c r="F763" s="652" t="n"/>
      <c r="G763" s="652" t="n"/>
      <c r="H763" s="652" t="n"/>
    </row>
    <row r="764">
      <c r="B764" s="659" t="inlineStr">
        <is>
          <t>5. Vòng quay hàng tồn kho</t>
        </is>
      </c>
      <c r="C764" s="673" t="n"/>
      <c r="D764" s="675" t="n">
        <v>6.83</v>
      </c>
      <c r="E764" s="652">
        <f>D764*C757</f>
        <v/>
      </c>
      <c r="F764" s="652" t="n"/>
      <c r="G764" s="652" t="n"/>
      <c r="H764" s="652" t="n"/>
    </row>
    <row r="765">
      <c r="B765" s="659" t="inlineStr">
        <is>
          <t>6. Vòng quay các khoản phải thu</t>
        </is>
      </c>
      <c r="C765" s="673" t="n"/>
      <c r="D765" s="675" t="n">
        <v>5.17</v>
      </c>
      <c r="E765" s="652">
        <f>D765*C757</f>
        <v/>
      </c>
      <c r="F765" s="652" t="n"/>
      <c r="G765" s="652" t="n"/>
      <c r="H765" s="652" t="n"/>
    </row>
    <row r="766">
      <c r="B766" s="659" t="inlineStr">
        <is>
          <t>7. Hiệu suất sử dụng TSCĐ</t>
        </is>
      </c>
      <c r="C766" s="673" t="n"/>
      <c r="D766" s="675" t="n">
        <v>2.83</v>
      </c>
      <c r="E766" s="652">
        <f>D766*C757</f>
        <v/>
      </c>
      <c r="F766" s="652" t="n"/>
      <c r="G766" s="652" t="n"/>
      <c r="H766" s="652" t="n"/>
    </row>
    <row r="767">
      <c r="B767" s="656" t="inlineStr">
        <is>
          <t>Chỉ tiêu cân nợ</t>
        </is>
      </c>
      <c r="C767" s="657" t="n"/>
      <c r="D767" s="672" t="n"/>
      <c r="E767" s="652" t="n"/>
      <c r="F767" s="648" t="n"/>
      <c r="G767" s="648" t="n"/>
      <c r="H767" s="648" t="n"/>
    </row>
    <row r="768">
      <c r="B768" s="659" t="inlineStr">
        <is>
          <t>8. Tổng nợ phải trả/ Tổng tài sản</t>
        </is>
      </c>
      <c r="C768" s="673" t="n"/>
      <c r="D768" s="676" t="n">
        <v>0.78</v>
      </c>
      <c r="E768" s="652">
        <f>D768*C757</f>
        <v/>
      </c>
      <c r="F768" s="652" t="n"/>
      <c r="G768" s="652" t="n"/>
      <c r="H768" s="652" t="n"/>
    </row>
    <row r="769">
      <c r="B769" s="659" t="inlineStr">
        <is>
          <t>9. Nợ dài dạn/Vốn CSH</t>
        </is>
      </c>
      <c r="C769" s="673" t="n"/>
      <c r="D769" s="676" t="n">
        <v>1.2</v>
      </c>
      <c r="E769" s="652">
        <f>D769*C757</f>
        <v/>
      </c>
      <c r="F769" s="652" t="n"/>
      <c r="G769" s="652" t="n"/>
      <c r="H769" s="652" t="n"/>
    </row>
    <row r="770">
      <c r="B770" s="659" t="inlineStr">
        <is>
          <t>10. Tổng nợ/Vốn CSH</t>
        </is>
      </c>
      <c r="C770" s="673" t="n"/>
      <c r="D770" s="676" t="n">
        <v>2.84</v>
      </c>
      <c r="E770" s="652">
        <f>D770*C757</f>
        <v/>
      </c>
      <c r="F770" s="652" t="n"/>
      <c r="G770" s="652" t="n"/>
      <c r="H770" s="652" t="n"/>
    </row>
    <row r="771">
      <c r="B771" s="656" t="inlineStr">
        <is>
          <t>Chỉ tiêu thu nhập</t>
        </is>
      </c>
      <c r="C771" s="657" t="n"/>
      <c r="D771" s="672" t="n"/>
      <c r="E771" s="652" t="n"/>
      <c r="F771" s="648" t="n"/>
      <c r="G771" s="648" t="n"/>
      <c r="H771" s="648" t="n"/>
    </row>
    <row r="772">
      <c r="B772" s="665" t="inlineStr">
        <is>
          <t>11. Lợi nhuận gộp/Doanh thu thuần</t>
        </is>
      </c>
      <c r="C772" s="673" t="n"/>
      <c r="D772" s="676" t="n">
        <v>0.19</v>
      </c>
      <c r="E772" s="652">
        <f>D772*C757</f>
        <v/>
      </c>
      <c r="F772" s="652" t="n"/>
      <c r="G772" s="652" t="n"/>
      <c r="H772" s="652" t="n"/>
    </row>
    <row r="773">
      <c r="B773" s="665" t="inlineStr">
        <is>
          <t>12. Lợi nhuận từ hoạt động kinh doanh/Doanh thu thuần</t>
        </is>
      </c>
      <c r="C773" s="673" t="n"/>
      <c r="D773" s="677" t="n">
        <v>0.09669999999999999</v>
      </c>
      <c r="E773" s="652">
        <f>D773*C757</f>
        <v/>
      </c>
      <c r="F773" s="652" t="n"/>
      <c r="G773" s="652" t="n"/>
      <c r="H773" s="652" t="n"/>
    </row>
    <row r="774">
      <c r="B774" s="665" t="inlineStr">
        <is>
          <t>13. Lợi nhuận sau thuế/Vốn CSH bình quân</t>
        </is>
      </c>
      <c r="C774" s="673" t="n"/>
      <c r="D774" s="677" t="n">
        <v>0.1833</v>
      </c>
      <c r="E774" s="652">
        <f>D774*C757</f>
        <v/>
      </c>
      <c r="F774" s="652" t="n"/>
      <c r="G774" s="652" t="n"/>
      <c r="H774" s="652" t="n"/>
    </row>
    <row r="775">
      <c r="B775" s="665" t="inlineStr">
        <is>
          <t>14. Lợi nhuận sau thuế/Tổng tài sản bình quân</t>
        </is>
      </c>
      <c r="C775" s="673" t="n"/>
      <c r="D775" s="677" t="n">
        <v>0.0833</v>
      </c>
      <c r="E775" s="652">
        <f>D775*C757</f>
        <v/>
      </c>
      <c r="F775" s="652" t="n"/>
      <c r="G775" s="652" t="n"/>
      <c r="H775" s="652" t="n"/>
    </row>
    <row r="776" ht="15.75" customHeight="1" s="782" thickBot="1">
      <c r="B776" s="667" t="inlineStr">
        <is>
          <t>15. EBIT/Chi phí lãi vay</t>
        </is>
      </c>
      <c r="C776" s="678" t="n"/>
      <c r="D776" s="679" t="n">
        <v>3.17</v>
      </c>
      <c r="E776" s="652">
        <f>D776*C757</f>
        <v/>
      </c>
      <c r="F776" s="652" t="n"/>
      <c r="G776" s="652" t="n"/>
      <c r="H776" s="652" t="n"/>
    </row>
    <row r="777" ht="43.5" customHeight="1" s="782" thickTop="1">
      <c r="B777" s="670" t="inlineStr">
        <is>
          <t>Dịch vụ công nghệ, khoa học công nghệ, dịch vụ hành chính, hỗ trợ; giáo dục y tế; Thông tin và truyền thông khác.</t>
        </is>
      </c>
      <c r="C777" s="671">
        <f>IF(B777=$G$218,100%,0%)</f>
        <v/>
      </c>
      <c r="D777" s="671" t="n"/>
      <c r="E777" s="644" t="n"/>
      <c r="F777" s="644" t="n"/>
      <c r="G777" s="644" t="n"/>
      <c r="H777" s="644" t="n"/>
    </row>
    <row r="778">
      <c r="B778" s="656" t="inlineStr">
        <is>
          <t>Chỉ tiêu thanh khoản</t>
        </is>
      </c>
      <c r="C778" s="657" t="n"/>
      <c r="D778" s="672" t="n"/>
      <c r="E778" s="648" t="n"/>
      <c r="F778" s="648" t="n"/>
      <c r="G778" s="648" t="n"/>
      <c r="H778" s="648" t="n"/>
    </row>
    <row r="779">
      <c r="B779" s="659" t="inlineStr">
        <is>
          <t>1.Khả năng thanh toán hiện hành</t>
        </is>
      </c>
      <c r="C779" s="673" t="n"/>
      <c r="D779" s="675" t="n">
        <v>1.17</v>
      </c>
      <c r="E779" s="652">
        <f>C777*D779</f>
        <v/>
      </c>
      <c r="F779" s="652" t="n"/>
      <c r="G779" s="652" t="n"/>
      <c r="H779" s="652" t="n"/>
    </row>
    <row r="780">
      <c r="B780" s="659" t="inlineStr">
        <is>
          <t>2. Khả năng thanh toán nhanh</t>
        </is>
      </c>
      <c r="C780" s="673" t="n"/>
      <c r="D780" s="675" t="n">
        <v>0.95</v>
      </c>
      <c r="E780" s="652">
        <f>D780*C777</f>
        <v/>
      </c>
      <c r="F780" s="652" t="n"/>
      <c r="G780" s="652" t="n"/>
      <c r="H780" s="652" t="n"/>
    </row>
    <row r="781">
      <c r="B781" s="659" t="inlineStr">
        <is>
          <t>3. Khả năng thanh toán tức thời</t>
        </is>
      </c>
      <c r="C781" s="673" t="n"/>
      <c r="D781" s="675" t="n">
        <v>0.38</v>
      </c>
      <c r="E781" s="652">
        <f>D781*C777</f>
        <v/>
      </c>
      <c r="F781" s="652" t="n"/>
      <c r="G781" s="652" t="n"/>
      <c r="H781" s="652" t="n"/>
    </row>
    <row r="782">
      <c r="B782" s="656" t="inlineStr">
        <is>
          <t>Chỉ tiêu hoạt động</t>
        </is>
      </c>
      <c r="C782" s="657" t="n"/>
      <c r="D782" s="672" t="n"/>
      <c r="E782" s="652" t="n"/>
      <c r="F782" s="648" t="n"/>
      <c r="G782" s="648" t="n"/>
      <c r="H782" s="648" t="n"/>
    </row>
    <row r="783">
      <c r="B783" s="659" t="inlineStr">
        <is>
          <t>4. Vòng quay vốn lưu động</t>
        </is>
      </c>
      <c r="C783" s="673" t="n"/>
      <c r="D783" s="675" t="n">
        <v>3.6</v>
      </c>
      <c r="E783" s="652">
        <f>D783*C777</f>
        <v/>
      </c>
      <c r="F783" s="652" t="n"/>
      <c r="G783" s="652" t="n"/>
      <c r="H783" s="652" t="n"/>
    </row>
    <row r="784">
      <c r="B784" s="659" t="inlineStr">
        <is>
          <t>5. Vòng quay hàng tồn kho</t>
        </is>
      </c>
      <c r="C784" s="673" t="n"/>
      <c r="D784" s="675" t="n">
        <v>10.7</v>
      </c>
      <c r="E784" s="652">
        <f>D784*C777</f>
        <v/>
      </c>
      <c r="F784" s="652" t="n"/>
      <c r="G784" s="652" t="n"/>
      <c r="H784" s="652" t="n"/>
    </row>
    <row r="785">
      <c r="B785" s="659" t="inlineStr">
        <is>
          <t>6. Vòng quay các khoản phải thu</t>
        </is>
      </c>
      <c r="C785" s="673" t="n"/>
      <c r="D785" s="675" t="n">
        <v>9</v>
      </c>
      <c r="E785" s="652">
        <f>D785*C777</f>
        <v/>
      </c>
      <c r="F785" s="652" t="n"/>
      <c r="G785" s="652" t="n"/>
      <c r="H785" s="652" t="n"/>
    </row>
    <row r="786">
      <c r="B786" s="659" t="inlineStr">
        <is>
          <t>7. Hiệu suất sử dụng TSCĐ</t>
        </is>
      </c>
      <c r="C786" s="673" t="n"/>
      <c r="D786" s="675" t="n">
        <v>5</v>
      </c>
      <c r="E786" s="652">
        <f>D786*C777</f>
        <v/>
      </c>
      <c r="F786" s="652" t="n"/>
      <c r="G786" s="652" t="n"/>
      <c r="H786" s="652" t="n"/>
    </row>
    <row r="787">
      <c r="B787" s="656" t="inlineStr">
        <is>
          <t>Chỉ tiêu cân nợ</t>
        </is>
      </c>
      <c r="C787" s="657" t="n"/>
      <c r="D787" s="672" t="n"/>
      <c r="E787" s="652" t="n"/>
      <c r="F787" s="648" t="n"/>
      <c r="G787" s="648" t="n"/>
      <c r="H787" s="648" t="n"/>
    </row>
    <row r="788">
      <c r="B788" s="659" t="inlineStr">
        <is>
          <t>8. Tổng nợ phải trả/ Tổng tài sản</t>
        </is>
      </c>
      <c r="C788" s="673" t="n"/>
      <c r="D788" s="676" t="n">
        <v>0.65</v>
      </c>
      <c r="E788" s="652">
        <f>D788*C777</f>
        <v/>
      </c>
      <c r="F788" s="652" t="n"/>
      <c r="G788" s="652" t="n"/>
      <c r="H788" s="652" t="n"/>
    </row>
    <row r="789">
      <c r="B789" s="659" t="inlineStr">
        <is>
          <t>9. Nợ dài dạn/Vốn CSH</t>
        </is>
      </c>
      <c r="C789" s="673" t="n"/>
      <c r="D789" s="676" t="n">
        <v>1.07</v>
      </c>
      <c r="E789" s="652">
        <f>D789*C777</f>
        <v/>
      </c>
      <c r="F789" s="652" t="n"/>
      <c r="G789" s="652" t="n"/>
      <c r="H789" s="652" t="n"/>
    </row>
    <row r="790">
      <c r="B790" s="659" t="inlineStr">
        <is>
          <t>10. Tổng nợ/Vốn CSH</t>
        </is>
      </c>
      <c r="C790" s="673" t="n"/>
      <c r="D790" s="676" t="n">
        <v>1.37</v>
      </c>
      <c r="E790" s="652">
        <f>D790*C777</f>
        <v/>
      </c>
      <c r="F790" s="652" t="n"/>
      <c r="G790" s="652" t="n"/>
      <c r="H790" s="652" t="n"/>
    </row>
    <row r="791">
      <c r="B791" s="656" t="inlineStr">
        <is>
          <t>Chỉ tiêu thu nhập</t>
        </is>
      </c>
      <c r="C791" s="657" t="n"/>
      <c r="D791" s="672" t="n"/>
      <c r="E791" s="652" t="n"/>
      <c r="F791" s="648" t="n"/>
      <c r="G791" s="648" t="n"/>
      <c r="H791" s="648" t="n"/>
    </row>
    <row r="792">
      <c r="B792" s="665" t="inlineStr">
        <is>
          <t>11. Lợi nhuận gộp/Doanh thu thuần</t>
        </is>
      </c>
      <c r="C792" s="673" t="n"/>
      <c r="D792" s="676" t="n">
        <v>0.3</v>
      </c>
      <c r="E792" s="652">
        <f>D792*C777</f>
        <v/>
      </c>
      <c r="F792" s="652" t="n"/>
      <c r="G792" s="652" t="n"/>
      <c r="H792" s="652" t="n"/>
    </row>
    <row r="793">
      <c r="B793" s="665" t="inlineStr">
        <is>
          <t>12. Lợi nhuận từ hoạt động kinh doanh/Doanh thu thuần</t>
        </is>
      </c>
      <c r="C793" s="673" t="n"/>
      <c r="D793" s="676" t="n">
        <v>0.18</v>
      </c>
      <c r="E793" s="652">
        <f>D793*C777</f>
        <v/>
      </c>
      <c r="F793" s="652" t="n"/>
      <c r="G793" s="652" t="n"/>
      <c r="H793" s="652" t="n"/>
    </row>
    <row r="794">
      <c r="B794" s="665" t="inlineStr">
        <is>
          <t>13. Lợi nhuận sau thuế/Vốn CSH bình quân</t>
        </is>
      </c>
      <c r="C794" s="673" t="n"/>
      <c r="D794" s="676" t="n">
        <v>0.23</v>
      </c>
      <c r="E794" s="652">
        <f>D794*C777</f>
        <v/>
      </c>
      <c r="F794" s="652" t="n"/>
      <c r="G794" s="652" t="n"/>
      <c r="H794" s="652" t="n"/>
    </row>
    <row r="795">
      <c r="B795" s="665" t="inlineStr">
        <is>
          <t>14. Lợi nhuận sau thuế/Tổng tài sản bình quân</t>
        </is>
      </c>
      <c r="C795" s="673" t="n"/>
      <c r="D795" s="677" t="n">
        <v>0.1133</v>
      </c>
      <c r="E795" s="652">
        <f>D795*C777</f>
        <v/>
      </c>
      <c r="F795" s="652" t="n"/>
      <c r="G795" s="652" t="n"/>
      <c r="H795" s="652" t="n"/>
    </row>
    <row r="796" ht="15.75" customHeight="1" s="782" thickBot="1">
      <c r="B796" s="667" t="inlineStr">
        <is>
          <t>15. EBIT/Chi phí lãi vay</t>
        </is>
      </c>
      <c r="C796" s="678" t="n"/>
      <c r="D796" s="679" t="n">
        <v>3.5</v>
      </c>
      <c r="E796" s="652">
        <f>D796*C777</f>
        <v/>
      </c>
      <c r="F796" s="689" t="n"/>
      <c r="G796" s="689" t="n"/>
      <c r="H796" s="689" t="n"/>
    </row>
    <row r="797" ht="15.75" customHeight="1" s="782" thickTop="1">
      <c r="B797" s="670" t="inlineStr">
        <is>
          <t>Kinh doanh kho bãi và các dịch vụ hỗ trợ</t>
        </is>
      </c>
      <c r="C797" s="671">
        <f>IF(B797=$G$218,100%,0%)</f>
        <v/>
      </c>
      <c r="D797" s="671" t="n"/>
      <c r="E797" s="644" t="n"/>
      <c r="F797" s="644" t="n"/>
      <c r="G797" s="644" t="n"/>
      <c r="H797" s="644" t="n"/>
    </row>
    <row r="798">
      <c r="B798" s="656" t="inlineStr">
        <is>
          <t>Chỉ tiêu thanh khoản</t>
        </is>
      </c>
      <c r="C798" s="657" t="n"/>
      <c r="D798" s="672" t="n"/>
      <c r="E798" s="648" t="n"/>
      <c r="F798" s="648" t="n"/>
      <c r="G798" s="648" t="n"/>
      <c r="H798" s="648" t="n"/>
    </row>
    <row r="799">
      <c r="B799" s="659" t="inlineStr">
        <is>
          <t>1.Khả năng thanh toán hiện hành</t>
        </is>
      </c>
      <c r="C799" s="673" t="n"/>
      <c r="D799" s="675" t="n">
        <v>1.07</v>
      </c>
      <c r="E799" s="652">
        <f>C797*D799</f>
        <v/>
      </c>
      <c r="F799" s="652" t="n"/>
      <c r="G799" s="652" t="n"/>
      <c r="H799" s="652" t="n"/>
    </row>
    <row r="800">
      <c r="B800" s="659" t="inlineStr">
        <is>
          <t>2. Khả năng thanh toán nhanh</t>
        </is>
      </c>
      <c r="C800" s="673" t="n"/>
      <c r="D800" s="675" t="n">
        <v>0.73</v>
      </c>
      <c r="E800" s="652">
        <f>D800*C797</f>
        <v/>
      </c>
      <c r="F800" s="652" t="n"/>
      <c r="G800" s="652" t="n"/>
      <c r="H800" s="652" t="n"/>
    </row>
    <row r="801">
      <c r="B801" s="659" t="inlineStr">
        <is>
          <t>3. Khả năng thanh toán tức thời</t>
        </is>
      </c>
      <c r="C801" s="673" t="n"/>
      <c r="D801" s="675" t="n">
        <v>0.37</v>
      </c>
      <c r="E801" s="652">
        <f>D801*C797</f>
        <v/>
      </c>
      <c r="F801" s="652" t="n"/>
      <c r="G801" s="652" t="n"/>
      <c r="H801" s="652" t="n"/>
    </row>
    <row r="802">
      <c r="B802" s="656" t="inlineStr">
        <is>
          <t>Chỉ tiêu hoạt động</t>
        </is>
      </c>
      <c r="C802" s="657" t="n"/>
      <c r="D802" s="672" t="n"/>
      <c r="E802" s="652" t="n"/>
      <c r="F802" s="648" t="n"/>
      <c r="G802" s="648" t="n"/>
      <c r="H802" s="648" t="n"/>
    </row>
    <row r="803">
      <c r="B803" s="659" t="inlineStr">
        <is>
          <t>4. Vòng quay vốn lưu động</t>
        </is>
      </c>
      <c r="C803" s="673" t="n"/>
      <c r="D803" s="675" t="n">
        <v>5.5</v>
      </c>
      <c r="E803" s="652">
        <f>D803*C797</f>
        <v/>
      </c>
      <c r="F803" s="652" t="n"/>
      <c r="G803" s="652" t="n"/>
      <c r="H803" s="652" t="n"/>
    </row>
    <row r="804">
      <c r="B804" s="659" t="inlineStr">
        <is>
          <t>5. Vòng quay hàng tồn kho</t>
        </is>
      </c>
      <c r="C804" s="673" t="n"/>
      <c r="D804" s="675" t="n">
        <v>15</v>
      </c>
      <c r="E804" s="652">
        <f>D804*C797</f>
        <v/>
      </c>
      <c r="F804" s="652" t="n"/>
      <c r="G804" s="652" t="n"/>
      <c r="H804" s="652" t="n"/>
    </row>
    <row r="805">
      <c r="B805" s="659" t="inlineStr">
        <is>
          <t>6. Vòng quay các khoản phải thu</t>
        </is>
      </c>
      <c r="C805" s="673" t="n"/>
      <c r="D805" s="675" t="n">
        <v>14.33</v>
      </c>
      <c r="E805" s="652">
        <f>D805*C797</f>
        <v/>
      </c>
      <c r="F805" s="652" t="n"/>
      <c r="G805" s="652" t="n"/>
      <c r="H805" s="652" t="n"/>
    </row>
    <row r="806">
      <c r="B806" s="659" t="inlineStr">
        <is>
          <t>7. Hiệu suất sử dụng TSCĐ</t>
        </is>
      </c>
      <c r="C806" s="673" t="n"/>
      <c r="D806" s="675" t="n">
        <v>1.97</v>
      </c>
      <c r="E806" s="652">
        <f>D806*C797</f>
        <v/>
      </c>
      <c r="F806" s="652" t="n"/>
      <c r="G806" s="652" t="n"/>
      <c r="H806" s="652" t="n"/>
    </row>
    <row r="807">
      <c r="B807" s="656" t="inlineStr">
        <is>
          <t>Chỉ tiêu cân nợ</t>
        </is>
      </c>
      <c r="C807" s="657" t="n"/>
      <c r="D807" s="672" t="n"/>
      <c r="E807" s="652" t="n"/>
      <c r="F807" s="648" t="n"/>
      <c r="G807" s="648" t="n"/>
      <c r="H807" s="648" t="n"/>
    </row>
    <row r="808">
      <c r="B808" s="659" t="inlineStr">
        <is>
          <t>8. Tổng nợ phải trả/ Tổng tài sản</t>
        </is>
      </c>
      <c r="C808" s="673" t="n"/>
      <c r="D808" s="676" t="n">
        <v>0.67</v>
      </c>
      <c r="E808" s="652">
        <f>D808*C797</f>
        <v/>
      </c>
      <c r="F808" s="652" t="n"/>
      <c r="G808" s="652" t="n"/>
      <c r="H808" s="652" t="n"/>
    </row>
    <row r="809">
      <c r="B809" s="659" t="inlineStr">
        <is>
          <t>9. Nợ dài dạn/Vốn CSH</t>
        </is>
      </c>
      <c r="C809" s="673" t="n"/>
      <c r="D809" s="676" t="n">
        <v>0.65</v>
      </c>
      <c r="E809" s="652">
        <f>D809*C797</f>
        <v/>
      </c>
      <c r="F809" s="652" t="n"/>
      <c r="G809" s="652" t="n"/>
      <c r="H809" s="652" t="n"/>
    </row>
    <row r="810">
      <c r="B810" s="659" t="inlineStr">
        <is>
          <t>10. Tổng nợ/Vốn CSH</t>
        </is>
      </c>
      <c r="C810" s="673" t="n"/>
      <c r="D810" s="676" t="n">
        <v>1.4</v>
      </c>
      <c r="E810" s="652">
        <f>D810*C797</f>
        <v/>
      </c>
      <c r="F810" s="652" t="n"/>
      <c r="G810" s="652" t="n"/>
      <c r="H810" s="652" t="n"/>
    </row>
    <row r="811">
      <c r="B811" s="656" t="inlineStr">
        <is>
          <t>Chỉ tiêu thu nhập</t>
        </is>
      </c>
      <c r="C811" s="657" t="n"/>
      <c r="D811" s="672" t="n"/>
      <c r="E811" s="652" t="n"/>
      <c r="F811" s="648" t="n"/>
      <c r="G811" s="648" t="n"/>
      <c r="H811" s="648" t="n"/>
    </row>
    <row r="812">
      <c r="B812" s="665" t="inlineStr">
        <is>
          <t>11. Lợi nhuận gộp/Doanh thu thuần</t>
        </is>
      </c>
      <c r="C812" s="673" t="n"/>
      <c r="D812" s="677" t="n">
        <v>0.1867</v>
      </c>
      <c r="E812" s="652">
        <f>D812*C797</f>
        <v/>
      </c>
      <c r="F812" s="652" t="n"/>
      <c r="G812" s="652" t="n"/>
      <c r="H812" s="652" t="n"/>
    </row>
    <row r="813">
      <c r="B813" s="665" t="inlineStr">
        <is>
          <t>12. Lợi nhuận từ hoạt động kinh doanh/Doanh thu thuần</t>
        </is>
      </c>
      <c r="C813" s="673" t="n"/>
      <c r="D813" s="677" t="n">
        <v>0.1033</v>
      </c>
      <c r="E813" s="652">
        <f>D813*C797</f>
        <v/>
      </c>
      <c r="F813" s="652" t="n"/>
      <c r="G813" s="652" t="n"/>
      <c r="H813" s="652" t="n"/>
    </row>
    <row r="814">
      <c r="B814" s="665" t="inlineStr">
        <is>
          <t>13. Lợi nhuận sau thuế/Vốn CSH bình quân</t>
        </is>
      </c>
      <c r="C814" s="673" t="n"/>
      <c r="D814" s="676" t="n">
        <v>0.14</v>
      </c>
      <c r="E814" s="652">
        <f>D814*C797</f>
        <v/>
      </c>
      <c r="F814" s="652" t="n"/>
      <c r="G814" s="652" t="n"/>
      <c r="H814" s="652" t="n"/>
    </row>
    <row r="815">
      <c r="B815" s="665" t="inlineStr">
        <is>
          <t>14. Lợi nhuận sau thuế/Tổng tài sản bình quân</t>
        </is>
      </c>
      <c r="C815" s="673" t="n"/>
      <c r="D815" s="676" t="n">
        <v>0.06</v>
      </c>
      <c r="E815" s="652">
        <f>D815*C797</f>
        <v/>
      </c>
      <c r="F815" s="652" t="n"/>
      <c r="G815" s="652" t="n"/>
      <c r="H815" s="652" t="n"/>
    </row>
    <row r="816" ht="15.75" customHeight="1" s="782" thickBot="1">
      <c r="B816" s="667" t="inlineStr">
        <is>
          <t>15. EBIT/Chi phí lãi vay</t>
        </is>
      </c>
      <c r="C816" s="678" t="n"/>
      <c r="D816" s="679" t="n">
        <v>2.5</v>
      </c>
      <c r="E816" s="652">
        <f>D816*C797</f>
        <v/>
      </c>
      <c r="F816" s="652" t="n"/>
      <c r="G816" s="652" t="n"/>
      <c r="H816" s="652" t="n"/>
    </row>
    <row r="817" ht="15.75" customHeight="1" s="782" thickTop="1"/>
  </sheetData>
  <sheetProtection selectLockedCells="0" selectUnlockedCells="0" algorithmName="SHA-512" sheet="1" objects="1" insertRows="1" insertHyperlinks="1" autoFilter="1" scenarios="1" formatColumns="1" deleteColumns="1" insertColumns="1" pivotTables="1" deleteRows="1" formatCells="1" saltValue="OOyHbhWJaIqubKgLr/A6Eg==" formatRows="1" sort="1" spinCount="100000" hashValue="4sZUV38iNajSjkzmE89z2caq1kEKxcHQNI43+p0n28FChwPb+ttm8ZQFzGXEWyP5g5ih/F8DsC9NlPugGHwKcg=="/>
  <mergeCells count="4">
    <mergeCell ref="B1:H1"/>
    <mergeCell ref="G171:H171"/>
    <mergeCell ref="G170:H170"/>
    <mergeCell ref="J172:L174"/>
  </mergeCell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codeName="Sheet16">
    <outlinePr summaryBelow="1" summaryRight="1"/>
    <pageSetUpPr/>
  </sheetPr>
  <dimension ref="A1:K336"/>
  <sheetViews>
    <sheetView topLeftCell="A211" zoomScale="83" zoomScaleNormal="83" workbookViewId="0">
      <selection activeCell="F220" sqref="F220"/>
    </sheetView>
  </sheetViews>
  <sheetFormatPr baseColWidth="8" defaultRowHeight="15"/>
  <cols>
    <col width="44.85546875" customWidth="1" style="782" min="1" max="1"/>
    <col width="16.7109375" customWidth="1" style="782" min="2" max="2"/>
    <col width="16.5703125" customWidth="1" style="782" min="3" max="6"/>
    <col width="10.85546875" customWidth="1" style="782" min="7" max="7"/>
    <col width="12.85546875" customWidth="1" style="782" min="8" max="8"/>
    <col width="40" customWidth="1" style="782" min="9" max="9"/>
    <col width="16.42578125" customWidth="1" style="782" min="10" max="10"/>
  </cols>
  <sheetData>
    <row r="1" ht="15.75" customHeight="1" s="782">
      <c r="E1" s="393" t="n"/>
      <c r="F1" s="393" t="n"/>
      <c r="I1" s="84" t="n"/>
      <c r="J1" s="85" t="inlineStr">
        <is>
          <t>MSB</t>
        </is>
      </c>
    </row>
    <row r="2" ht="15.75" customHeight="1" s="782">
      <c r="E2" s="86" t="n"/>
      <c r="F2" s="393" t="n"/>
      <c r="I2" s="84" t="n"/>
      <c r="J2" s="85" t="inlineStr">
        <is>
          <t>TNR Tower, 54A Nguyễn Chí Thanh, Đống Đa, Hà Nội</t>
        </is>
      </c>
    </row>
    <row r="3" ht="15.75" customHeight="1" s="782">
      <c r="E3" s="393" t="n"/>
      <c r="F3" s="393" t="n"/>
      <c r="I3" s="84" t="n"/>
    </row>
    <row r="4" ht="15.75" customHeight="1" s="782">
      <c r="A4" s="858" t="inlineStr">
        <is>
          <t>PHỤ LỤC: PHÂN TÍCH TÀI CHÍNH</t>
        </is>
      </c>
    </row>
    <row r="5" ht="15.75" customHeight="1" s="782">
      <c r="A5" s="859" t="inlineStr">
        <is>
          <t>(Kèm theo Tờ trình số      ngày      /      /             )</t>
        </is>
      </c>
    </row>
    <row r="6" ht="15.75" customHeight="1" s="782" thickBot="1">
      <c r="E6" s="393" t="n"/>
      <c r="F6" s="393" t="n"/>
    </row>
    <row r="7" ht="26.25" customHeight="1" s="782" thickTop="1">
      <c r="A7" s="87">
        <f>'[1]01. Thong tin chung'!B3</f>
        <v/>
      </c>
      <c r="B7" s="860">
        <f>C7-1</f>
        <v/>
      </c>
      <c r="C7" s="860">
        <f>D7-1</f>
        <v/>
      </c>
      <c r="D7" s="860">
        <f>'01. Thong tin chung'!B7</f>
        <v/>
      </c>
      <c r="E7" s="891" t="n"/>
      <c r="F7" s="892" t="n"/>
      <c r="G7" s="861">
        <f>'01. Thong tin chung'!B8</f>
        <v/>
      </c>
      <c r="H7" s="892" t="n"/>
      <c r="I7" s="135">
        <f>"Dự kiến năm"&amp; D7+1</f>
        <v/>
      </c>
      <c r="J7" s="89" t="inlineStr">
        <is>
          <t>Nội dung phân tích (nếu có)</t>
        </is>
      </c>
    </row>
    <row r="8">
      <c r="A8" s="90">
        <f>"Đơn vị tính: "&amp;'[1]01. Thong tin chung'!B6</f>
        <v/>
      </c>
      <c r="B8" s="317">
        <f>IF(OR(B9-B81&gt;1,B9-B81&lt;-1),"Chưa cân số","")</f>
        <v/>
      </c>
      <c r="C8" s="317">
        <f>IF(OR(C9-C81&gt;1,C9-C81&lt;-1),"Chưa cân số","")</f>
        <v/>
      </c>
      <c r="D8" s="317">
        <f>IF(OR(D9-D81&gt;1,D9-D81&lt;-1),"Chưa cân số","")</f>
        <v/>
      </c>
      <c r="E8" s="318" t="inlineStr">
        <is>
          <t>Tỷ trọng</t>
        </is>
      </c>
      <c r="F8" s="318" t="inlineStr">
        <is>
          <t>Tăng trưởng</t>
        </is>
      </c>
      <c r="G8" s="317">
        <f>IF(OR(G9-G81&gt;1,G9-G81&lt;-1),"Chưa cân số","")</f>
        <v/>
      </c>
      <c r="H8" s="319" t="inlineStr">
        <is>
          <t>Tỷ trọng</t>
        </is>
      </c>
      <c r="I8" s="320">
        <f>IF(OR(I9-I81&gt;1,I9-I81&lt;-1),"Chưa cân số","")</f>
        <v/>
      </c>
      <c r="J8" s="893" t="n"/>
    </row>
    <row r="9">
      <c r="A9" s="91" t="inlineStr">
        <is>
          <t>TỔNG TÀI SẢN</t>
        </is>
      </c>
      <c r="B9" s="321">
        <f>B10+B47</f>
        <v/>
      </c>
      <c r="C9" s="321">
        <f>C10+C47</f>
        <v/>
      </c>
      <c r="D9" s="321">
        <f>D10+D47</f>
        <v/>
      </c>
      <c r="E9" s="322">
        <f>IF($D$9&lt;&gt;0,D9/$D$9,"")</f>
        <v/>
      </c>
      <c r="F9" s="323">
        <f>IF(C9&lt;&gt;0,(D9-C9)/C9,"")</f>
        <v/>
      </c>
      <c r="G9" s="321">
        <f>G10+G47</f>
        <v/>
      </c>
      <c r="H9" s="324">
        <f>IF($G$9&lt;&gt;0,G9/$G$9,"")</f>
        <v/>
      </c>
      <c r="I9" s="325">
        <f>I10+I47</f>
        <v/>
      </c>
      <c r="J9" s="894" t="n"/>
    </row>
    <row r="10">
      <c r="A10" s="690" t="inlineStr">
        <is>
          <t>A. TÀI SẢN NGẮN HẠN</t>
        </is>
      </c>
      <c r="B10" s="326">
        <f>B11+B17+B22+B29+B41</f>
        <v/>
      </c>
      <c r="C10" s="326">
        <f>C11+C17+C22+C29+C41</f>
        <v/>
      </c>
      <c r="D10" s="326">
        <f>D11+D17+D22+D29+D41</f>
        <v/>
      </c>
      <c r="E10" s="327">
        <f>IF($D$9&lt;&gt;0,D10/$D$9,"")</f>
        <v/>
      </c>
      <c r="F10" s="328">
        <f>IF(C10&lt;&gt;0,(D10-C10)/C10,"")</f>
        <v/>
      </c>
      <c r="G10" s="326">
        <f>G11+G17+G22+G29+G41</f>
        <v/>
      </c>
      <c r="H10" s="329">
        <f>IF($G$9&lt;&gt;0,G10/$G$9,"")</f>
        <v/>
      </c>
      <c r="I10" s="330">
        <f>I11+I17+I22+I29+I41</f>
        <v/>
      </c>
      <c r="J10" s="365" t="n"/>
    </row>
    <row r="11">
      <c r="A11" s="92" t="inlineStr">
        <is>
          <t>I. Tiền và các khoản tương đương tiền</t>
        </is>
      </c>
      <c r="B11" s="332">
        <f>SUM(B12:B16)</f>
        <v/>
      </c>
      <c r="C11" s="332">
        <f>SUM(C12:C16)</f>
        <v/>
      </c>
      <c r="D11" s="332">
        <f>SUM(D12:D16)</f>
        <v/>
      </c>
      <c r="E11" s="361">
        <f>IF($D$10&lt;&gt;0,D11/$D$10," ")</f>
        <v/>
      </c>
      <c r="F11" s="334">
        <f>IF(C11&lt;&gt;0,(D11-C11)/C11,"")</f>
        <v/>
      </c>
      <c r="G11" s="332">
        <f>SUM(G12:G16)</f>
        <v/>
      </c>
      <c r="H11" s="363">
        <f>IF($G$10&lt;&gt;0,G11/$G$10," ")</f>
        <v/>
      </c>
      <c r="I11" s="336">
        <f>IF(TRIM('03. Dulieutaichinhlamsach_DD'!$G$2)="VND",'03. Dulieutaichinhlamsach_DD'!H13/10^6,'03. Dulieutaichinhlamsach_DD'!H13)</f>
        <v/>
      </c>
      <c r="J11" s="365" t="n"/>
    </row>
    <row r="12">
      <c r="A12" s="693" t="inlineStr">
        <is>
          <t>1. Tiền mặt</t>
        </is>
      </c>
      <c r="B12" s="360">
        <f>IF(TRIM('03. Dulieutaichinhlamsach_DD'!$G$2)="VND",'03. Dulieutaichinhlamsach_DD'!D14/10^6,'03. Dulieutaichinhlamsach_DD'!D14)</f>
        <v/>
      </c>
      <c r="C12" s="360">
        <f>IF(TRIM('03. Dulieutaichinhlamsach_DD'!$G$2)="VND",'03. Dulieutaichinhlamsach_DD'!E14/10^6,'03. Dulieutaichinhlamsach_DD'!E14)</f>
        <v/>
      </c>
      <c r="D12" s="360">
        <f>IF(TRIM('03. Dulieutaichinhlamsach_DD'!$G$2)="VND",'03. Dulieutaichinhlamsach_DD'!F14/10^6,'03. Dulieutaichinhlamsach_DD'!F14)</f>
        <v/>
      </c>
      <c r="E12" s="361">
        <f>IF($D$10&lt;&gt;0,D12/$D$10," ")</f>
        <v/>
      </c>
      <c r="F12" s="334">
        <f>IF(C12&lt;&gt;0,(D12-C12)/C12,"")</f>
        <v/>
      </c>
      <c r="G12" s="360">
        <f>IF(TRIM('03. Dulieutaichinhlamsach_DD'!$G$2)="VND",'03. Dulieutaichinhlamsach_DD'!G14/10^6,'03. Dulieutaichinhlamsach_DD'!G14)</f>
        <v/>
      </c>
      <c r="H12" s="363">
        <f>IF($G$10&lt;&gt;0,G12/$G$10," ")</f>
        <v/>
      </c>
      <c r="I12" s="364">
        <f>IF(TRIM('03. Dulieutaichinhlamsach_DD'!$G$2)="VND",'03. Dulieutaichinhlamsach_DD'!H14/10^6,'03. Dulieutaichinhlamsach_DD'!H14)</f>
        <v/>
      </c>
      <c r="J12" s="365" t="n"/>
    </row>
    <row r="13">
      <c r="A13" s="693" t="inlineStr">
        <is>
          <t>2. Tiền gửi ngân hàng</t>
        </is>
      </c>
      <c r="B13" s="360">
        <f>IF(TRIM('03. Dulieutaichinhlamsach_DD'!$G$2)="VND",'03. Dulieutaichinhlamsach_DD'!D15/10^6,'03. Dulieutaichinhlamsach_DD'!D15)</f>
        <v/>
      </c>
      <c r="C13" s="360">
        <f>IF(TRIM('03. Dulieutaichinhlamsach_DD'!$G$2)="VND",'03. Dulieutaichinhlamsach_DD'!E15/10^6,'03. Dulieutaichinhlamsach_DD'!E15)</f>
        <v/>
      </c>
      <c r="D13" s="360">
        <f>IF(TRIM('03. Dulieutaichinhlamsach_DD'!$G$2)="VND",'03. Dulieutaichinhlamsach_DD'!F15/10^6,'03. Dulieutaichinhlamsach_DD'!F15)</f>
        <v/>
      </c>
      <c r="E13" s="361">
        <f>IF($D$10&lt;&gt;0,D13/$D$10," ")</f>
        <v/>
      </c>
      <c r="F13" s="334">
        <f>IF(C13&lt;&gt;0,(D13-C13)/C13,"")</f>
        <v/>
      </c>
      <c r="G13" s="360">
        <f>IF(TRIM('03. Dulieutaichinhlamsach_DD'!$G$2)="VND",'03. Dulieutaichinhlamsach_DD'!G15/10^6,'03. Dulieutaichinhlamsach_DD'!G15)</f>
        <v/>
      </c>
      <c r="H13" s="363">
        <f>IF($G$10&lt;&gt;0,G13/$G$10," ")</f>
        <v/>
      </c>
      <c r="I13" s="364">
        <f>IF(TRIM('03. Dulieutaichinhlamsach_DD'!$G$2)="VND",'03. Dulieutaichinhlamsach_DD'!H15/10^6,'03. Dulieutaichinhlamsach_DD'!H15)</f>
        <v/>
      </c>
      <c r="J13" s="365" t="n"/>
    </row>
    <row r="14">
      <c r="A14" s="693" t="inlineStr">
        <is>
          <t>3. Tiền đang chuyển</t>
        </is>
      </c>
      <c r="B14" s="360">
        <f>IF(TRIM('03. Dulieutaichinhlamsach_DD'!$G$2)="VND",'03. Dulieutaichinhlamsach_DD'!D16/10^6,'03. Dulieutaichinhlamsach_DD'!D16)</f>
        <v/>
      </c>
      <c r="C14" s="360">
        <f>IF(TRIM('03. Dulieutaichinhlamsach_DD'!$G$2)="VND",'03. Dulieutaichinhlamsach_DD'!E16/10^6,'03. Dulieutaichinhlamsach_DD'!E16)</f>
        <v/>
      </c>
      <c r="D14" s="360">
        <f>IF(TRIM('03. Dulieutaichinhlamsach_DD'!$G$2)="VND",'03. Dulieutaichinhlamsach_DD'!F16/10^6,'03. Dulieutaichinhlamsach_DD'!F16)</f>
        <v/>
      </c>
      <c r="E14" s="361">
        <f>IF($D$10&lt;&gt;0,D14/$D$10," ")</f>
        <v/>
      </c>
      <c r="F14" s="334">
        <f>IF(C14&lt;&gt;0,(D14-C14)/C14,"")</f>
        <v/>
      </c>
      <c r="G14" s="360">
        <f>IF(TRIM('03. Dulieutaichinhlamsach_DD'!$G$2)="VND",'03. Dulieutaichinhlamsach_DD'!G16/10^6,'03. Dulieutaichinhlamsach_DD'!G16)</f>
        <v/>
      </c>
      <c r="H14" s="363">
        <f>IF($G$10&lt;&gt;0,G14/$G$10," ")</f>
        <v/>
      </c>
      <c r="I14" s="364">
        <f>IF(TRIM('03. Dulieutaichinhlamsach_DD'!$G$2)="VND",'03. Dulieutaichinhlamsach_DD'!H16/10^6,'03. Dulieutaichinhlamsach_DD'!H16)</f>
        <v/>
      </c>
      <c r="J14" s="365" t="n"/>
    </row>
    <row r="15">
      <c r="A15" s="692" t="inlineStr">
        <is>
          <t>4. Tiền (trong trường hợp Báo cáo không có 3 thông tin trên)</t>
        </is>
      </c>
      <c r="B15" s="360">
        <f>IF(TRIM('03. Dulieutaichinhlamsach_DD'!$G$2)="VND",'03. Dulieutaichinhlamsach_DD'!D17/10^6,'03. Dulieutaichinhlamsach_DD'!D17)</f>
        <v/>
      </c>
      <c r="C15" s="360">
        <f>IF(TRIM('03. Dulieutaichinhlamsach_DD'!$G$2)="VND",'03. Dulieutaichinhlamsach_DD'!E17/10^6,'03. Dulieutaichinhlamsach_DD'!E17)</f>
        <v/>
      </c>
      <c r="D15" s="360">
        <f>IF(TRIM('03. Dulieutaichinhlamsach_DD'!$G$2)="VND",'03. Dulieutaichinhlamsach_DD'!F17/10^6,'03. Dulieutaichinhlamsach_DD'!F17)</f>
        <v/>
      </c>
      <c r="E15" s="361">
        <f>IF($D$10&lt;&gt;0,D15/$D$10," ")</f>
        <v/>
      </c>
      <c r="F15" s="334">
        <f>IF(C15&lt;&gt;0,(D15-C15)/C15,"")</f>
        <v/>
      </c>
      <c r="G15" s="360">
        <f>IF(TRIM('03. Dulieutaichinhlamsach_DD'!$G$2)="VND",'03. Dulieutaichinhlamsach_DD'!G17/10^6,'03. Dulieutaichinhlamsach_DD'!G17)</f>
        <v/>
      </c>
      <c r="H15" s="363">
        <f>IF($G$10&lt;&gt;0,G15/$G$10," ")</f>
        <v/>
      </c>
      <c r="I15" s="364">
        <f>IF(TRIM('03. Dulieutaichinhlamsach_DD'!$G$2)="VND",'03. Dulieutaichinhlamsach_DD'!H17/10^6,'03. Dulieutaichinhlamsach_DD'!H17)</f>
        <v/>
      </c>
      <c r="J15" s="365" t="n"/>
    </row>
    <row r="16">
      <c r="A16" s="693" t="inlineStr">
        <is>
          <t>5. Các khoản tương đương tiền</t>
        </is>
      </c>
      <c r="B16" s="360">
        <f>IF(TRIM('03. Dulieutaichinhlamsach_DD'!$G$2)="VND",'03. Dulieutaichinhlamsach_DD'!D18/10^6,'03. Dulieutaichinhlamsach_DD'!D18)</f>
        <v/>
      </c>
      <c r="C16" s="360">
        <f>IF(TRIM('03. Dulieutaichinhlamsach_DD'!$G$2)="VND",'03. Dulieutaichinhlamsach_DD'!E18/10^6,'03. Dulieutaichinhlamsach_DD'!E18)</f>
        <v/>
      </c>
      <c r="D16" s="360">
        <f>IF(TRIM('03. Dulieutaichinhlamsach_DD'!$G$2)="VND",'03. Dulieutaichinhlamsach_DD'!F18/10^6,'03. Dulieutaichinhlamsach_DD'!F18)</f>
        <v/>
      </c>
      <c r="E16" s="361">
        <f>IF($D$10&lt;&gt;0,D16/$D$10," ")</f>
        <v/>
      </c>
      <c r="F16" s="334">
        <f>IF(C16&lt;&gt;0,(D16-C16)/C16,"")</f>
        <v/>
      </c>
      <c r="G16" s="360">
        <f>IF(TRIM('03. Dulieutaichinhlamsach_DD'!$G$2)="VND",'03. Dulieutaichinhlamsach_DD'!G18/10^6,'03. Dulieutaichinhlamsach_DD'!G18)</f>
        <v/>
      </c>
      <c r="H16" s="363">
        <f>IF($G$10&lt;&gt;0,G16/$G$10," ")</f>
        <v/>
      </c>
      <c r="I16" s="364">
        <f>IF(TRIM('03. Dulieutaichinhlamsach_DD'!$G$2)="VND",'03. Dulieutaichinhlamsach_DD'!H18/10^6,'03. Dulieutaichinhlamsach_DD'!H18)</f>
        <v/>
      </c>
      <c r="J16" s="365" t="n"/>
    </row>
    <row r="17">
      <c r="A17" s="92" t="inlineStr">
        <is>
          <t>II. Các khoản đầu tư tài chính ngắn hạn</t>
        </is>
      </c>
      <c r="B17" s="332">
        <f>SUM(B18:B21)</f>
        <v/>
      </c>
      <c r="C17" s="332">
        <f>SUM(C18:C21)</f>
        <v/>
      </c>
      <c r="D17" s="332">
        <f>SUM(D18:D21)</f>
        <v/>
      </c>
      <c r="E17" s="361">
        <f>IF($D$10&lt;&gt;0,D17/$D$10," ")</f>
        <v/>
      </c>
      <c r="F17" s="334">
        <f>IF(C17&lt;&gt;0,(D17-C17)/C17,"")</f>
        <v/>
      </c>
      <c r="G17" s="360">
        <f>SUM(G18:G21)</f>
        <v/>
      </c>
      <c r="H17" s="363">
        <f>IF($G$10&lt;&gt;0,G17/$G$10," ")</f>
        <v/>
      </c>
      <c r="I17" s="364">
        <f>SUM(I18:I21)</f>
        <v/>
      </c>
      <c r="J17" s="365" t="n"/>
    </row>
    <row r="18">
      <c r="A18" s="693" t="inlineStr">
        <is>
          <t>1. Chứng khoán đầu tư ngắn hạn</t>
        </is>
      </c>
      <c r="B18" s="360">
        <f>IF(TRIM('03. Dulieutaichinhlamsach_DD'!$G$2)="VND",'03. Dulieutaichinhlamsach_DD'!D20/10^6,'03. Dulieutaichinhlamsach_DD'!D20)</f>
        <v/>
      </c>
      <c r="C18" s="360">
        <f>IF(TRIM('03. Dulieutaichinhlamsach_DD'!$G$2)="VND",'03. Dulieutaichinhlamsach_DD'!E20/10^6,'03. Dulieutaichinhlamsach_DD'!E20)</f>
        <v/>
      </c>
      <c r="D18" s="360">
        <f>IF(TRIM('03. Dulieutaichinhlamsach_DD'!$G$2)="VND",'03. Dulieutaichinhlamsach_DD'!F20/10^6,'03. Dulieutaichinhlamsach_DD'!F20)</f>
        <v/>
      </c>
      <c r="E18" s="361">
        <f>IF($D$10&lt;&gt;0,D18/$D$10," ")</f>
        <v/>
      </c>
      <c r="F18" s="360">
        <f>IF(C18&lt;&gt;0,(D18-C18)/C18,"")</f>
        <v/>
      </c>
      <c r="G18" s="360">
        <f>IF(TRIM('03. Dulieutaichinhlamsach_DD'!$G$2)="VND",'03. Dulieutaichinhlamsach_DD'!G20/10^6,'03. Dulieutaichinhlamsach_DD'!G20)</f>
        <v/>
      </c>
      <c r="H18" s="363">
        <f>IF($G$10&lt;&gt;0,G18/$G$10," ")</f>
        <v/>
      </c>
      <c r="I18" s="364">
        <f>IF(TRIM('03. Dulieutaichinhlamsach_DD'!$G$2)="VND",'03. Dulieutaichinhlamsach_DD'!H20/10^6,'03. Dulieutaichinhlamsach_DD'!H20)</f>
        <v/>
      </c>
      <c r="J18" s="365" t="n"/>
    </row>
    <row r="19">
      <c r="A19" s="693" t="inlineStr">
        <is>
          <t>2. Đầu tư ngắn hạn khác</t>
        </is>
      </c>
      <c r="B19" s="360">
        <f>IF(TRIM('03. Dulieutaichinhlamsach_DD'!$G$2)="VND",'03. Dulieutaichinhlamsach_DD'!D21/10^6,'03. Dulieutaichinhlamsach_DD'!D21)</f>
        <v/>
      </c>
      <c r="C19" s="360">
        <f>IF(TRIM('03. Dulieutaichinhlamsach_DD'!$G$2)="VND",'03. Dulieutaichinhlamsach_DD'!E21/10^6,'03. Dulieutaichinhlamsach_DD'!E21)</f>
        <v/>
      </c>
      <c r="D19" s="360">
        <f>IF(TRIM('03. Dulieutaichinhlamsach_DD'!$G$2)="VND",'03. Dulieutaichinhlamsach_DD'!F21/10^6,'03. Dulieutaichinhlamsach_DD'!F21)</f>
        <v/>
      </c>
      <c r="E19" s="361">
        <f>IF($D$10&lt;&gt;0,D19/$D$10," ")</f>
        <v/>
      </c>
      <c r="F19" s="360">
        <f>IF(C19&lt;&gt;0,(D19-C19)/C19,"")</f>
        <v/>
      </c>
      <c r="G19" s="360">
        <f>IF(TRIM('03. Dulieutaichinhlamsach_DD'!$G$2)="VND",'03. Dulieutaichinhlamsach_DD'!G21/10^6,'03. Dulieutaichinhlamsach_DD'!G21)</f>
        <v/>
      </c>
      <c r="H19" s="363">
        <f>IF($G$10&lt;&gt;0,G19/$G$10," ")</f>
        <v/>
      </c>
      <c r="I19" s="364">
        <f>IF(TRIM('03. Dulieutaichinhlamsach_DD'!$G$2)="VND",'03. Dulieutaichinhlamsach_DD'!H21/10^6,'03. Dulieutaichinhlamsach_DD'!H21)</f>
        <v/>
      </c>
      <c r="J19" s="365" t="n"/>
    </row>
    <row r="20">
      <c r="A20" s="693" t="inlineStr">
        <is>
          <t>3. Dự phòng giảm giá đầu tư ngắn hạn</t>
        </is>
      </c>
      <c r="B20" s="360">
        <f>IF(TRIM('03. Dulieutaichinhlamsach_DD'!$G$2)="VND",'03. Dulieutaichinhlamsach_DD'!D22/10^6,'03. Dulieutaichinhlamsach_DD'!D22)</f>
        <v/>
      </c>
      <c r="C20" s="360">
        <f>IF(TRIM('03. Dulieutaichinhlamsach_DD'!$G$2)="VND",'03. Dulieutaichinhlamsach_DD'!E22/10^6,'03. Dulieutaichinhlamsach_DD'!E22)</f>
        <v/>
      </c>
      <c r="D20" s="360">
        <f>IF(TRIM('03. Dulieutaichinhlamsach_DD'!$G$2)="VND",'03. Dulieutaichinhlamsach_DD'!F22/10^6,'03. Dulieutaichinhlamsach_DD'!F22)</f>
        <v/>
      </c>
      <c r="E20" s="361">
        <f>IF($D$10&lt;&gt;0,D20/$D$10," ")</f>
        <v/>
      </c>
      <c r="F20" s="360">
        <f>IF(C20&lt;&gt;0,(D20-C20)/C20,"")</f>
        <v/>
      </c>
      <c r="G20" s="360">
        <f>IF(TRIM('03. Dulieutaichinhlamsach_DD'!$G$2)="VND",'03. Dulieutaichinhlamsach_DD'!G22/10^6,'03. Dulieutaichinhlamsach_DD'!G22)</f>
        <v/>
      </c>
      <c r="H20" s="363">
        <f>IF($G$10&lt;&gt;0,G20/$G$10," ")</f>
        <v/>
      </c>
      <c r="I20" s="364">
        <f>IF(TRIM('03. Dulieutaichinhlamsach_DD'!$G$2)="VND",'03. Dulieutaichinhlamsach_DD'!H22/10^6,'03. Dulieutaichinhlamsach_DD'!H22)</f>
        <v/>
      </c>
      <c r="J20" s="365" t="n"/>
    </row>
    <row r="21">
      <c r="A21" s="693" t="inlineStr">
        <is>
          <t>4. Đầu tư tài chính ngắn hạn (trong trường hợp báo cáo không có thông tin)</t>
        </is>
      </c>
      <c r="B21" s="360">
        <f>IF(TRIM('03. Dulieutaichinhlamsach_DD'!$G$2)="VND",'03. Dulieutaichinhlamsach_DD'!D23/10^6,'03. Dulieutaichinhlamsach_DD'!D23)</f>
        <v/>
      </c>
      <c r="C21" s="360">
        <f>IF(TRIM('03. Dulieutaichinhlamsach_DD'!$G$2)="VND",'03. Dulieutaichinhlamsach_DD'!E23/10^6,'03. Dulieutaichinhlamsach_DD'!E23)</f>
        <v/>
      </c>
      <c r="D21" s="360">
        <f>IF(TRIM('03. Dulieutaichinhlamsach_DD'!$G$2)="VND",'03. Dulieutaichinhlamsach_DD'!F23/10^6,'03. Dulieutaichinhlamsach_DD'!F23)</f>
        <v/>
      </c>
      <c r="E21" s="361">
        <f>IF($D$10&lt;&gt;0,D21/$D$10," ")</f>
        <v/>
      </c>
      <c r="F21" s="360">
        <f>IF(C21&lt;&gt;0,(D21-C21)/C21,"")</f>
        <v/>
      </c>
      <c r="G21" s="360">
        <f>IF(TRIM('03. Dulieutaichinhlamsach_DD'!$G$2)="VND",'03. Dulieutaichinhlamsach_DD'!G23/10^6,'03. Dulieutaichinhlamsach_DD'!G23)</f>
        <v/>
      </c>
      <c r="H21" s="363">
        <f>IF($G$10&lt;&gt;0,G21/$G$10," ")</f>
        <v/>
      </c>
      <c r="I21" s="364">
        <f>IF(TRIM('03. Dulieutaichinhlamsach_DD'!$G$2)="VND",'03. Dulieutaichinhlamsach_DD'!H23/10^6,'03. Dulieutaichinhlamsach_DD'!H23)</f>
        <v/>
      </c>
      <c r="J21" s="365" t="n"/>
    </row>
    <row r="22">
      <c r="A22" s="92" t="inlineStr">
        <is>
          <t>III. Các khoản phải thu ngắn hạn</t>
        </is>
      </c>
      <c r="B22" s="332">
        <f>SUM(B23:B28)</f>
        <v/>
      </c>
      <c r="C22" s="332">
        <f>SUM(C23:C28)</f>
        <v/>
      </c>
      <c r="D22" s="332">
        <f>SUM(D23:D28)</f>
        <v/>
      </c>
      <c r="E22" s="361">
        <f>IF($D$10&lt;&gt;0,D22/$D$10," ")</f>
        <v/>
      </c>
      <c r="F22" s="334">
        <f>IF(C22&lt;&gt;0,(D22-C22)/C22,"")</f>
        <v/>
      </c>
      <c r="G22" s="332">
        <f>SUM(G23:G28)</f>
        <v/>
      </c>
      <c r="H22" s="363">
        <f>IF($G$10&lt;&gt;0,G22/$G$10," ")</f>
        <v/>
      </c>
      <c r="I22" s="364">
        <f>SUM(I23:I28)</f>
        <v/>
      </c>
      <c r="J22" s="365" t="n"/>
    </row>
    <row r="23">
      <c r="A23" s="693" t="inlineStr">
        <is>
          <t>1. Phải thu khách hàng</t>
        </is>
      </c>
      <c r="B23" s="360">
        <f>IF(TRIM('03. Dulieutaichinhlamsach_DD'!$G$2)="VND",'03. Dulieutaichinhlamsach_DD'!D25/10^6,'03. Dulieutaichinhlamsach_DD'!D25)</f>
        <v/>
      </c>
      <c r="C23" s="360">
        <f>IF(TRIM('03. Dulieutaichinhlamsach_DD'!$G$2)="VND",'03. Dulieutaichinhlamsach_DD'!E25/10^6,'03. Dulieutaichinhlamsach_DD'!E25)</f>
        <v/>
      </c>
      <c r="D23" s="360">
        <f>IF(TRIM('03. Dulieutaichinhlamsach_DD'!$G$2)="VND",'03. Dulieutaichinhlamsach_DD'!F25/10^6,'03. Dulieutaichinhlamsach_DD'!F25)</f>
        <v/>
      </c>
      <c r="E23" s="361">
        <f>IF($D$10&lt;&gt;0,D23/$D$10," ")</f>
        <v/>
      </c>
      <c r="F23" s="362">
        <f>IF(C23&lt;&gt;0,(D23-C23)/C23,"")</f>
        <v/>
      </c>
      <c r="G23" s="360">
        <f>IF(TRIM('03. Dulieutaichinhlamsach_DD'!$G$2)="VND",'03. Dulieutaichinhlamsach_DD'!G25/10^6,'03. Dulieutaichinhlamsach_DD'!G25)</f>
        <v/>
      </c>
      <c r="H23" s="363">
        <f>IF($G$10&lt;&gt;0,G23/$G$10," ")</f>
        <v/>
      </c>
      <c r="I23" s="364">
        <f>IF(TRIM('03. Dulieutaichinhlamsach_DD'!$G$2)="VND",'03. Dulieutaichinhlamsach_DD'!H25/10^6,'03. Dulieutaichinhlamsach_DD'!H25)</f>
        <v/>
      </c>
      <c r="J23" s="365" t="n"/>
    </row>
    <row r="24">
      <c r="A24" s="693" t="inlineStr">
        <is>
          <t>2. Trả trước cho người bán</t>
        </is>
      </c>
      <c r="B24" s="360">
        <f>IF(TRIM('03. Dulieutaichinhlamsach_DD'!$G$2)="VND",'03. Dulieutaichinhlamsach_DD'!D26/10^6,'03. Dulieutaichinhlamsach_DD'!D26)</f>
        <v/>
      </c>
      <c r="C24" s="360">
        <f>IF(TRIM('03. Dulieutaichinhlamsach_DD'!$G$2)="VND",'03. Dulieutaichinhlamsach_DD'!E26/10^6,'03. Dulieutaichinhlamsach_DD'!E26)</f>
        <v/>
      </c>
      <c r="D24" s="360">
        <f>IF(TRIM('03. Dulieutaichinhlamsach_DD'!$G$2)="VND",'03. Dulieutaichinhlamsach_DD'!F26/10^6,'03. Dulieutaichinhlamsach_DD'!F26)</f>
        <v/>
      </c>
      <c r="E24" s="361">
        <f>IF($D$10&lt;&gt;0,D24/$D$10," ")</f>
        <v/>
      </c>
      <c r="F24" s="362">
        <f>IF(C24&lt;&gt;0,(D24-C24)/C24,"")</f>
        <v/>
      </c>
      <c r="G24" s="360">
        <f>IF(TRIM('03. Dulieutaichinhlamsach_DD'!$G$2)="VND",'03. Dulieutaichinhlamsach_DD'!G26/10^6,'03. Dulieutaichinhlamsach_DD'!G26)</f>
        <v/>
      </c>
      <c r="H24" s="363">
        <f>IF($G$10&lt;&gt;0,G24/$G$10," ")</f>
        <v/>
      </c>
      <c r="I24" s="364">
        <f>IF(TRIM('03. Dulieutaichinhlamsach_DD'!$G$2)="VND",'03. Dulieutaichinhlamsach_DD'!H26/10^6,'03. Dulieutaichinhlamsach_DD'!H26)</f>
        <v/>
      </c>
      <c r="J24" s="365" t="n"/>
    </row>
    <row r="25">
      <c r="A25" s="693" t="inlineStr">
        <is>
          <t>3. Phải thu nội bộ ngắn hạn</t>
        </is>
      </c>
      <c r="B25" s="360">
        <f>IF(TRIM('03. Dulieutaichinhlamsach_DD'!$G$2)="VND",'03. Dulieutaichinhlamsach_DD'!D27/10^6,'03. Dulieutaichinhlamsach_DD'!D27)</f>
        <v/>
      </c>
      <c r="C25" s="360">
        <f>IF(TRIM('03. Dulieutaichinhlamsach_DD'!$G$2)="VND",'03. Dulieutaichinhlamsach_DD'!E27/10^6,'03. Dulieutaichinhlamsach_DD'!E27)</f>
        <v/>
      </c>
      <c r="D25" s="360">
        <f>IF(TRIM('03. Dulieutaichinhlamsach_DD'!$G$2)="VND",'03. Dulieutaichinhlamsach_DD'!F27/10^6,'03. Dulieutaichinhlamsach_DD'!F27)</f>
        <v/>
      </c>
      <c r="E25" s="361">
        <f>IF($D$10&lt;&gt;0,D25/$D$10," ")</f>
        <v/>
      </c>
      <c r="F25" s="362">
        <f>IF(C25&lt;&gt;0,(D25-C25)/C25,"")</f>
        <v/>
      </c>
      <c r="G25" s="360">
        <f>IF(TRIM('03. Dulieutaichinhlamsach_DD'!$G$2)="VND",'03. Dulieutaichinhlamsach_DD'!G27/10^6,'03. Dulieutaichinhlamsach_DD'!G27)</f>
        <v/>
      </c>
      <c r="H25" s="363">
        <f>IF($G$10&lt;&gt;0,G25/$G$10," ")</f>
        <v/>
      </c>
      <c r="I25" s="364">
        <f>IF(TRIM('03. Dulieutaichinhlamsach_DD'!$G$2)="VND",'03. Dulieutaichinhlamsach_DD'!H27/10^6,'03. Dulieutaichinhlamsach_DD'!H27)</f>
        <v/>
      </c>
      <c r="J25" s="365" t="n"/>
    </row>
    <row r="26">
      <c r="A26" s="693" t="inlineStr">
        <is>
          <t>4. Phải thu theo tiến độ kế hoạch hợp đồng xây dựng</t>
        </is>
      </c>
      <c r="B26" s="360">
        <f>IF(TRIM('03. Dulieutaichinhlamsach_DD'!$G$2)="VND",'03. Dulieutaichinhlamsach_DD'!D28/10^6,'03. Dulieutaichinhlamsach_DD'!D28)</f>
        <v/>
      </c>
      <c r="C26" s="360">
        <f>IF(TRIM('03. Dulieutaichinhlamsach_DD'!$G$2)="VND",'03. Dulieutaichinhlamsach_DD'!E28/10^6,'03. Dulieutaichinhlamsach_DD'!E28)</f>
        <v/>
      </c>
      <c r="D26" s="360">
        <f>IF(TRIM('03. Dulieutaichinhlamsach_DD'!$G$2)="VND",'03. Dulieutaichinhlamsach_DD'!F28/10^6,'03. Dulieutaichinhlamsach_DD'!F28)</f>
        <v/>
      </c>
      <c r="E26" s="361">
        <f>IF($D$10&lt;&gt;0,D26/$D$10," ")</f>
        <v/>
      </c>
      <c r="F26" s="362">
        <f>IF(C26&lt;&gt;0,(D26-C26)/C26,"")</f>
        <v/>
      </c>
      <c r="G26" s="360">
        <f>IF(TRIM('03. Dulieutaichinhlamsach_DD'!$G$2)="VND",'03. Dulieutaichinhlamsach_DD'!G28/10^6,'03. Dulieutaichinhlamsach_DD'!G28)</f>
        <v/>
      </c>
      <c r="H26" s="363">
        <f>IF($G$10&lt;&gt;0,G26/$G$10," ")</f>
        <v/>
      </c>
      <c r="I26" s="364">
        <f>IF(TRIM('03. Dulieutaichinhlamsach_DD'!$G$2)="VND",'03. Dulieutaichinhlamsach_DD'!H28/10^6,'03. Dulieutaichinhlamsach_DD'!H28)</f>
        <v/>
      </c>
      <c r="J26" s="365" t="n"/>
    </row>
    <row r="27">
      <c r="A27" s="693" t="inlineStr">
        <is>
          <t>5. Các khoản phải thu khác</t>
        </is>
      </c>
      <c r="B27" s="360">
        <f>IF(TRIM('03. Dulieutaichinhlamsach_DD'!$G$2)="VND",'03. Dulieutaichinhlamsach_DD'!D29/10^6,'03. Dulieutaichinhlamsach_DD'!D29)</f>
        <v/>
      </c>
      <c r="C27" s="360">
        <f>IF(TRIM('03. Dulieutaichinhlamsach_DD'!$G$2)="VND",'03. Dulieutaichinhlamsach_DD'!E29/10^6,'03. Dulieutaichinhlamsach_DD'!E29)</f>
        <v/>
      </c>
      <c r="D27" s="360">
        <f>IF(TRIM('03. Dulieutaichinhlamsach_DD'!$G$2)="VND",'03. Dulieutaichinhlamsach_DD'!F29/10^6,'03. Dulieutaichinhlamsach_DD'!F29)</f>
        <v/>
      </c>
      <c r="E27" s="361">
        <f>IF($D$10&lt;&gt;0,D27/$D$10," ")</f>
        <v/>
      </c>
      <c r="F27" s="362">
        <f>IF(C27&lt;&gt;0,(D27-C27)/C27,"")</f>
        <v/>
      </c>
      <c r="G27" s="360">
        <f>IF(TRIM('03. Dulieutaichinhlamsach_DD'!$G$2)="VND",'03. Dulieutaichinhlamsach_DD'!G29/10^6,'03. Dulieutaichinhlamsach_DD'!G29)</f>
        <v/>
      </c>
      <c r="H27" s="363">
        <f>IF($G$10&lt;&gt;0,G27/$G$10," ")</f>
        <v/>
      </c>
      <c r="I27" s="364">
        <f>IF(TRIM('03. Dulieutaichinhlamsach_DD'!$G$2)="VND",'03. Dulieutaichinhlamsach_DD'!H29/10^6,'03. Dulieutaichinhlamsach_DD'!H29)</f>
        <v/>
      </c>
      <c r="J27" s="365" t="n"/>
    </row>
    <row r="28">
      <c r="A28" s="693" t="inlineStr">
        <is>
          <t>6. Dự phòng phải thu ngắn hạn khó đòi</t>
        </is>
      </c>
      <c r="B28" s="360">
        <f>IF(TRIM('03. Dulieutaichinhlamsach_DD'!$G$2)="VND",'03. Dulieutaichinhlamsach_DD'!D30/10^6,'03. Dulieutaichinhlamsach_DD'!D30)</f>
        <v/>
      </c>
      <c r="C28" s="360">
        <f>IF(TRIM('03. Dulieutaichinhlamsach_DD'!$G$2)="VND",'03. Dulieutaichinhlamsach_DD'!E30/10^6,'03. Dulieutaichinhlamsach_DD'!E30)</f>
        <v/>
      </c>
      <c r="D28" s="360">
        <f>IF(TRIM('03. Dulieutaichinhlamsach_DD'!$G$2)="VND",'03. Dulieutaichinhlamsach_DD'!F30/10^6,'03. Dulieutaichinhlamsach_DD'!F30)</f>
        <v/>
      </c>
      <c r="E28" s="361">
        <f>IF($D$10&lt;&gt;0,D28/$D$10," ")</f>
        <v/>
      </c>
      <c r="F28" s="362">
        <f>IF(C28&lt;&gt;0,(D28-C28)/C28,"")</f>
        <v/>
      </c>
      <c r="G28" s="360">
        <f>IF(TRIM('03. Dulieutaichinhlamsach_DD'!$G$2)="VND",'03. Dulieutaichinhlamsach_DD'!G30/10^6,'03. Dulieutaichinhlamsach_DD'!G30)</f>
        <v/>
      </c>
      <c r="H28" s="363">
        <f>IF($G$10&lt;&gt;0,G28/$G$10," ")</f>
        <v/>
      </c>
      <c r="I28" s="364">
        <f>IF(TRIM('03. Dulieutaichinhlamsach_DD'!$G$2)="VND",'03. Dulieutaichinhlamsach_DD'!H30/10^6,'03. Dulieutaichinhlamsach_DD'!H30)</f>
        <v/>
      </c>
      <c r="J28" s="365" t="n"/>
    </row>
    <row r="29">
      <c r="A29" s="92" t="inlineStr">
        <is>
          <t>IV. Hàng tồn kho</t>
        </is>
      </c>
      <c r="B29" s="332">
        <f>SUM(B30:B40)</f>
        <v/>
      </c>
      <c r="C29" s="332">
        <f>SUM(C30:C40)</f>
        <v/>
      </c>
      <c r="D29" s="332">
        <f>SUM(D30:D40)</f>
        <v/>
      </c>
      <c r="E29" s="361">
        <f>IF($D$10&lt;&gt;0,D29/$D$10," ")</f>
        <v/>
      </c>
      <c r="F29" s="334">
        <f>IF(C29&lt;&gt;0,(D29-C29)/C29,"")</f>
        <v/>
      </c>
      <c r="G29" s="332">
        <f>SUM(G30:G40)</f>
        <v/>
      </c>
      <c r="H29" s="363">
        <f>IF($G$10&lt;&gt;0,G29/$G$10," ")</f>
        <v/>
      </c>
      <c r="I29" s="336">
        <f>SUM(I30:I40)</f>
        <v/>
      </c>
      <c r="J29" s="893" t="n"/>
    </row>
    <row r="30">
      <c r="A30" s="693" t="inlineStr">
        <is>
          <t>1. Hàng mua đang đi đường</t>
        </is>
      </c>
      <c r="B30" s="360">
        <f>IF(TRIM('03. Dulieutaichinhlamsach_DD'!$G$2)="VND",'03. Dulieutaichinhlamsach_DD'!D32/10^6,'03. Dulieutaichinhlamsach_DD'!D32)</f>
        <v/>
      </c>
      <c r="C30" s="360">
        <f>IF(TRIM('03. Dulieutaichinhlamsach_DD'!$G$2)="VND",'03. Dulieutaichinhlamsach_DD'!E32/10^6,'03. Dulieutaichinhlamsach_DD'!E32)</f>
        <v/>
      </c>
      <c r="D30" s="360">
        <f>IF(TRIM('03. Dulieutaichinhlamsach_DD'!$G$2)="VND",'03. Dulieutaichinhlamsach_DD'!F32/10^6,'03. Dulieutaichinhlamsach_DD'!F32)</f>
        <v/>
      </c>
      <c r="E30" s="361">
        <f>IF($D$10&lt;&gt;0,D30/$D$10," ")</f>
        <v/>
      </c>
      <c r="F30" s="362">
        <f>IF(C30&lt;&gt;0,(D30-C30)/C30,"")</f>
        <v/>
      </c>
      <c r="G30" s="360">
        <f>IF(TRIM('03. Dulieutaichinhlamsach_DD'!$G$2)="VND",'03. Dulieutaichinhlamsach_DD'!G32/10^6,'03. Dulieutaichinhlamsach_DD'!G32)</f>
        <v/>
      </c>
      <c r="H30" s="363">
        <f>IF($G$10&lt;&gt;0,G30/$G$10," ")</f>
        <v/>
      </c>
      <c r="I30" s="364">
        <f>IF(TRIM('03. Dulieutaichinhlamsach_DD'!$G$2)="VND",'03. Dulieutaichinhlamsach_DD'!H32/10^6,'03. Dulieutaichinhlamsach_DD'!H32)</f>
        <v/>
      </c>
      <c r="J30" s="894" t="n"/>
    </row>
    <row r="31">
      <c r="A31" s="693" t="inlineStr">
        <is>
          <t>2. Nguyên liệu, vật liệu</t>
        </is>
      </c>
      <c r="B31" s="360">
        <f>IF(TRIM('03. Dulieutaichinhlamsach_DD'!$G$2)="VND",'03. Dulieutaichinhlamsach_DD'!D33/10^6,'03. Dulieutaichinhlamsach_DD'!D33)</f>
        <v/>
      </c>
      <c r="C31" s="360">
        <f>IF(TRIM('03. Dulieutaichinhlamsach_DD'!$G$2)="VND",'03. Dulieutaichinhlamsach_DD'!E33/10^6,'03. Dulieutaichinhlamsach_DD'!E33)</f>
        <v/>
      </c>
      <c r="D31" s="360">
        <f>IF(TRIM('03. Dulieutaichinhlamsach_DD'!$G$2)="VND",'03. Dulieutaichinhlamsach_DD'!F33/10^6,'03. Dulieutaichinhlamsach_DD'!F33)</f>
        <v/>
      </c>
      <c r="E31" s="361">
        <f>IF($D$10&lt;&gt;0,D31/$D$10," ")</f>
        <v/>
      </c>
      <c r="F31" s="362">
        <f>IF(C31&lt;&gt;0,(D31-C31)/C31,"")</f>
        <v/>
      </c>
      <c r="G31" s="360">
        <f>IF(TRIM('03. Dulieutaichinhlamsach_DD'!$G$2)="VND",'03. Dulieutaichinhlamsach_DD'!G33/10^6,'03. Dulieutaichinhlamsach_DD'!G33)</f>
        <v/>
      </c>
      <c r="H31" s="363">
        <f>IF($G$10&lt;&gt;0,G31/$G$10," ")</f>
        <v/>
      </c>
      <c r="I31" s="364">
        <f>IF(TRIM('03. Dulieutaichinhlamsach_DD'!$G$2)="VND",'03. Dulieutaichinhlamsach_DD'!H33/10^6,'03. Dulieutaichinhlamsach_DD'!H33)</f>
        <v/>
      </c>
      <c r="J31" s="365" t="n"/>
    </row>
    <row r="32">
      <c r="A32" s="693" t="inlineStr">
        <is>
          <t>3. Công cụ, dụng cụ</t>
        </is>
      </c>
      <c r="B32" s="360">
        <f>IF(TRIM('03. Dulieutaichinhlamsach_DD'!$G$2)="VND",'03. Dulieutaichinhlamsach_DD'!D34/10^6,'03. Dulieutaichinhlamsach_DD'!D34)</f>
        <v/>
      </c>
      <c r="C32" s="360">
        <f>IF(TRIM('03. Dulieutaichinhlamsach_DD'!$G$2)="VND",'03. Dulieutaichinhlamsach_DD'!E34/10^6,'03. Dulieutaichinhlamsach_DD'!E34)</f>
        <v/>
      </c>
      <c r="D32" s="360">
        <f>IF(TRIM('03. Dulieutaichinhlamsach_DD'!$G$2)="VND",'03. Dulieutaichinhlamsach_DD'!F34/10^6,'03. Dulieutaichinhlamsach_DD'!F34)</f>
        <v/>
      </c>
      <c r="E32" s="361">
        <f>IF($D$10&lt;&gt;0,D32/$D$10," ")</f>
        <v/>
      </c>
      <c r="F32" s="362">
        <f>IF(C32&lt;&gt;0,(D32-C32)/C32,"")</f>
        <v/>
      </c>
      <c r="G32" s="360">
        <f>IF(TRIM('03. Dulieutaichinhlamsach_DD'!$G$2)="VND",'03. Dulieutaichinhlamsach_DD'!G34/10^6,'03. Dulieutaichinhlamsach_DD'!G34)</f>
        <v/>
      </c>
      <c r="H32" s="363">
        <f>IF($G$10&lt;&gt;0,G32/$G$10," ")</f>
        <v/>
      </c>
      <c r="I32" s="364">
        <f>IF(TRIM('03. Dulieutaichinhlamsach_DD'!$G$2)="VND",'03. Dulieutaichinhlamsach_DD'!H34/10^6,'03. Dulieutaichinhlamsach_DD'!H34)</f>
        <v/>
      </c>
      <c r="J32" s="340" t="n"/>
    </row>
    <row r="33">
      <c r="A33" s="693" t="inlineStr">
        <is>
          <t>4. Chi phí SX, KD dở dang</t>
        </is>
      </c>
      <c r="B33" s="360">
        <f>IF(TRIM('03. Dulieutaichinhlamsach_DD'!$G$2)="VND",'03. Dulieutaichinhlamsach_DD'!D35/10^6,'03. Dulieutaichinhlamsach_DD'!D35)</f>
        <v/>
      </c>
      <c r="C33" s="360">
        <f>IF(TRIM('03. Dulieutaichinhlamsach_DD'!$G$2)="VND",'03. Dulieutaichinhlamsach_DD'!E35/10^6,'03. Dulieutaichinhlamsach_DD'!E35)</f>
        <v/>
      </c>
      <c r="D33" s="360">
        <f>IF(TRIM('03. Dulieutaichinhlamsach_DD'!$G$2)="VND",'03. Dulieutaichinhlamsach_DD'!F35/10^6,'03. Dulieutaichinhlamsach_DD'!F35)</f>
        <v/>
      </c>
      <c r="E33" s="361">
        <f>IF($D$10&lt;&gt;0,D33/$D$10," ")</f>
        <v/>
      </c>
      <c r="F33" s="362">
        <f>IF(C33&lt;&gt;0,(D33-C33)/C33,"")</f>
        <v/>
      </c>
      <c r="G33" s="360">
        <f>IF(TRIM('03. Dulieutaichinhlamsach_DD'!$G$2)="VND",'03. Dulieutaichinhlamsach_DD'!G35/10^6,'03. Dulieutaichinhlamsach_DD'!G35)</f>
        <v/>
      </c>
      <c r="H33" s="363">
        <f>IF($G$10&lt;&gt;0,G33/$G$10," ")</f>
        <v/>
      </c>
      <c r="I33" s="364">
        <f>IF(TRIM('03. Dulieutaichinhlamsach_DD'!$G$2)="VND",'03. Dulieutaichinhlamsach_DD'!H35/10^6,'03. Dulieutaichinhlamsach_DD'!H35)</f>
        <v/>
      </c>
      <c r="J33" s="365" t="n"/>
    </row>
    <row r="34">
      <c r="A34" s="693" t="inlineStr">
        <is>
          <t>5. Thành phẩm</t>
        </is>
      </c>
      <c r="B34" s="360">
        <f>IF(TRIM('03. Dulieutaichinhlamsach_DD'!$G$2)="VND",'03. Dulieutaichinhlamsach_DD'!D36/10^6,'03. Dulieutaichinhlamsach_DD'!D36)</f>
        <v/>
      </c>
      <c r="C34" s="360">
        <f>IF(TRIM('03. Dulieutaichinhlamsach_DD'!$G$2)="VND",'03. Dulieutaichinhlamsach_DD'!E36/10^6,'03. Dulieutaichinhlamsach_DD'!E36)</f>
        <v/>
      </c>
      <c r="D34" s="360">
        <f>IF(TRIM('03. Dulieutaichinhlamsach_DD'!$G$2)="VND",'03. Dulieutaichinhlamsach_DD'!F36/10^6,'03. Dulieutaichinhlamsach_DD'!F36)</f>
        <v/>
      </c>
      <c r="E34" s="361">
        <f>IF($D$10&lt;&gt;0,D34/$D$10," ")</f>
        <v/>
      </c>
      <c r="F34" s="362">
        <f>IF(C34&lt;&gt;0,(D34-C34)/C34,"")</f>
        <v/>
      </c>
      <c r="G34" s="360">
        <f>IF(TRIM('03. Dulieutaichinhlamsach_DD'!$G$2)="VND",'03. Dulieutaichinhlamsach_DD'!G36/10^6,'03. Dulieutaichinhlamsach_DD'!G36)</f>
        <v/>
      </c>
      <c r="H34" s="363">
        <f>IF($G$10&lt;&gt;0,G34/$G$10," ")</f>
        <v/>
      </c>
      <c r="I34" s="364">
        <f>IF(TRIM('03. Dulieutaichinhlamsach_DD'!$G$2)="VND",'03. Dulieutaichinhlamsach_DD'!H36/10^6,'03. Dulieutaichinhlamsach_DD'!H36)</f>
        <v/>
      </c>
      <c r="J34" s="365" t="n"/>
    </row>
    <row r="35">
      <c r="A35" s="693" t="inlineStr">
        <is>
          <t>6. Hàng hóa</t>
        </is>
      </c>
      <c r="B35" s="360">
        <f>IF(TRIM('03. Dulieutaichinhlamsach_DD'!$G$2)="VND",'03. Dulieutaichinhlamsach_DD'!D37/10^6,'03. Dulieutaichinhlamsach_DD'!D37)</f>
        <v/>
      </c>
      <c r="C35" s="360">
        <f>IF(TRIM('03. Dulieutaichinhlamsach_DD'!$G$2)="VND",'03. Dulieutaichinhlamsach_DD'!E37/10^6,'03. Dulieutaichinhlamsach_DD'!E37)</f>
        <v/>
      </c>
      <c r="D35" s="360">
        <f>IF(TRIM('03. Dulieutaichinhlamsach_DD'!$G$2)="VND",'03. Dulieutaichinhlamsach_DD'!F37/10^6,'03. Dulieutaichinhlamsach_DD'!F37)</f>
        <v/>
      </c>
      <c r="E35" s="361">
        <f>IF($D$10&lt;&gt;0,D35/$D$10," ")</f>
        <v/>
      </c>
      <c r="F35" s="362">
        <f>IF(C35&lt;&gt;0,(D35-C35)/C35,"")</f>
        <v/>
      </c>
      <c r="G35" s="360">
        <f>IF(TRIM('03. Dulieutaichinhlamsach_DD'!$G$2)="VND",'03. Dulieutaichinhlamsach_DD'!G37/10^6,'03. Dulieutaichinhlamsach_DD'!G37)</f>
        <v/>
      </c>
      <c r="H35" s="363">
        <f>IF($G$10&lt;&gt;0,G35/$G$10," ")</f>
        <v/>
      </c>
      <c r="I35" s="364">
        <f>IF(TRIM('03. Dulieutaichinhlamsach_DD'!$G$2)="VND",'03. Dulieutaichinhlamsach_DD'!H37/10^6,'03. Dulieutaichinhlamsach_DD'!H37)</f>
        <v/>
      </c>
      <c r="J35" s="365" t="n"/>
    </row>
    <row r="36">
      <c r="A36" s="693" t="inlineStr">
        <is>
          <t>7. Hàng gửi đi bán</t>
        </is>
      </c>
      <c r="B36" s="360">
        <f>IF(TRIM('03. Dulieutaichinhlamsach_DD'!$G$2)="VND",'03. Dulieutaichinhlamsach_DD'!D38/10^6,'03. Dulieutaichinhlamsach_DD'!D38)</f>
        <v/>
      </c>
      <c r="C36" s="360">
        <f>IF(TRIM('03. Dulieutaichinhlamsach_DD'!$G$2)="VND",'03. Dulieutaichinhlamsach_DD'!E38/10^6,'03. Dulieutaichinhlamsach_DD'!E38)</f>
        <v/>
      </c>
      <c r="D36" s="360">
        <f>IF(TRIM('03. Dulieutaichinhlamsach_DD'!$G$2)="VND",'03. Dulieutaichinhlamsach_DD'!F38/10^6,'03. Dulieutaichinhlamsach_DD'!F38)</f>
        <v/>
      </c>
      <c r="E36" s="361">
        <f>IF($D$10&lt;&gt;0,D36/$D$10," ")</f>
        <v/>
      </c>
      <c r="F36" s="362">
        <f>IF(C36&lt;&gt;0,(D36-C36)/C36,"")</f>
        <v/>
      </c>
      <c r="G36" s="360">
        <f>IF(TRIM('03. Dulieutaichinhlamsach_DD'!$G$2)="VND",'03. Dulieutaichinhlamsach_DD'!G38/10^6,'03. Dulieutaichinhlamsach_DD'!G38)</f>
        <v/>
      </c>
      <c r="H36" s="363">
        <f>IF($G$10&lt;&gt;0,G36/$G$10," ")</f>
        <v/>
      </c>
      <c r="I36" s="364">
        <f>IF(TRIM('03. Dulieutaichinhlamsach_DD'!$G$2)="VND",'03. Dulieutaichinhlamsach_DD'!H38/10^6,'03. Dulieutaichinhlamsach_DD'!H38)</f>
        <v/>
      </c>
      <c r="J36" s="365" t="n"/>
    </row>
    <row r="37">
      <c r="A37" s="693" t="inlineStr">
        <is>
          <t>8. Hàng hóa kho bảo thuế</t>
        </is>
      </c>
      <c r="B37" s="360">
        <f>IF(TRIM('03. Dulieutaichinhlamsach_DD'!$G$2)="VND",'03. Dulieutaichinhlamsach_DD'!D39/10^6,'03. Dulieutaichinhlamsach_DD'!D39)</f>
        <v/>
      </c>
      <c r="C37" s="360">
        <f>IF(TRIM('03. Dulieutaichinhlamsach_DD'!$G$2)="VND",'03. Dulieutaichinhlamsach_DD'!E39/10^6,'03. Dulieutaichinhlamsach_DD'!E39)</f>
        <v/>
      </c>
      <c r="D37" s="360">
        <f>IF(TRIM('03. Dulieutaichinhlamsach_DD'!$G$2)="VND",'03. Dulieutaichinhlamsach_DD'!F39/10^6,'03. Dulieutaichinhlamsach_DD'!F39)</f>
        <v/>
      </c>
      <c r="E37" s="361">
        <f>IF($D$10&lt;&gt;0,D37/$D$10," ")</f>
        <v/>
      </c>
      <c r="F37" s="362">
        <f>IF(C37&lt;&gt;0,(D37-C37)/C37,"")</f>
        <v/>
      </c>
      <c r="G37" s="360">
        <f>IF(TRIM('03. Dulieutaichinhlamsach_DD'!$G$2)="VND",'03. Dulieutaichinhlamsach_DD'!G39/10^6,'03. Dulieutaichinhlamsach_DD'!G39)</f>
        <v/>
      </c>
      <c r="H37" s="363">
        <f>IF($G$10&lt;&gt;0,G37/$G$10," ")</f>
        <v/>
      </c>
      <c r="I37" s="364">
        <f>IF(TRIM('03. Dulieutaichinhlamsach_DD'!$G$2)="VND",'03. Dulieutaichinhlamsach_DD'!H39/10^6,'03. Dulieutaichinhlamsach_DD'!H39)</f>
        <v/>
      </c>
      <c r="J37" s="365" t="n"/>
    </row>
    <row r="38">
      <c r="A38" s="693" t="inlineStr">
        <is>
          <t>9. Hàng hóa bất động sản</t>
        </is>
      </c>
      <c r="B38" s="360">
        <f>IF(TRIM('03. Dulieutaichinhlamsach_DD'!$G$2)="VND",'03. Dulieutaichinhlamsach_DD'!D40/10^6,'03. Dulieutaichinhlamsach_DD'!D40)</f>
        <v/>
      </c>
      <c r="C38" s="360">
        <f>IF(TRIM('03. Dulieutaichinhlamsach_DD'!$G$2)="VND",'03. Dulieutaichinhlamsach_DD'!E40/10^6,'03. Dulieutaichinhlamsach_DD'!E40)</f>
        <v/>
      </c>
      <c r="D38" s="360">
        <f>IF(TRIM('03. Dulieutaichinhlamsach_DD'!$G$2)="VND",'03. Dulieutaichinhlamsach_DD'!F40/10^6,'03. Dulieutaichinhlamsach_DD'!F40)</f>
        <v/>
      </c>
      <c r="E38" s="361">
        <f>IF($D$10&lt;&gt;0,D38/$D$10," ")</f>
        <v/>
      </c>
      <c r="F38" s="362">
        <f>IF(C38&lt;&gt;0,(D38-C38)/C38,"")</f>
        <v/>
      </c>
      <c r="G38" s="360">
        <f>IF(TRIM('03. Dulieutaichinhlamsach_DD'!$G$2)="VND",'03. Dulieutaichinhlamsach_DD'!G40/10^6,'03. Dulieutaichinhlamsach_DD'!G40)</f>
        <v/>
      </c>
      <c r="H38" s="363">
        <f>IF($G$10&lt;&gt;0,G38/$G$10," ")</f>
        <v/>
      </c>
      <c r="I38" s="364">
        <f>IF(TRIM('03. Dulieutaichinhlamsach_DD'!$G$2)="VND",'03. Dulieutaichinhlamsach_DD'!H40/10^6,'03. Dulieutaichinhlamsach_DD'!H40)</f>
        <v/>
      </c>
      <c r="J38" s="365" t="n"/>
    </row>
    <row r="39">
      <c r="A39" s="693" t="inlineStr">
        <is>
          <t>10. Dự phòng giảm giá hàng tồn kho</t>
        </is>
      </c>
      <c r="B39" s="360">
        <f>IF(TRIM('03. Dulieutaichinhlamsach_DD'!$G$2)="VND",'03. Dulieutaichinhlamsach_DD'!D41/10^6,'03. Dulieutaichinhlamsach_DD'!D41)</f>
        <v/>
      </c>
      <c r="C39" s="360">
        <f>IF(TRIM('03. Dulieutaichinhlamsach_DD'!$G$2)="VND",'03. Dulieutaichinhlamsach_DD'!E41/10^6,'03. Dulieutaichinhlamsach_DD'!E41)</f>
        <v/>
      </c>
      <c r="D39" s="360">
        <f>IF(TRIM('03. Dulieutaichinhlamsach_DD'!$G$2)="VND",'03. Dulieutaichinhlamsach_DD'!F41/10^6,'03. Dulieutaichinhlamsach_DD'!F41)</f>
        <v/>
      </c>
      <c r="E39" s="361">
        <f>IF($D$10&lt;&gt;0,D39/$D$10," ")</f>
        <v/>
      </c>
      <c r="F39" s="362">
        <f>IF(C39&lt;&gt;0,(D39-C39)/C39,"")</f>
        <v/>
      </c>
      <c r="G39" s="360">
        <f>IF(TRIM('03. Dulieutaichinhlamsach_DD'!$G$2)="VND",'03. Dulieutaichinhlamsach_DD'!G41/10^6,'03. Dulieutaichinhlamsach_DD'!G41)</f>
        <v/>
      </c>
      <c r="H39" s="363">
        <f>IF($G$10&lt;&gt;0,G39/$G$10," ")</f>
        <v/>
      </c>
      <c r="I39" s="364">
        <f>IF(TRIM('03. Dulieutaichinhlamsach_DD'!$G$2)="VND",'03. Dulieutaichinhlamsach_DD'!H41/10^6,'03. Dulieutaichinhlamsach_DD'!H41)</f>
        <v/>
      </c>
      <c r="J39" s="365" t="n"/>
    </row>
    <row r="40" s="782">
      <c r="A40" s="693" t="inlineStr">
        <is>
          <t>11. Hàng tồn kho (trong trường hợp báo cáo không có thông tin chi tiết)</t>
        </is>
      </c>
      <c r="B40" s="360">
        <f>IF(TRIM('03. Dulieutaichinhlamsach_DD'!$G$2)="VND",'03. Dulieutaichinhlamsach_DD'!D42/10^6,'03. Dulieutaichinhlamsach_DD'!D42)</f>
        <v/>
      </c>
      <c r="C40" s="360">
        <f>IF(TRIM('03. Dulieutaichinhlamsach_DD'!$G$2)="VND",'03. Dulieutaichinhlamsach_DD'!E42/10^6,'03. Dulieutaichinhlamsach_DD'!E42)</f>
        <v/>
      </c>
      <c r="D40" s="360">
        <f>IF(TRIM('03. Dulieutaichinhlamsach_DD'!$G$2)="VND",'03. Dulieutaichinhlamsach_DD'!F42/10^6,'03. Dulieutaichinhlamsach_DD'!F42)</f>
        <v/>
      </c>
      <c r="E40" s="361">
        <f>IF($D$10&lt;&gt;0,D40/$D$10," ")</f>
        <v/>
      </c>
      <c r="F40" s="362">
        <f>IF(C40&lt;&gt;0,(D40-C40)/C40,"")</f>
        <v/>
      </c>
      <c r="G40" s="360">
        <f>IF(TRIM('03. Dulieutaichinhlamsach_DD'!$G$2)="VND",'03. Dulieutaichinhlamsach_DD'!G42/10^6,'03. Dulieutaichinhlamsach_DD'!G42)</f>
        <v/>
      </c>
      <c r="H40" s="363">
        <f>IF($G$10&lt;&gt;0,G40/$G$10," ")</f>
        <v/>
      </c>
      <c r="I40" s="364">
        <f>IF(TRIM('03. Dulieutaichinhlamsach_DD'!$G$2)="VND",'03. Dulieutaichinhlamsach_DD'!H42/10^6,'03. Dulieutaichinhlamsach_DD'!H42)</f>
        <v/>
      </c>
      <c r="J40" s="365" t="n"/>
    </row>
    <row r="41">
      <c r="A41" s="92" t="inlineStr">
        <is>
          <t xml:space="preserve">V. Tài sản ngắn hạn khác </t>
        </is>
      </c>
      <c r="B41" s="332">
        <f>SUM(B42:B46)</f>
        <v/>
      </c>
      <c r="C41" s="332">
        <f>SUM(C42:C46)</f>
        <v/>
      </c>
      <c r="D41" s="332">
        <f>SUM(D42:D46)</f>
        <v/>
      </c>
      <c r="E41" s="361">
        <f>IF($D$10&lt;&gt;0,D41/$D$10," ")</f>
        <v/>
      </c>
      <c r="F41" s="334" t="n"/>
      <c r="G41" s="332">
        <f>SUM(G42:G46)</f>
        <v/>
      </c>
      <c r="H41" s="363">
        <f>IF($G$10&lt;&gt;0,G41/$G$10," ")</f>
        <v/>
      </c>
      <c r="I41" s="336">
        <f>SUM(I42:I46)</f>
        <v/>
      </c>
      <c r="J41" s="365" t="n"/>
    </row>
    <row r="42">
      <c r="A42" s="693" t="inlineStr">
        <is>
          <t>1. Chi phí trả trước ngắn hạn</t>
        </is>
      </c>
      <c r="B42" s="360">
        <f>IF(TRIM('03. Dulieutaichinhlamsach_DD'!$G$2)="VND",'03. Dulieutaichinhlamsach_DD'!D44/10^6,'03. Dulieutaichinhlamsach_DD'!D44)</f>
        <v/>
      </c>
      <c r="C42" s="360">
        <f>IF(TRIM('03. Dulieutaichinhlamsach_DD'!$G$2)="VND",'03. Dulieutaichinhlamsach_DD'!E44/10^6,'03. Dulieutaichinhlamsach_DD'!E44)</f>
        <v/>
      </c>
      <c r="D42" s="360">
        <f>IF(TRIM('03. Dulieutaichinhlamsach_DD'!$G$2)="VND",'03. Dulieutaichinhlamsach_DD'!F44/10^6,'03. Dulieutaichinhlamsach_DD'!F44)</f>
        <v/>
      </c>
      <c r="E42" s="361">
        <f>IF($D$10&lt;&gt;0,D42/$D$10," ")</f>
        <v/>
      </c>
      <c r="F42" s="362">
        <f>IF(C42&lt;&gt;0,(D42-C42)/C42,"")</f>
        <v/>
      </c>
      <c r="G42" s="360">
        <f>IF(TRIM('03. Dulieutaichinhlamsach_DD'!$G$2)="VND",'03. Dulieutaichinhlamsach_DD'!G44/10^6,'03. Dulieutaichinhlamsach_DD'!G44)</f>
        <v/>
      </c>
      <c r="H42" s="363">
        <f>IF($G$10&lt;&gt;0,G42/$G$10," ")</f>
        <v/>
      </c>
      <c r="I42" s="364">
        <f>IF(TRIM('03. Dulieutaichinhlamsach_DD'!$G$2)="VND",'03. Dulieutaichinhlamsach_DD'!H44/10^6,'03. Dulieutaichinhlamsach_DD'!H44)</f>
        <v/>
      </c>
      <c r="J42" s="365" t="n"/>
    </row>
    <row r="43">
      <c r="A43" s="693" t="inlineStr">
        <is>
          <t>2. Thuế GTGT được khấu trừ</t>
        </is>
      </c>
      <c r="B43" s="360">
        <f>IF(TRIM('03. Dulieutaichinhlamsach_DD'!$G$2)="VND",'03. Dulieutaichinhlamsach_DD'!D45/10^6,'03. Dulieutaichinhlamsach_DD'!D45)</f>
        <v/>
      </c>
      <c r="C43" s="360">
        <f>IF(TRIM('03. Dulieutaichinhlamsach_DD'!$G$2)="VND",'03. Dulieutaichinhlamsach_DD'!E45/10^6,'03. Dulieutaichinhlamsach_DD'!E45)</f>
        <v/>
      </c>
      <c r="D43" s="360">
        <f>IF(TRIM('03. Dulieutaichinhlamsach_DD'!$G$2)="VND",'03. Dulieutaichinhlamsach_DD'!F45/10^6,'03. Dulieutaichinhlamsach_DD'!F45)</f>
        <v/>
      </c>
      <c r="E43" s="361">
        <f>IF($D$10&lt;&gt;0,D43/$D$10," ")</f>
        <v/>
      </c>
      <c r="F43" s="362">
        <f>IF(C43&lt;&gt;0,(D43-C43)/C43,"")</f>
        <v/>
      </c>
      <c r="G43" s="360">
        <f>IF(TRIM('03. Dulieutaichinhlamsach_DD'!$G$2)="VND",'03. Dulieutaichinhlamsach_DD'!G45/10^6,'03. Dulieutaichinhlamsach_DD'!G45)</f>
        <v/>
      </c>
      <c r="H43" s="363">
        <f>IF($G$10&lt;&gt;0,G43/$G$10," ")</f>
        <v/>
      </c>
      <c r="I43" s="364">
        <f>IF(TRIM('03. Dulieutaichinhlamsach_DD'!$G$2)="VND",'03. Dulieutaichinhlamsach_DD'!H45/10^6,'03. Dulieutaichinhlamsach_DD'!H45)</f>
        <v/>
      </c>
      <c r="J43" s="365" t="n"/>
    </row>
    <row r="44">
      <c r="A44" s="693" t="inlineStr">
        <is>
          <t>3. Thuế và các khoản khác phải thu Nhà nước</t>
        </is>
      </c>
      <c r="B44" s="360">
        <f>IF(TRIM('03. Dulieutaichinhlamsach_DD'!$G$2)="VND",'03. Dulieutaichinhlamsach_DD'!D46/10^6,'03. Dulieutaichinhlamsach_DD'!D46)</f>
        <v/>
      </c>
      <c r="C44" s="360">
        <f>IF(TRIM('03. Dulieutaichinhlamsach_DD'!$G$2)="VND",'03. Dulieutaichinhlamsach_DD'!E46/10^6,'03. Dulieutaichinhlamsach_DD'!E46)</f>
        <v/>
      </c>
      <c r="D44" s="360">
        <f>IF(TRIM('03. Dulieutaichinhlamsach_DD'!$G$2)="VND",'03. Dulieutaichinhlamsach_DD'!F46/10^6,'03. Dulieutaichinhlamsach_DD'!F46)</f>
        <v/>
      </c>
      <c r="E44" s="361">
        <f>IF($D$10&lt;&gt;0,D44/$D$10," ")</f>
        <v/>
      </c>
      <c r="F44" s="362">
        <f>IF(C44&lt;&gt;0,(D44-C44)/C44,"")</f>
        <v/>
      </c>
      <c r="G44" s="360">
        <f>IF(TRIM('03. Dulieutaichinhlamsach_DD'!$G$2)="VND",'03. Dulieutaichinhlamsach_DD'!G46/10^6,'03. Dulieutaichinhlamsach_DD'!G46)</f>
        <v/>
      </c>
      <c r="H44" s="363">
        <f>IF($G$10&lt;&gt;0,G44/$G$10," ")</f>
        <v/>
      </c>
      <c r="I44" s="364">
        <f>IF(TRIM('03. Dulieutaichinhlamsach_DD'!$G$2)="VND",'03. Dulieutaichinhlamsach_DD'!H46/10^6,'03. Dulieutaichinhlamsach_DD'!H46)</f>
        <v/>
      </c>
      <c r="J44" s="365" t="n"/>
    </row>
    <row r="45">
      <c r="A45" s="693" t="inlineStr">
        <is>
          <t>4. Giao dịch mua bán lại trái phiếu chính phủ</t>
        </is>
      </c>
      <c r="B45" s="360">
        <f>IF(TRIM('03. Dulieutaichinhlamsach_DD'!$G$2)="VND",'03. Dulieutaichinhlamsach_DD'!D47/10^6,'03. Dulieutaichinhlamsach_DD'!D47)</f>
        <v/>
      </c>
      <c r="C45" s="360">
        <f>IF(TRIM('03. Dulieutaichinhlamsach_DD'!$G$2)="VND",'03. Dulieutaichinhlamsach_DD'!E47/10^6,'03. Dulieutaichinhlamsach_DD'!E47)</f>
        <v/>
      </c>
      <c r="D45" s="360">
        <f>IF(TRIM('03. Dulieutaichinhlamsach_DD'!$G$2)="VND",'03. Dulieutaichinhlamsach_DD'!F47/10^6,'03. Dulieutaichinhlamsach_DD'!F47)</f>
        <v/>
      </c>
      <c r="E45" s="361">
        <f>IF($D$10&lt;&gt;0,D45/$D$10," ")</f>
        <v/>
      </c>
      <c r="F45" s="362">
        <f>IF(C45&lt;&gt;0,(D45-C45)/C45,"")</f>
        <v/>
      </c>
      <c r="G45" s="360">
        <f>IF(TRIM('03. Dulieutaichinhlamsach_DD'!$G$2)="VND",'03. Dulieutaichinhlamsach_DD'!G47/10^6,'03. Dulieutaichinhlamsach_DD'!G47)</f>
        <v/>
      </c>
      <c r="H45" s="363">
        <f>IF($G$10&lt;&gt;0,G45/$G$10," ")</f>
        <v/>
      </c>
      <c r="I45" s="364">
        <f>IF(TRIM('03. Dulieutaichinhlamsach_DD'!$G$2)="VND",'03. Dulieutaichinhlamsach_DD'!H47/10^6,'03. Dulieutaichinhlamsach_DD'!H47)</f>
        <v/>
      </c>
      <c r="J45" s="365" t="n"/>
    </row>
    <row r="46" s="782">
      <c r="A46" s="693" t="inlineStr">
        <is>
          <t>5. Tài sản ngắn hạn khác</t>
        </is>
      </c>
      <c r="B46" s="360">
        <f>IF(TRIM('03. Dulieutaichinhlamsach_DD'!$G$2)="VND",'03. Dulieutaichinhlamsach_DD'!D48/10^6,'03. Dulieutaichinhlamsach_DD'!D48)</f>
        <v/>
      </c>
      <c r="C46" s="360">
        <f>IF(TRIM('03. Dulieutaichinhlamsach_DD'!$G$2)="VND",'03. Dulieutaichinhlamsach_DD'!E48/10^6,'03. Dulieutaichinhlamsach_DD'!E48)</f>
        <v/>
      </c>
      <c r="D46" s="360">
        <f>IF(TRIM('03. Dulieutaichinhlamsach_DD'!$G$2)="VND",'03. Dulieutaichinhlamsach_DD'!F48/10^6,'03. Dulieutaichinhlamsach_DD'!F48)</f>
        <v/>
      </c>
      <c r="E46" s="361">
        <f>IF($D$10&lt;&gt;0,D46/$D$10," ")</f>
        <v/>
      </c>
      <c r="F46" s="362">
        <f>IF(C46&lt;&gt;0,(D46-C46)/C46,"")</f>
        <v/>
      </c>
      <c r="G46" s="360">
        <f>IF(TRIM('03. Dulieutaichinhlamsach_DD'!$G$2)="VND",'03. Dulieutaichinhlamsach_DD'!G48/10^6,'03. Dulieutaichinhlamsach_DD'!G48)</f>
        <v/>
      </c>
      <c r="H46" s="363">
        <f>IF($G$10&lt;&gt;0,G46/$G$10," ")</f>
        <v/>
      </c>
      <c r="I46" s="364">
        <f>IF(TRIM('03. Dulieutaichinhlamsach_DD'!$G$2)="VND",'03. Dulieutaichinhlamsach_DD'!H48/10^6,'03. Dulieutaichinhlamsach_DD'!H48)</f>
        <v/>
      </c>
      <c r="J46" s="365" t="n"/>
    </row>
    <row r="47">
      <c r="A47" s="694" t="inlineStr">
        <is>
          <t>B. TÀI SẢN DÀI HẠN</t>
        </is>
      </c>
      <c r="B47" s="341">
        <f>B48+B54+B65+B68+B74+B80</f>
        <v/>
      </c>
      <c r="C47" s="341">
        <f>C48+C54+C65+C68+C74+C80</f>
        <v/>
      </c>
      <c r="D47" s="341">
        <f>D48+D54+D65+D68+D74+D80</f>
        <v/>
      </c>
      <c r="E47" s="342">
        <f>IF($D$9&lt;&gt;0,D47/$D$9,"")</f>
        <v/>
      </c>
      <c r="F47" s="343">
        <f>IF(C47&lt;&gt;0,(D47-C47)/C47,"")</f>
        <v/>
      </c>
      <c r="G47" s="341">
        <f>G48+G54+G65+G68+G74+G80</f>
        <v/>
      </c>
      <c r="H47" s="329">
        <f>IF($G$9&lt;&gt;0,G47/$G$9,"")</f>
        <v/>
      </c>
      <c r="I47" s="364">
        <f>IF(TRIM('03. Dulieutaichinhlamsach_DD'!$G$2)="VND",'03. Dulieutaichinhlamsach_DD'!H49/10^6,'03. Dulieutaichinhlamsach_DD'!H49)</f>
        <v/>
      </c>
      <c r="J47" s="893" t="n"/>
    </row>
    <row r="48">
      <c r="A48" s="92" t="inlineStr">
        <is>
          <t>I. Các khoản phải thu dài hạn</t>
        </is>
      </c>
      <c r="B48" s="332">
        <f>SUM(B49:B53)</f>
        <v/>
      </c>
      <c r="C48" s="332">
        <f>SUM(C49:C53)</f>
        <v/>
      </c>
      <c r="D48" s="332">
        <f>SUM(D49:D53)</f>
        <v/>
      </c>
      <c r="E48" s="361">
        <f>IF($D$47&lt;&gt;0,D48/$D$47," ")</f>
        <v/>
      </c>
      <c r="F48" s="334" t="n"/>
      <c r="G48" s="332">
        <f>SUM(G49:G53)</f>
        <v/>
      </c>
      <c r="H48" s="363">
        <f>IF($G$47&lt;&gt;0,G48/$G$47," ")</f>
        <v/>
      </c>
      <c r="I48" s="364">
        <f>IF(TRIM('03. Dulieutaichinhlamsach_DD'!$G$2)="VND",'03. Dulieutaichinhlamsach_DD'!H50/10^6,'03. Dulieutaichinhlamsach_DD'!H50)</f>
        <v/>
      </c>
      <c r="J48" s="894" t="n"/>
    </row>
    <row r="49">
      <c r="A49" s="693" t="inlineStr">
        <is>
          <t>1. Phải thu dài hạn của khách hàng</t>
        </is>
      </c>
      <c r="B49" s="360">
        <f>IF(TRIM('03. Dulieutaichinhlamsach_DD'!$G$2)="VND",'03. Dulieutaichinhlamsach_DD'!D51/10^6,'03. Dulieutaichinhlamsach_DD'!D51)</f>
        <v/>
      </c>
      <c r="C49" s="360">
        <f>IF(TRIM('03. Dulieutaichinhlamsach_DD'!$G$2)="VND",'03. Dulieutaichinhlamsach_DD'!E51/10^6,'03. Dulieutaichinhlamsach_DD'!E51)</f>
        <v/>
      </c>
      <c r="D49" s="360">
        <f>IF(TRIM('03. Dulieutaichinhlamsach_DD'!$G$2)="VND",'03. Dulieutaichinhlamsach_DD'!F51/10^6,'03. Dulieutaichinhlamsach_DD'!F51)</f>
        <v/>
      </c>
      <c r="E49" s="361">
        <f>IF($D$10&lt;&gt;0,D49/$D$10," ")</f>
        <v/>
      </c>
      <c r="F49" s="362">
        <f>IF(C49&lt;&gt;0,(D49-C49)/C49,"")</f>
        <v/>
      </c>
      <c r="G49" s="360">
        <f>IF(TRIM('03. Dulieutaichinhlamsach_DD'!$G$2)="VND",'03. Dulieutaichinhlamsach_DD'!G51/10^6,'03. Dulieutaichinhlamsach_DD'!G51)</f>
        <v/>
      </c>
      <c r="H49" s="363">
        <f>IF($G$10&lt;&gt;0,G49/$G$10," ")</f>
        <v/>
      </c>
      <c r="I49" s="364">
        <f>IF(TRIM('03. Dulieutaichinhlamsach_DD'!$G$2)="VND",'03. Dulieutaichinhlamsach_DD'!H51/10^6,'03. Dulieutaichinhlamsach_DD'!H51)</f>
        <v/>
      </c>
      <c r="J49" s="365" t="n"/>
    </row>
    <row r="50">
      <c r="A50" s="700" t="inlineStr">
        <is>
          <t>2. Vốn kinh doanh ở đơn vị trực thuộc</t>
        </is>
      </c>
      <c r="B50" s="360">
        <f>IF(TRIM('03. Dulieutaichinhlamsach_DD'!$G$2)="VND",'03. Dulieutaichinhlamsach_DD'!D52/10^6,'03. Dulieutaichinhlamsach_DD'!D52)</f>
        <v/>
      </c>
      <c r="C50" s="360">
        <f>IF(TRIM('03. Dulieutaichinhlamsach_DD'!$G$2)="VND",'03. Dulieutaichinhlamsach_DD'!E52/10^6,'03. Dulieutaichinhlamsach_DD'!E52)</f>
        <v/>
      </c>
      <c r="D50" s="360">
        <f>IF(TRIM('03. Dulieutaichinhlamsach_DD'!$G$2)="VND",'03. Dulieutaichinhlamsach_DD'!F52/10^6,'03. Dulieutaichinhlamsach_DD'!F52)</f>
        <v/>
      </c>
      <c r="E50" s="361">
        <f>IF($D$10&lt;&gt;0,D50/$D$10," ")</f>
        <v/>
      </c>
      <c r="F50" s="362">
        <f>IF(C50&lt;&gt;0,(D50-C50)/C50,"")</f>
        <v/>
      </c>
      <c r="G50" s="360">
        <f>IF(TRIM('03. Dulieutaichinhlamsach_DD'!$G$2)="VND",'03. Dulieutaichinhlamsach_DD'!G52/10^6,'03. Dulieutaichinhlamsach_DD'!G52)</f>
        <v/>
      </c>
      <c r="H50" s="363">
        <f>IF($G$10&lt;&gt;0,G50/$G$10," ")</f>
        <v/>
      </c>
      <c r="I50" s="364">
        <f>IF(TRIM('03. Dulieutaichinhlamsach_DD'!$G$2)="VND",'03. Dulieutaichinhlamsach_DD'!H52/10^6,'03. Dulieutaichinhlamsach_DD'!H52)</f>
        <v/>
      </c>
      <c r="J50" s="365" t="n"/>
    </row>
    <row r="51">
      <c r="A51" s="700" t="inlineStr">
        <is>
          <t>3. Phải thu dài hạn nội bộ</t>
        </is>
      </c>
      <c r="B51" s="360">
        <f>IF(TRIM('03. Dulieutaichinhlamsach_DD'!$G$2)="VND",'03. Dulieutaichinhlamsach_DD'!D53/10^6,'03. Dulieutaichinhlamsach_DD'!D53)</f>
        <v/>
      </c>
      <c r="C51" s="360">
        <f>IF(TRIM('03. Dulieutaichinhlamsach_DD'!$G$2)="VND",'03. Dulieutaichinhlamsach_DD'!E53/10^6,'03. Dulieutaichinhlamsach_DD'!E53)</f>
        <v/>
      </c>
      <c r="D51" s="360">
        <f>IF(TRIM('03. Dulieutaichinhlamsach_DD'!$G$2)="VND",'03. Dulieutaichinhlamsach_DD'!F53/10^6,'03. Dulieutaichinhlamsach_DD'!F53)</f>
        <v/>
      </c>
      <c r="E51" s="361">
        <f>IF($D$10&lt;&gt;0,D51/$D$10," ")</f>
        <v/>
      </c>
      <c r="F51" s="362">
        <f>IF(C51&lt;&gt;0,(D51-C51)/C51,"")</f>
        <v/>
      </c>
      <c r="G51" s="360">
        <f>IF(TRIM('03. Dulieutaichinhlamsach_DD'!$G$2)="VND",'03. Dulieutaichinhlamsach_DD'!G53/10^6,'03. Dulieutaichinhlamsach_DD'!G53)</f>
        <v/>
      </c>
      <c r="H51" s="363">
        <f>IF($G$10&lt;&gt;0,G51/$G$10," ")</f>
        <v/>
      </c>
      <c r="I51" s="364">
        <f>IF(TRIM('03. Dulieutaichinhlamsach_DD'!$G$2)="VND",'03. Dulieutaichinhlamsach_DD'!H53/10^6,'03. Dulieutaichinhlamsach_DD'!H53)</f>
        <v/>
      </c>
      <c r="J51" s="365" t="n"/>
    </row>
    <row r="52">
      <c r="A52" s="700" t="inlineStr">
        <is>
          <t>4. Phải thu dài hạn khác</t>
        </is>
      </c>
      <c r="B52" s="360">
        <f>IF(TRIM('03. Dulieutaichinhlamsach_DD'!$G$2)="VND",'03. Dulieutaichinhlamsach_DD'!D54/10^6,'03. Dulieutaichinhlamsach_DD'!D54)</f>
        <v/>
      </c>
      <c r="C52" s="360">
        <f>IF(TRIM('03. Dulieutaichinhlamsach_DD'!$G$2)="VND",'03. Dulieutaichinhlamsach_DD'!E54/10^6,'03. Dulieutaichinhlamsach_DD'!E54)</f>
        <v/>
      </c>
      <c r="D52" s="360">
        <f>IF(TRIM('03. Dulieutaichinhlamsach_DD'!$G$2)="VND",'03. Dulieutaichinhlamsach_DD'!F54/10^6,'03. Dulieutaichinhlamsach_DD'!F54)</f>
        <v/>
      </c>
      <c r="E52" s="361">
        <f>IF($D$10&lt;&gt;0,D52/$D$10," ")</f>
        <v/>
      </c>
      <c r="F52" s="362">
        <f>IF(C52&lt;&gt;0,(D52-C52)/C52,"")</f>
        <v/>
      </c>
      <c r="G52" s="360">
        <f>IF(TRIM('03. Dulieutaichinhlamsach_DD'!$G$2)="VND",'03. Dulieutaichinhlamsach_DD'!G54/10^6,'03. Dulieutaichinhlamsach_DD'!G54)</f>
        <v/>
      </c>
      <c r="H52" s="363">
        <f>IF($G$10&lt;&gt;0,G52/$G$10," ")</f>
        <v/>
      </c>
      <c r="I52" s="364">
        <f>IF(TRIM('03. Dulieutaichinhlamsach_DD'!$G$2)="VND",'03. Dulieutaichinhlamsach_DD'!H54/10^6,'03. Dulieutaichinhlamsach_DD'!H54)</f>
        <v/>
      </c>
      <c r="J52" s="365" t="n"/>
    </row>
    <row r="53">
      <c r="A53" s="700" t="inlineStr">
        <is>
          <t>5. Dự phòng phải thu dài hạn khó đòi</t>
        </is>
      </c>
      <c r="B53" s="360">
        <f>IF(TRIM('03. Dulieutaichinhlamsach_DD'!$G$2)="VND",'03. Dulieutaichinhlamsach_DD'!D55/10^6,'03. Dulieutaichinhlamsach_DD'!D55)</f>
        <v/>
      </c>
      <c r="C53" s="360">
        <f>IF(TRIM('03. Dulieutaichinhlamsach_DD'!$G$2)="VND",'03. Dulieutaichinhlamsach_DD'!E55/10^6,'03. Dulieutaichinhlamsach_DD'!E55)</f>
        <v/>
      </c>
      <c r="D53" s="360">
        <f>IF(TRIM('03. Dulieutaichinhlamsach_DD'!$G$2)="VND",'03. Dulieutaichinhlamsach_DD'!F55/10^6,'03. Dulieutaichinhlamsach_DD'!F55)</f>
        <v/>
      </c>
      <c r="E53" s="361">
        <f>IF($D$10&lt;&gt;0,D53/$D$10," ")</f>
        <v/>
      </c>
      <c r="F53" s="362">
        <f>IF(C53&lt;&gt;0,(D53-C53)/C53,"")</f>
        <v/>
      </c>
      <c r="G53" s="360">
        <f>IF(TRIM('03. Dulieutaichinhlamsach_DD'!$G$2)="VND",'03. Dulieutaichinhlamsach_DD'!G55/10^6,'03. Dulieutaichinhlamsach_DD'!G55)</f>
        <v/>
      </c>
      <c r="H53" s="363">
        <f>IF($G$10&lt;&gt;0,G53/$G$10," ")</f>
        <v/>
      </c>
      <c r="I53" s="364">
        <f>IF(TRIM('03. Dulieutaichinhlamsach_DD'!$G$2)="VND",'03. Dulieutaichinhlamsach_DD'!H55/10^6,'03. Dulieutaichinhlamsach_DD'!H55)</f>
        <v/>
      </c>
      <c r="J53" s="365" t="n"/>
    </row>
    <row r="54">
      <c r="A54" s="696" t="inlineStr">
        <is>
          <t>II. Tài sản cố định</t>
        </is>
      </c>
      <c r="B54" s="344">
        <f>B55+B58+B61+B64</f>
        <v/>
      </c>
      <c r="C54" s="344">
        <f>C55+C58+C61+C64</f>
        <v/>
      </c>
      <c r="D54" s="344">
        <f>D55+D58+D61+D64</f>
        <v/>
      </c>
      <c r="E54" s="361">
        <f>IF($D$47&lt;&gt;0,D54/$D$47," ")</f>
        <v/>
      </c>
      <c r="F54" s="345" t="n"/>
      <c r="G54" s="344">
        <f>G55+G58+G61+G64</f>
        <v/>
      </c>
      <c r="H54" s="363">
        <f>IF($G$47&lt;&gt;0,G54/$G$47," ")</f>
        <v/>
      </c>
      <c r="I54" s="346">
        <f>I55+I58+I61+I64</f>
        <v/>
      </c>
      <c r="J54" s="340" t="n"/>
    </row>
    <row r="55">
      <c r="A55" s="700" t="inlineStr">
        <is>
          <t>1. Tài sản cố định hữu hình</t>
        </is>
      </c>
      <c r="B55" s="360">
        <f>IF(TRIM('03. Dulieutaichinhlamsach_DD'!$G$2)="VND",'03. Dulieutaichinhlamsach_DD'!D57/10^6,'03. Dulieutaichinhlamsach_DD'!D57)</f>
        <v/>
      </c>
      <c r="C55" s="360">
        <f>IF(TRIM('03. Dulieutaichinhlamsach_DD'!$G$2)="VND",'03. Dulieutaichinhlamsach_DD'!E57/10^6,'03. Dulieutaichinhlamsach_DD'!E57)</f>
        <v/>
      </c>
      <c r="D55" s="360">
        <f>IF(TRIM('03. Dulieutaichinhlamsach_DD'!$G$2)="VND",'03. Dulieutaichinhlamsach_DD'!F57/10^6,'03. Dulieutaichinhlamsach_DD'!F57)</f>
        <v/>
      </c>
      <c r="E55" s="361">
        <f>IF($D$10&lt;&gt;0,D55/$D$10," ")</f>
        <v/>
      </c>
      <c r="F55" s="362">
        <f>IF(C55&lt;&gt;0,(D55-C55)/C55,"")</f>
        <v/>
      </c>
      <c r="G55" s="360">
        <f>IF(TRIM('03. Dulieutaichinhlamsach_DD'!$G$2)="VND",'03. Dulieutaichinhlamsach_DD'!G57/10^6,'03. Dulieutaichinhlamsach_DD'!G57)</f>
        <v/>
      </c>
      <c r="H55" s="363">
        <f>IF($G$10&lt;&gt;0,G55/$G$10," ")</f>
        <v/>
      </c>
      <c r="I55" s="364">
        <f>IF(TRIM('03. Dulieutaichinhlamsach_DD'!$G$2)="VND",'03. Dulieutaichinhlamsach_DD'!H57/10^6,'03. Dulieutaichinhlamsach_DD'!H57)</f>
        <v/>
      </c>
      <c r="J55" s="365" t="n"/>
    </row>
    <row r="56">
      <c r="A56" s="697" t="inlineStr">
        <is>
          <t>- Nguyên giá</t>
        </is>
      </c>
      <c r="B56" s="360">
        <f>IF(TRIM('03. Dulieutaichinhlamsach_DD'!$G$2)="VND",'03. Dulieutaichinhlamsach_DD'!D58/10^6,'03. Dulieutaichinhlamsach_DD'!D58)</f>
        <v/>
      </c>
      <c r="C56" s="360">
        <f>IF(TRIM('03. Dulieutaichinhlamsach_DD'!$G$2)="VND",'03. Dulieutaichinhlamsach_DD'!E58/10^6,'03. Dulieutaichinhlamsach_DD'!E58)</f>
        <v/>
      </c>
      <c r="D56" s="360">
        <f>IF(TRIM('03. Dulieutaichinhlamsach_DD'!$G$2)="VND",'03. Dulieutaichinhlamsach_DD'!F58/10^6,'03. Dulieutaichinhlamsach_DD'!F58)</f>
        <v/>
      </c>
      <c r="E56" s="361">
        <f>IF($D$10&lt;&gt;0,D56/$D$10," ")</f>
        <v/>
      </c>
      <c r="F56" s="362">
        <f>IF(C56&lt;&gt;0,(D56-C56)/C56,"")</f>
        <v/>
      </c>
      <c r="G56" s="360">
        <f>IF(TRIM('03. Dulieutaichinhlamsach_DD'!$G$2)="VND",'03. Dulieutaichinhlamsach_DD'!G58/10^6,'03. Dulieutaichinhlamsach_DD'!G58)</f>
        <v/>
      </c>
      <c r="H56" s="363">
        <f>IF($G$10&lt;&gt;0,G56/$G$10," ")</f>
        <v/>
      </c>
      <c r="I56" s="364">
        <f>IF(TRIM('03. Dulieutaichinhlamsach_DD'!$G$2)="VND",'03. Dulieutaichinhlamsach_DD'!H58/10^6,'03. Dulieutaichinhlamsach_DD'!H58)</f>
        <v/>
      </c>
      <c r="J56" s="365" t="n"/>
    </row>
    <row r="57">
      <c r="A57" s="697" t="inlineStr">
        <is>
          <t>- Giá trị hao mòn lũy kế</t>
        </is>
      </c>
      <c r="B57" s="360">
        <f>IF(TRIM('03. Dulieutaichinhlamsach_DD'!$G$2)="VND",'03. Dulieutaichinhlamsach_DD'!D59/10^6,'03. Dulieutaichinhlamsach_DD'!D59)</f>
        <v/>
      </c>
      <c r="C57" s="360">
        <f>IF(TRIM('03. Dulieutaichinhlamsach_DD'!$G$2)="VND",'03. Dulieutaichinhlamsach_DD'!E59/10^6,'03. Dulieutaichinhlamsach_DD'!E59)</f>
        <v/>
      </c>
      <c r="D57" s="360">
        <f>IF(TRIM('03. Dulieutaichinhlamsach_DD'!$G$2)="VND",'03. Dulieutaichinhlamsach_DD'!F59/10^6,'03. Dulieutaichinhlamsach_DD'!F59)</f>
        <v/>
      </c>
      <c r="E57" s="361">
        <f>IF($D$10&lt;&gt;0,D57/$D$10," ")</f>
        <v/>
      </c>
      <c r="F57" s="362">
        <f>IF(C57&lt;&gt;0,(D57-C57)/C57,"")</f>
        <v/>
      </c>
      <c r="G57" s="360">
        <f>IF(TRIM('03. Dulieutaichinhlamsach_DD'!$G$2)="VND",'03. Dulieutaichinhlamsach_DD'!G59/10^6,'03. Dulieutaichinhlamsach_DD'!G59)</f>
        <v/>
      </c>
      <c r="H57" s="363">
        <f>IF($G$10&lt;&gt;0,G57/$G$10," ")</f>
        <v/>
      </c>
      <c r="I57" s="364">
        <f>IF(TRIM('03. Dulieutaichinhlamsach_DD'!$G$2)="VND",'03. Dulieutaichinhlamsach_DD'!H59/10^6,'03. Dulieutaichinhlamsach_DD'!H59)</f>
        <v/>
      </c>
      <c r="J57" s="365" t="n"/>
    </row>
    <row r="58">
      <c r="A58" s="700" t="inlineStr">
        <is>
          <t>2. Tài sản cố định thuê tài chính</t>
        </is>
      </c>
      <c r="B58" s="360">
        <f>SUM(B59:B60)</f>
        <v/>
      </c>
      <c r="C58" s="360">
        <f>SUM(C59:C60)</f>
        <v/>
      </c>
      <c r="D58" s="332">
        <f>SUM(D59:D60)</f>
        <v/>
      </c>
      <c r="E58" s="520">
        <f>IF($D$47&lt;&gt;0,D58/$D$47," ")</f>
        <v/>
      </c>
      <c r="F58" s="698">
        <f>IF(C58&lt;&gt;0,(D58-C58)/C58,"")</f>
        <v/>
      </c>
      <c r="G58" s="332">
        <f>SUM(G59:G60)</f>
        <v/>
      </c>
      <c r="H58" s="348">
        <f>IF($G$47&lt;&gt;0,G58/$G$47," ")</f>
        <v/>
      </c>
      <c r="I58" s="364">
        <f>IF(TRIM('03. Dulieutaichinhlamsach_DD'!$G$2)="VND",'03. Dulieutaichinhlamsach_DD'!H60/10^6,'03. Dulieutaichinhlamsach_DD'!H60)</f>
        <v/>
      </c>
      <c r="J58" s="365" t="n"/>
    </row>
    <row r="59">
      <c r="A59" s="697" t="inlineStr">
        <is>
          <t>- Nguyên giá</t>
        </is>
      </c>
      <c r="B59" s="360">
        <f>IF(TRIM('03. Dulieutaichinhlamsach_DD'!$G$2)="VND",'03. Dulieutaichinhlamsach_DD'!D61/10^6,'03. Dulieutaichinhlamsach_DD'!D61)</f>
        <v/>
      </c>
      <c r="C59" s="360">
        <f>IF(TRIM('03. Dulieutaichinhlamsach_DD'!$G$2)="VND",'03. Dulieutaichinhlamsach_DD'!E61/10^6,'03. Dulieutaichinhlamsach_DD'!E61)</f>
        <v/>
      </c>
      <c r="D59" s="360">
        <f>IF(TRIM('03. Dulieutaichinhlamsach_DD'!$G$2)="VND",'03. Dulieutaichinhlamsach_DD'!F61/10^6,'03. Dulieutaichinhlamsach_DD'!F61)</f>
        <v/>
      </c>
      <c r="E59" s="361">
        <f>IF($D$10&lt;&gt;0,D59/$D$10," ")</f>
        <v/>
      </c>
      <c r="F59" s="362">
        <f>IF(C59&lt;&gt;0,(D59-C59)/C59,"")</f>
        <v/>
      </c>
      <c r="G59" s="360">
        <f>IF(TRIM('03. Dulieutaichinhlamsach_DD'!$G$2)="VND",'03. Dulieutaichinhlamsach_DD'!G61/10^6,'03. Dulieutaichinhlamsach_DD'!G61)</f>
        <v/>
      </c>
      <c r="H59" s="363">
        <f>IF($G$10&lt;&gt;0,G59/$G$10," ")</f>
        <v/>
      </c>
      <c r="I59" s="364">
        <f>IF(TRIM('03. Dulieutaichinhlamsach_DD'!$G$2)="VND",'03. Dulieutaichinhlamsach_DD'!H61/10^6,'03. Dulieutaichinhlamsach_DD'!H61)</f>
        <v/>
      </c>
      <c r="J59" s="365" t="n"/>
    </row>
    <row r="60">
      <c r="A60" s="697" t="inlineStr">
        <is>
          <t>- Giá trị hao mòn lũy kế</t>
        </is>
      </c>
      <c r="B60" s="360">
        <f>IF(TRIM('03. Dulieutaichinhlamsach_DD'!$G$2)="VND",'03. Dulieutaichinhlamsach_DD'!D62/10^6,'03. Dulieutaichinhlamsach_DD'!D62)</f>
        <v/>
      </c>
      <c r="C60" s="360">
        <f>IF(TRIM('03. Dulieutaichinhlamsach_DD'!$G$2)="VND",'03. Dulieutaichinhlamsach_DD'!E62/10^6,'03. Dulieutaichinhlamsach_DD'!E62)</f>
        <v/>
      </c>
      <c r="D60" s="360">
        <f>IF(TRIM('03. Dulieutaichinhlamsach_DD'!$G$2)="VND",'03. Dulieutaichinhlamsach_DD'!F62/10^6,'03. Dulieutaichinhlamsach_DD'!F62)</f>
        <v/>
      </c>
      <c r="E60" s="361">
        <f>IF($D$10&lt;&gt;0,D60/$D$10," ")</f>
        <v/>
      </c>
      <c r="F60" s="362">
        <f>IF(C60&lt;&gt;0,(D60-C60)/C60,"")</f>
        <v/>
      </c>
      <c r="G60" s="360">
        <f>IF(TRIM('03. Dulieutaichinhlamsach_DD'!$G$2)="VND",'03. Dulieutaichinhlamsach_DD'!G62/10^6,'03. Dulieutaichinhlamsach_DD'!G62)</f>
        <v/>
      </c>
      <c r="H60" s="363">
        <f>IF($G$10&lt;&gt;0,G60/$G$10," ")</f>
        <v/>
      </c>
      <c r="I60" s="364">
        <f>IF(TRIM('03. Dulieutaichinhlamsach_DD'!$G$2)="VND",'03. Dulieutaichinhlamsach_DD'!H62/10^6,'03. Dulieutaichinhlamsach_DD'!H62)</f>
        <v/>
      </c>
      <c r="J60" s="365" t="n"/>
    </row>
    <row r="61">
      <c r="A61" s="693" t="inlineStr">
        <is>
          <t>3. Tài sản cố định vô hình</t>
        </is>
      </c>
      <c r="B61" s="360">
        <f>SUM(B62:B63)</f>
        <v/>
      </c>
      <c r="C61" s="360">
        <f>SUM(C62:C63)</f>
        <v/>
      </c>
      <c r="D61" s="360">
        <f>SUM(D62:D63)</f>
        <v/>
      </c>
      <c r="E61" s="520">
        <f>IF($D$47&lt;&gt;0,D61/$D$47," ")</f>
        <v/>
      </c>
      <c r="F61" s="362">
        <f>IF(C61&lt;&gt;0,(D61-C61)/C61,"")</f>
        <v/>
      </c>
      <c r="G61" s="360">
        <f>SUM(G62:G63)</f>
        <v/>
      </c>
      <c r="H61" s="348">
        <f>IF($G$47&lt;&gt;0,G61/$G$47," ")</f>
        <v/>
      </c>
      <c r="I61" s="364">
        <f>IF(TRIM('03. Dulieutaichinhlamsach_DD'!$G$2)="VND",'03. Dulieutaichinhlamsach_DD'!H63/10^6,'03. Dulieutaichinhlamsach_DD'!H63)</f>
        <v/>
      </c>
      <c r="J61" s="365" t="n"/>
    </row>
    <row r="62">
      <c r="A62" s="699" t="inlineStr">
        <is>
          <t>- Nguyên giá</t>
        </is>
      </c>
      <c r="B62" s="360">
        <f>IF(TRIM('03. Dulieutaichinhlamsach_DD'!$G$2)="VND",'03. Dulieutaichinhlamsach_DD'!D64/10^6,'03. Dulieutaichinhlamsach_DD'!D64)</f>
        <v/>
      </c>
      <c r="C62" s="360">
        <f>IF(TRIM('03. Dulieutaichinhlamsach_DD'!$G$2)="VND",'03. Dulieutaichinhlamsach_DD'!E64/10^6,'03. Dulieutaichinhlamsach_DD'!E64)</f>
        <v/>
      </c>
      <c r="D62" s="360">
        <f>IF(TRIM('03. Dulieutaichinhlamsach_DD'!$G$2)="VND",'03. Dulieutaichinhlamsach_DD'!F64/10^6,'03. Dulieutaichinhlamsach_DD'!F64)</f>
        <v/>
      </c>
      <c r="E62" s="361">
        <f>IF($D$10&lt;&gt;0,D62/$D$10," ")</f>
        <v/>
      </c>
      <c r="F62" s="362">
        <f>IF(C62&lt;&gt;0,(D62-C62)/C62,"")</f>
        <v/>
      </c>
      <c r="G62" s="360">
        <f>IF(TRIM('03. Dulieutaichinhlamsach_DD'!$G$2)="VND",'03. Dulieutaichinhlamsach_DD'!G64/10^6,'03. Dulieutaichinhlamsach_DD'!G64)</f>
        <v/>
      </c>
      <c r="H62" s="363">
        <f>IF($G$10&lt;&gt;0,G62/$G$10," ")</f>
        <v/>
      </c>
      <c r="I62" s="364">
        <f>IF(TRIM('03. Dulieutaichinhlamsach_DD'!$G$2)="VND",'03. Dulieutaichinhlamsach_DD'!H64/10^6,'03. Dulieutaichinhlamsach_DD'!H64)</f>
        <v/>
      </c>
      <c r="J62" s="365" t="n"/>
    </row>
    <row r="63">
      <c r="A63" s="697" t="inlineStr">
        <is>
          <t>- Giá trị hao mòn lũy kế</t>
        </is>
      </c>
      <c r="B63" s="360">
        <f>IF(TRIM('03. Dulieutaichinhlamsach_DD'!$G$2)="VND",'03. Dulieutaichinhlamsach_DD'!D65/10^6,'03. Dulieutaichinhlamsach_DD'!D65)</f>
        <v/>
      </c>
      <c r="C63" s="360">
        <f>IF(TRIM('03. Dulieutaichinhlamsach_DD'!$G$2)="VND",'03. Dulieutaichinhlamsach_DD'!E65/10^6,'03. Dulieutaichinhlamsach_DD'!E65)</f>
        <v/>
      </c>
      <c r="D63" s="360">
        <f>IF(TRIM('03. Dulieutaichinhlamsach_DD'!$G$2)="VND",'03. Dulieutaichinhlamsach_DD'!F65/10^6,'03. Dulieutaichinhlamsach_DD'!F65)</f>
        <v/>
      </c>
      <c r="E63" s="361">
        <f>IF($D$10&lt;&gt;0,D63/$D$10," ")</f>
        <v/>
      </c>
      <c r="F63" s="362">
        <f>IF(C63&lt;&gt;0,(D63-C63)/C63,"")</f>
        <v/>
      </c>
      <c r="G63" s="360">
        <f>IF(TRIM('03. Dulieutaichinhlamsach_DD'!$G$2)="VND",'03. Dulieutaichinhlamsach_DD'!G65/10^6,'03. Dulieutaichinhlamsach_DD'!G65)</f>
        <v/>
      </c>
      <c r="H63" s="363">
        <f>IF($G$10&lt;&gt;0,G63/$G$10," ")</f>
        <v/>
      </c>
      <c r="I63" s="364">
        <f>IF(TRIM('03. Dulieutaichinhlamsach_DD'!$G$2)="VND",'03. Dulieutaichinhlamsach_DD'!H65/10^6,'03. Dulieutaichinhlamsach_DD'!H65)</f>
        <v/>
      </c>
      <c r="J63" s="365" t="n"/>
    </row>
    <row r="64">
      <c r="A64" s="777" t="inlineStr">
        <is>
          <t>4. Chi phí xây dựng cơ bản dở dang</t>
        </is>
      </c>
      <c r="B64" s="360">
        <f>IF(TRIM('03. Dulieutaichinhlamsach_DD'!$G$2)="VND",'03. Dulieutaichinhlamsach_DD'!D66/10^6,'03. Dulieutaichinhlamsach_DD'!D66)</f>
        <v/>
      </c>
      <c r="C64" s="360">
        <f>IF(TRIM('03. Dulieutaichinhlamsach_DD'!$G$2)="VND",'03. Dulieutaichinhlamsach_DD'!E66/10^6,'03. Dulieutaichinhlamsach_DD'!E66)</f>
        <v/>
      </c>
      <c r="D64" s="360">
        <f>IF(TRIM('03. Dulieutaichinhlamsach_DD'!$G$2)="VND",'03. Dulieutaichinhlamsach_DD'!F66/10^6,'03. Dulieutaichinhlamsach_DD'!F66)</f>
        <v/>
      </c>
      <c r="E64" s="361">
        <f>IF($D$10&lt;&gt;0,D64/$D$10," ")</f>
        <v/>
      </c>
      <c r="F64" s="362">
        <f>IF(C64&lt;&gt;0,(D64-C64)/C64,"")</f>
        <v/>
      </c>
      <c r="G64" s="360">
        <f>IF(TRIM('03. Dulieutaichinhlamsach_DD'!$G$2)="VND",'03. Dulieutaichinhlamsach_DD'!G66/10^6,'03. Dulieutaichinhlamsach_DD'!G66)</f>
        <v/>
      </c>
      <c r="H64" s="363">
        <f>IF($G$10&lt;&gt;0,G64/$G$10," ")</f>
        <v/>
      </c>
      <c r="I64" s="364">
        <f>IF(TRIM('03. Dulieutaichinhlamsach_DD'!$G$2)="VND",'03. Dulieutaichinhlamsach_DD'!H66/10^6,'03. Dulieutaichinhlamsach_DD'!H66)</f>
        <v/>
      </c>
      <c r="J64" s="365" t="n"/>
    </row>
    <row r="65">
      <c r="A65" s="778" t="inlineStr">
        <is>
          <t>III. Bất động sản đầu tư</t>
        </is>
      </c>
      <c r="B65" s="332">
        <f>SUM(B66:B67)</f>
        <v/>
      </c>
      <c r="C65" s="332">
        <f>SUM(C66:C67)</f>
        <v/>
      </c>
      <c r="D65" s="332">
        <f>SUM(D66:D67)</f>
        <v/>
      </c>
      <c r="E65" s="361">
        <f>IF($D$47&lt;&gt;0,D65/$D$47," ")</f>
        <v/>
      </c>
      <c r="F65" s="334" t="n"/>
      <c r="G65" s="332">
        <f>SUM(G66:G67)</f>
        <v/>
      </c>
      <c r="H65" s="363">
        <f>IF($G$47&lt;&gt;0,G65/$G$47," ")</f>
        <v/>
      </c>
      <c r="I65" s="336">
        <f>SUM(I66:I67)</f>
        <v/>
      </c>
      <c r="J65" s="365" t="n"/>
    </row>
    <row r="66">
      <c r="A66" s="777" t="inlineStr">
        <is>
          <t>- Nguyên giá</t>
        </is>
      </c>
      <c r="B66" s="360">
        <f>IF(TRIM('03. Dulieutaichinhlamsach_DD'!$G$2)="VND",'03. Dulieutaichinhlamsach_DD'!D68/10^6,'03. Dulieutaichinhlamsach_DD'!D68)</f>
        <v/>
      </c>
      <c r="C66" s="360">
        <f>IF(TRIM('03. Dulieutaichinhlamsach_DD'!$G$2)="VND",'03. Dulieutaichinhlamsach_DD'!E68/10^6,'03. Dulieutaichinhlamsach_DD'!E68)</f>
        <v/>
      </c>
      <c r="D66" s="360">
        <f>IF(TRIM('03. Dulieutaichinhlamsach_DD'!$G$2)="VND",'03. Dulieutaichinhlamsach_DD'!F68/10^6,'03. Dulieutaichinhlamsach_DD'!F68)</f>
        <v/>
      </c>
      <c r="E66" s="361">
        <f>IF($D$10&lt;&gt;0,D66/$D$10," ")</f>
        <v/>
      </c>
      <c r="F66" s="362">
        <f>IF(C66&lt;&gt;0,(D66-C66)/C66,"")</f>
        <v/>
      </c>
      <c r="G66" s="360">
        <f>IF(TRIM('03. Dulieutaichinhlamsach_DD'!$G$2)="VND",'03. Dulieutaichinhlamsach_DD'!G68/10^6,'03. Dulieutaichinhlamsach_DD'!G68)</f>
        <v/>
      </c>
      <c r="H66" s="363">
        <f>IF($G$10&lt;&gt;0,G66/$G$10," ")</f>
        <v/>
      </c>
      <c r="I66" s="364">
        <f>IF(TRIM('03. Dulieutaichinhlamsach_DD'!$G$2)="VND",'03. Dulieutaichinhlamsach_DD'!H68/10^6,'03. Dulieutaichinhlamsach_DD'!H68)</f>
        <v/>
      </c>
      <c r="J66" s="365" t="n"/>
    </row>
    <row r="67">
      <c r="A67" s="777" t="inlineStr">
        <is>
          <t>- Giá trị hao mòn lũy kế</t>
        </is>
      </c>
      <c r="B67" s="360">
        <f>IF(TRIM('03. Dulieutaichinhlamsach_DD'!$G$2)="VND",'03. Dulieutaichinhlamsach_DD'!D69/10^6,'03. Dulieutaichinhlamsach_DD'!D69)</f>
        <v/>
      </c>
      <c r="C67" s="360">
        <f>IF(TRIM('03. Dulieutaichinhlamsach_DD'!$G$2)="VND",'03. Dulieutaichinhlamsach_DD'!E69/10^6,'03. Dulieutaichinhlamsach_DD'!E69)</f>
        <v/>
      </c>
      <c r="D67" s="360">
        <f>IF(TRIM('03. Dulieutaichinhlamsach_DD'!$G$2)="VND",'03. Dulieutaichinhlamsach_DD'!F69/10^6,'03. Dulieutaichinhlamsach_DD'!F69)</f>
        <v/>
      </c>
      <c r="E67" s="361">
        <f>IF($D$10&lt;&gt;0,D67/$D$10," ")</f>
        <v/>
      </c>
      <c r="F67" s="362">
        <f>IF(C67&lt;&gt;0,(D67-C67)/C67,"")</f>
        <v/>
      </c>
      <c r="G67" s="360">
        <f>IF(TRIM('03. Dulieutaichinhlamsach_DD'!$G$2)="VND",'03. Dulieutaichinhlamsach_DD'!G69/10^6,'03. Dulieutaichinhlamsach_DD'!G69)</f>
        <v/>
      </c>
      <c r="H67" s="363">
        <f>IF($G$10&lt;&gt;0,G67/$G$10," ")</f>
        <v/>
      </c>
      <c r="I67" s="364">
        <f>IF(TRIM('03. Dulieutaichinhlamsach_DD'!$G$2)="VND",'03. Dulieutaichinhlamsach_DD'!H69/10^6,'03. Dulieutaichinhlamsach_DD'!H69)</f>
        <v/>
      </c>
      <c r="J67" s="365" t="n"/>
    </row>
    <row r="68">
      <c r="A68" s="696" t="inlineStr">
        <is>
          <t>IV. Các khoản đầu tư tài chính dài hạn</t>
        </is>
      </c>
      <c r="B68" s="332">
        <f>SUM(B69:B73)</f>
        <v/>
      </c>
      <c r="C68" s="332">
        <f>SUM(C69:C73)</f>
        <v/>
      </c>
      <c r="D68" s="332">
        <f>SUM(D69:D73)</f>
        <v/>
      </c>
      <c r="E68" s="361">
        <f>IF($D$47&lt;&gt;0,D68/$D$47," ")</f>
        <v/>
      </c>
      <c r="F68" s="334" t="n"/>
      <c r="G68" s="332">
        <f>SUM(G69:G73)</f>
        <v/>
      </c>
      <c r="H68" s="363">
        <f>IF($G$47&lt;&gt;0,G68/$G$47," ")</f>
        <v/>
      </c>
      <c r="I68" s="336">
        <f>SUM(I69:I73)</f>
        <v/>
      </c>
      <c r="J68" s="340" t="n"/>
    </row>
    <row r="69">
      <c r="A69" s="700" t="inlineStr">
        <is>
          <t>1. Đầu tư vào công ty con</t>
        </is>
      </c>
      <c r="B69" s="360">
        <f>IF(TRIM('03. Dulieutaichinhlamsach_DD'!$G$2)="VND",'03. Dulieutaichinhlamsach_DD'!D71/10^6,'03. Dulieutaichinhlamsach_DD'!D71)</f>
        <v/>
      </c>
      <c r="C69" s="360">
        <f>IF(TRIM('03. Dulieutaichinhlamsach_DD'!$G$2)="VND",'03. Dulieutaichinhlamsach_DD'!E71/10^6,'03. Dulieutaichinhlamsach_DD'!E71)</f>
        <v/>
      </c>
      <c r="D69" s="360">
        <f>IF(TRIM('03. Dulieutaichinhlamsach_DD'!$G$2)="VND",'03. Dulieutaichinhlamsach_DD'!F71/10^6,'03. Dulieutaichinhlamsach_DD'!F71)</f>
        <v/>
      </c>
      <c r="E69" s="361">
        <f>IF($D$10&lt;&gt;0,D69/$D$10," ")</f>
        <v/>
      </c>
      <c r="F69" s="362">
        <f>IF(C69&lt;&gt;0,(D69-C69)/C69,"")</f>
        <v/>
      </c>
      <c r="G69" s="360">
        <f>IF(TRIM('03. Dulieutaichinhlamsach_DD'!$G$2)="VND",'03. Dulieutaichinhlamsach_DD'!G71/10^6,'03. Dulieutaichinhlamsach_DD'!G71)</f>
        <v/>
      </c>
      <c r="H69" s="363">
        <f>IF($G$10&lt;&gt;0,G69/$G$10," ")</f>
        <v/>
      </c>
      <c r="I69" s="364">
        <f>IF(TRIM('03. Dulieutaichinhlamsach_DD'!$G$2)="VND",'03. Dulieutaichinhlamsach_DD'!H71/10^6,'03. Dulieutaichinhlamsach_DD'!H71)</f>
        <v/>
      </c>
      <c r="J69" s="365" t="n"/>
    </row>
    <row r="70">
      <c r="A70" s="700" t="inlineStr">
        <is>
          <t>2. Đầu tư vào công ty liên kết, liên doanh</t>
        </is>
      </c>
      <c r="B70" s="360">
        <f>IF(TRIM('03. Dulieutaichinhlamsach_DD'!$G$2)="VND",'03. Dulieutaichinhlamsach_DD'!D72/10^6,'03. Dulieutaichinhlamsach_DD'!D72)</f>
        <v/>
      </c>
      <c r="C70" s="360">
        <f>IF(TRIM('03. Dulieutaichinhlamsach_DD'!$G$2)="VND",'03. Dulieutaichinhlamsach_DD'!E72/10^6,'03. Dulieutaichinhlamsach_DD'!E72)</f>
        <v/>
      </c>
      <c r="D70" s="360">
        <f>IF(TRIM('03. Dulieutaichinhlamsach_DD'!$G$2)="VND",'03. Dulieutaichinhlamsach_DD'!F72/10^6,'03. Dulieutaichinhlamsach_DD'!F72)</f>
        <v/>
      </c>
      <c r="E70" s="361">
        <f>IF($D$10&lt;&gt;0,D70/$D$10," ")</f>
        <v/>
      </c>
      <c r="F70" s="362">
        <f>IF(C70&lt;&gt;0,(D70-C70)/C70,"")</f>
        <v/>
      </c>
      <c r="G70" s="360">
        <f>IF(TRIM('03. Dulieutaichinhlamsach_DD'!$G$2)="VND",'03. Dulieutaichinhlamsach_DD'!G72/10^6,'03. Dulieutaichinhlamsach_DD'!G72)</f>
        <v/>
      </c>
      <c r="H70" s="363">
        <f>IF($G$10&lt;&gt;0,G70/$G$10," ")</f>
        <v/>
      </c>
      <c r="I70" s="364">
        <f>IF(TRIM('03. Dulieutaichinhlamsach_DD'!$G$2)="VND",'03. Dulieutaichinhlamsach_DD'!H72/10^6,'03. Dulieutaichinhlamsach_DD'!H72)</f>
        <v/>
      </c>
      <c r="J70" s="365" t="n"/>
    </row>
    <row r="71">
      <c r="A71" s="700" t="inlineStr">
        <is>
          <t>3. Đầu tư dài hạn khác</t>
        </is>
      </c>
      <c r="B71" s="360">
        <f>IF(TRIM('03. Dulieutaichinhlamsach_DD'!$G$2)="VND",'03. Dulieutaichinhlamsach_DD'!D73/10^6,'03. Dulieutaichinhlamsach_DD'!D73)</f>
        <v/>
      </c>
      <c r="C71" s="360">
        <f>IF(TRIM('03. Dulieutaichinhlamsach_DD'!$G$2)="VND",'03. Dulieutaichinhlamsach_DD'!E73/10^6,'03. Dulieutaichinhlamsach_DD'!E73)</f>
        <v/>
      </c>
      <c r="D71" s="360">
        <f>IF(TRIM('03. Dulieutaichinhlamsach_DD'!$G$2)="VND",'03. Dulieutaichinhlamsach_DD'!F73/10^6,'03. Dulieutaichinhlamsach_DD'!F73)</f>
        <v/>
      </c>
      <c r="E71" s="361">
        <f>IF($D$10&lt;&gt;0,D71/$D$10," ")</f>
        <v/>
      </c>
      <c r="F71" s="362">
        <f>IF(C71&lt;&gt;0,(D71-C71)/C71,"")</f>
        <v/>
      </c>
      <c r="G71" s="360">
        <f>IF(TRIM('03. Dulieutaichinhlamsach_DD'!$G$2)="VND",'03. Dulieutaichinhlamsach_DD'!G73/10^6,'03. Dulieutaichinhlamsach_DD'!G73)</f>
        <v/>
      </c>
      <c r="H71" s="363">
        <f>IF($G$10&lt;&gt;0,G71/$G$10," ")</f>
        <v/>
      </c>
      <c r="I71" s="364">
        <f>IF(TRIM('03. Dulieutaichinhlamsach_DD'!$G$2)="VND",'03. Dulieutaichinhlamsach_DD'!H73/10^6,'03. Dulieutaichinhlamsach_DD'!H73)</f>
        <v/>
      </c>
      <c r="J71" s="365" t="n"/>
    </row>
    <row r="72">
      <c r="A72" s="700" t="inlineStr">
        <is>
          <t>4. Dự phòng giảm giá đầu tư tài chính dài hạn</t>
        </is>
      </c>
      <c r="B72" s="360">
        <f>IF(TRIM('03. Dulieutaichinhlamsach_DD'!$G$2)="VND",'03. Dulieutaichinhlamsach_DD'!D74/10^6,'03. Dulieutaichinhlamsach_DD'!D74)</f>
        <v/>
      </c>
      <c r="C72" s="360">
        <f>IF(TRIM('03. Dulieutaichinhlamsach_DD'!$G$2)="VND",'03. Dulieutaichinhlamsach_DD'!E74/10^6,'03. Dulieutaichinhlamsach_DD'!E74)</f>
        <v/>
      </c>
      <c r="D72" s="360">
        <f>IF(TRIM('03. Dulieutaichinhlamsach_DD'!$G$2)="VND",'03. Dulieutaichinhlamsach_DD'!F74/10^6,'03. Dulieutaichinhlamsach_DD'!F74)</f>
        <v/>
      </c>
      <c r="E72" s="361">
        <f>IF($D$10&lt;&gt;0,D72/$D$10," ")</f>
        <v/>
      </c>
      <c r="F72" s="362">
        <f>IF(C72&lt;&gt;0,(D72-C72)/C72,"")</f>
        <v/>
      </c>
      <c r="G72" s="360">
        <f>IF(TRIM('03. Dulieutaichinhlamsach_DD'!$G$2)="VND",'03. Dulieutaichinhlamsach_DD'!G74/10^6,'03. Dulieutaichinhlamsach_DD'!G74)</f>
        <v/>
      </c>
      <c r="H72" s="363">
        <f>IF($G$10&lt;&gt;0,G72/$G$10," ")</f>
        <v/>
      </c>
      <c r="I72" s="364">
        <f>IF(TRIM('03. Dulieutaichinhlamsach_DD'!$G$2)="VND",'03. Dulieutaichinhlamsach_DD'!H74/10^6,'03. Dulieutaichinhlamsach_DD'!H74)</f>
        <v/>
      </c>
      <c r="J72" s="365" t="n"/>
    </row>
    <row r="73" s="782">
      <c r="A73" s="700" t="inlineStr">
        <is>
          <t>5. Đầu tư tài chính dài hạn (trong trường hợp báo cáo không có thông tin)</t>
        </is>
      </c>
      <c r="B73" s="360">
        <f>IF(TRIM('03. Dulieutaichinhlamsach_DD'!$G$2)="VND",'03. Dulieutaichinhlamsach_DD'!D75/10^6,'03. Dulieutaichinhlamsach_DD'!D75)</f>
        <v/>
      </c>
      <c r="C73" s="360">
        <f>IF(TRIM('03. Dulieutaichinhlamsach_DD'!$G$2)="VND",'03. Dulieutaichinhlamsach_DD'!E75/10^6,'03. Dulieutaichinhlamsach_DD'!E75)</f>
        <v/>
      </c>
      <c r="D73" s="360">
        <f>IF(TRIM('03. Dulieutaichinhlamsach_DD'!$G$2)="VND",'03. Dulieutaichinhlamsach_DD'!F75/10^6,'03. Dulieutaichinhlamsach_DD'!F75)</f>
        <v/>
      </c>
      <c r="E73" s="361">
        <f>IF($D$10&lt;&gt;0,D73/$D$10," ")</f>
        <v/>
      </c>
      <c r="F73" s="362">
        <f>IF(C73&lt;&gt;0,(D73-C73)/C73,"")</f>
        <v/>
      </c>
      <c r="G73" s="360">
        <f>IF(TRIM('03. Dulieutaichinhlamsach_DD'!$G$2)="VND",'03. Dulieutaichinhlamsach_DD'!G75/10^6,'03. Dulieutaichinhlamsach_DD'!G75)</f>
        <v/>
      </c>
      <c r="H73" s="363">
        <f>IF($G$10&lt;&gt;0,G73/$G$10," ")</f>
        <v/>
      </c>
      <c r="I73" s="364">
        <f>IF(TRIM('03. Dulieutaichinhlamsach_DD'!$G$2)="VND",'03. Dulieutaichinhlamsach_DD'!H75/10^6,'03. Dulieutaichinhlamsach_DD'!H75)</f>
        <v/>
      </c>
      <c r="J73" s="365" t="n"/>
    </row>
    <row r="74">
      <c r="A74" s="696" t="inlineStr">
        <is>
          <t>V. Tài sản dài hạn khác</t>
        </is>
      </c>
      <c r="B74" s="332">
        <f>SUM(B75:B79)</f>
        <v/>
      </c>
      <c r="C74" s="332">
        <f>SUM(C75:C79)</f>
        <v/>
      </c>
      <c r="D74" s="332">
        <f>SUM(D75:D79)</f>
        <v/>
      </c>
      <c r="E74" s="361">
        <f>IF($D$47&lt;&gt;0,D74/$D$47," ")</f>
        <v/>
      </c>
      <c r="F74" s="334" t="n"/>
      <c r="G74" s="332">
        <f>SUM(G75:G79)</f>
        <v/>
      </c>
      <c r="H74" s="363">
        <f>IF($G$47&lt;&gt;0,G74/$G$47," ")</f>
        <v/>
      </c>
      <c r="I74" s="336">
        <f>SUM(I75:I79)</f>
        <v/>
      </c>
      <c r="J74" s="340" t="n"/>
    </row>
    <row r="75">
      <c r="A75" s="700" t="inlineStr">
        <is>
          <t>1. Chi phí trả trước dài hạn</t>
        </is>
      </c>
      <c r="B75" s="360">
        <f>IF(TRIM('03. Dulieutaichinhlamsach_DD'!$G$2)="VND",'03. Dulieutaichinhlamsach_DD'!D77/10^6,'03. Dulieutaichinhlamsach_DD'!D77)</f>
        <v/>
      </c>
      <c r="C75" s="360">
        <f>IF(TRIM('03. Dulieutaichinhlamsach_DD'!$G$2)="VND",'03. Dulieutaichinhlamsach_DD'!E77/10^6,'03. Dulieutaichinhlamsach_DD'!E77)</f>
        <v/>
      </c>
      <c r="D75" s="360">
        <f>IF(TRIM('03. Dulieutaichinhlamsach_DD'!$G$2)="VND",'03. Dulieutaichinhlamsach_DD'!F77/10^6,'03. Dulieutaichinhlamsach_DD'!F77)</f>
        <v/>
      </c>
      <c r="E75" s="361">
        <f>IF($D$10&lt;&gt;0,D75/$D$10," ")</f>
        <v/>
      </c>
      <c r="F75" s="362">
        <f>IF(C75&lt;&gt;0,(D75-C75)/C75,"")</f>
        <v/>
      </c>
      <c r="G75" s="360">
        <f>IF(TRIM('03. Dulieutaichinhlamsach_DD'!$G$2)="VND",'03. Dulieutaichinhlamsach_DD'!G77/10^6,'03. Dulieutaichinhlamsach_DD'!G77)</f>
        <v/>
      </c>
      <c r="H75" s="363">
        <f>IF($G$10&lt;&gt;0,G75/$G$10," ")</f>
        <v/>
      </c>
      <c r="I75" s="364">
        <f>IF(TRIM('03. Dulieutaichinhlamsach_DD'!$G$2)="VND",'03. Dulieutaichinhlamsach_DD'!H77/10^6,'03. Dulieutaichinhlamsach_DD'!H77)</f>
        <v/>
      </c>
      <c r="J75" s="365" t="n"/>
    </row>
    <row r="76">
      <c r="A76" s="700" t="inlineStr">
        <is>
          <t>2. Tài sản thuế thu nhập hoãn lại</t>
        </is>
      </c>
      <c r="B76" s="360">
        <f>IF(TRIM('03. Dulieutaichinhlamsach_DD'!$G$2)="VND",'03. Dulieutaichinhlamsach_DD'!D78/10^6,'03. Dulieutaichinhlamsach_DD'!D78)</f>
        <v/>
      </c>
      <c r="C76" s="360">
        <f>IF(TRIM('03. Dulieutaichinhlamsach_DD'!$G$2)="VND",'03. Dulieutaichinhlamsach_DD'!E78/10^6,'03. Dulieutaichinhlamsach_DD'!E78)</f>
        <v/>
      </c>
      <c r="D76" s="360">
        <f>IF(TRIM('03. Dulieutaichinhlamsach_DD'!$G$2)="VND",'03. Dulieutaichinhlamsach_DD'!F78/10^6,'03. Dulieutaichinhlamsach_DD'!F78)</f>
        <v/>
      </c>
      <c r="E76" s="361">
        <f>IF($D$10&lt;&gt;0,D76/$D$10," ")</f>
        <v/>
      </c>
      <c r="F76" s="362">
        <f>IF(C76&lt;&gt;0,(D76-C76)/C76,"")</f>
        <v/>
      </c>
      <c r="G76" s="360">
        <f>IF(TRIM('03. Dulieutaichinhlamsach_DD'!$G$2)="VND",'03. Dulieutaichinhlamsach_DD'!G78/10^6,'03. Dulieutaichinhlamsach_DD'!G78)</f>
        <v/>
      </c>
      <c r="H76" s="363">
        <f>IF($G$10&lt;&gt;0,G76/$G$10," ")</f>
        <v/>
      </c>
      <c r="I76" s="364">
        <f>IF(TRIM('03. Dulieutaichinhlamsach_DD'!$G$2)="VND",'03. Dulieutaichinhlamsach_DD'!H78/10^6,'03. Dulieutaichinhlamsach_DD'!H78)</f>
        <v/>
      </c>
      <c r="J76" s="365" t="n"/>
    </row>
    <row r="77">
      <c r="A77" s="700" t="inlineStr">
        <is>
          <t>3. Phải thu dài hạn</t>
        </is>
      </c>
      <c r="B77" s="360">
        <f>IF(TRIM('03. Dulieutaichinhlamsach_DD'!$G$2)="VND",'03. Dulieutaichinhlamsach_DD'!D79/10^6,'03. Dulieutaichinhlamsach_DD'!D79)</f>
        <v/>
      </c>
      <c r="C77" s="360">
        <f>IF(TRIM('03. Dulieutaichinhlamsach_DD'!$G$2)="VND",'03. Dulieutaichinhlamsach_DD'!E79/10^6,'03. Dulieutaichinhlamsach_DD'!E79)</f>
        <v/>
      </c>
      <c r="D77" s="360">
        <f>IF(TRIM('03. Dulieutaichinhlamsach_DD'!$G$2)="VND",'03. Dulieutaichinhlamsach_DD'!F79/10^6,'03. Dulieutaichinhlamsach_DD'!F79)</f>
        <v/>
      </c>
      <c r="E77" s="361">
        <f>IF($D$10&lt;&gt;0,D77/$D$10," ")</f>
        <v/>
      </c>
      <c r="F77" s="362">
        <f>IF(C77&lt;&gt;0,(D77-C77)/C77,"")</f>
        <v/>
      </c>
      <c r="G77" s="360">
        <f>IF(TRIM('03. Dulieutaichinhlamsach_DD'!$G$2)="VND",'03. Dulieutaichinhlamsach_DD'!G79/10^6,'03. Dulieutaichinhlamsach_DD'!G79)</f>
        <v/>
      </c>
      <c r="H77" s="363">
        <f>IF($G$10&lt;&gt;0,G77/$G$10," ")</f>
        <v/>
      </c>
      <c r="I77" s="364">
        <f>IF(TRIM('03. Dulieutaichinhlamsach_DD'!$G$2)="VND",'03. Dulieutaichinhlamsach_DD'!H79/10^6,'03. Dulieutaichinhlamsach_DD'!H79)</f>
        <v/>
      </c>
      <c r="J77" s="365" t="n"/>
    </row>
    <row r="78">
      <c r="A78" s="700" t="inlineStr">
        <is>
          <t>4. Tài sản dài hạn khác</t>
        </is>
      </c>
      <c r="B78" s="360">
        <f>IF(TRIM('03. Dulieutaichinhlamsach_DD'!$G$2)="VND",'03. Dulieutaichinhlamsach_DD'!D80/10^6,'03. Dulieutaichinhlamsach_DD'!D80)</f>
        <v/>
      </c>
      <c r="C78" s="360">
        <f>IF(TRIM('03. Dulieutaichinhlamsach_DD'!$G$2)="VND",'03. Dulieutaichinhlamsach_DD'!E80/10^6,'03. Dulieutaichinhlamsach_DD'!E80)</f>
        <v/>
      </c>
      <c r="D78" s="360">
        <f>IF(TRIM('03. Dulieutaichinhlamsach_DD'!$G$2)="VND",'03. Dulieutaichinhlamsach_DD'!F80/10^6,'03. Dulieutaichinhlamsach_DD'!F80)</f>
        <v/>
      </c>
      <c r="E78" s="361">
        <f>IF($D$10&lt;&gt;0,D78/$D$10," ")</f>
        <v/>
      </c>
      <c r="F78" s="362">
        <f>IF(C78&lt;&gt;0,(D78-C78)/C78,"")</f>
        <v/>
      </c>
      <c r="G78" s="360">
        <f>IF(TRIM('03. Dulieutaichinhlamsach_DD'!$G$2)="VND",'03. Dulieutaichinhlamsach_DD'!G80/10^6,'03. Dulieutaichinhlamsach_DD'!G80)</f>
        <v/>
      </c>
      <c r="H78" s="363">
        <f>IF($G$10&lt;&gt;0,G78/$G$10," ")</f>
        <v/>
      </c>
      <c r="I78" s="364">
        <f>IF(TRIM('03. Dulieutaichinhlamsach_DD'!$G$2)="VND",'03. Dulieutaichinhlamsach_DD'!H80/10^6,'03. Dulieutaichinhlamsach_DD'!H80)</f>
        <v/>
      </c>
      <c r="J78" s="365" t="n"/>
    </row>
    <row r="79">
      <c r="A79" s="700" t="inlineStr">
        <is>
          <t>5. Dự phòng phải thu dài hạn khó đòi</t>
        </is>
      </c>
      <c r="B79" s="360">
        <f>IF(TRIM('03. Dulieutaichinhlamsach_DD'!$G$2)="VND",'03. Dulieutaichinhlamsach_DD'!D81/10^6,'03. Dulieutaichinhlamsach_DD'!D81)</f>
        <v/>
      </c>
      <c r="C79" s="360">
        <f>IF(TRIM('03. Dulieutaichinhlamsach_DD'!$G$2)="VND",'03. Dulieutaichinhlamsach_DD'!E81/10^6,'03. Dulieutaichinhlamsach_DD'!E81)</f>
        <v/>
      </c>
      <c r="D79" s="360">
        <f>IF(TRIM('03. Dulieutaichinhlamsach_DD'!$G$2)="VND",'03. Dulieutaichinhlamsach_DD'!F81/10^6,'03. Dulieutaichinhlamsach_DD'!F81)</f>
        <v/>
      </c>
      <c r="E79" s="361">
        <f>IF($D$10&lt;&gt;0,D79/$D$10," ")</f>
        <v/>
      </c>
      <c r="F79" s="362">
        <f>IF(C79&lt;&gt;0,(D79-C79)/C79,"")</f>
        <v/>
      </c>
      <c r="G79" s="360">
        <f>IF(TRIM('03. Dulieutaichinhlamsach_DD'!$G$2)="VND",'03. Dulieutaichinhlamsach_DD'!G81/10^6,'03. Dulieutaichinhlamsach_DD'!G81)</f>
        <v/>
      </c>
      <c r="H79" s="363">
        <f>IF($G$10&lt;&gt;0,G79/$G$10," ")</f>
        <v/>
      </c>
      <c r="I79" s="364">
        <f>IF(TRIM('03. Dulieutaichinhlamsach_DD'!$G$2)="VND",'03. Dulieutaichinhlamsach_DD'!H81/10^6,'03. Dulieutaichinhlamsach_DD'!H81)</f>
        <v/>
      </c>
      <c r="J79" s="365" t="n"/>
    </row>
    <row r="80">
      <c r="A80" s="696" t="inlineStr">
        <is>
          <t>VI. Lợi thế thương mại</t>
        </is>
      </c>
      <c r="B80" s="360">
        <f>IF(TRIM('03. Dulieutaichinhlamsach_DD'!$G$2)="VND",'03. Dulieutaichinhlamsach_DD'!D82/10^6,'03. Dulieutaichinhlamsach_DD'!D82)</f>
        <v/>
      </c>
      <c r="C80" s="360">
        <f>IF(TRIM('03. Dulieutaichinhlamsach_DD'!$G$2)="VND",'03. Dulieutaichinhlamsach_DD'!E82/10^6,'03. Dulieutaichinhlamsach_DD'!E82)</f>
        <v/>
      </c>
      <c r="D80" s="360">
        <f>IF(TRIM('03. Dulieutaichinhlamsach_DD'!$G$2)="VND",'03. Dulieutaichinhlamsach_DD'!F82/10^6,'03. Dulieutaichinhlamsach_DD'!F82)</f>
        <v/>
      </c>
      <c r="E80" s="361">
        <f>IF($D$10&lt;&gt;0,D80/$D$10," ")</f>
        <v/>
      </c>
      <c r="F80" s="362">
        <f>IF(C80&lt;&gt;0,(D80-C80)/C80,"")</f>
        <v/>
      </c>
      <c r="G80" s="360">
        <f>IF(TRIM('03. Dulieutaichinhlamsach_DD'!$G$2)="VND",'03. Dulieutaichinhlamsach_DD'!G82/10^6,'03. Dulieutaichinhlamsach_DD'!G82)</f>
        <v/>
      </c>
      <c r="H80" s="363">
        <f>IF($G$10&lt;&gt;0,G80/$G$10," ")</f>
        <v/>
      </c>
      <c r="I80" s="364">
        <f>IF(TRIM('03. Dulieutaichinhlamsach_DD'!$G$2)="VND",'03. Dulieutaichinhlamsach_DD'!H82/10^6,'03. Dulieutaichinhlamsach_DD'!H82)</f>
        <v/>
      </c>
      <c r="J80" s="340" t="n"/>
    </row>
    <row r="81">
      <c r="A81" s="91" t="inlineStr">
        <is>
          <t>TỔNG NGUỒN VỐN</t>
        </is>
      </c>
      <c r="B81" s="321">
        <f>B82+B110</f>
        <v/>
      </c>
      <c r="C81" s="321">
        <f>C82+C110</f>
        <v/>
      </c>
      <c r="D81" s="321">
        <f>D82+D110</f>
        <v/>
      </c>
      <c r="E81" s="322">
        <f>IF($D$81&lt;&gt;0,D81/$D$81,"")</f>
        <v/>
      </c>
      <c r="F81" s="701">
        <f>IF(C81&lt;&gt;0,(D81-C81)/C81,"")</f>
        <v/>
      </c>
      <c r="G81" s="321">
        <f>G82+G110</f>
        <v/>
      </c>
      <c r="H81" s="324">
        <f>IF($G$81&lt;&gt;0,G81/$G$81,"")</f>
        <v/>
      </c>
      <c r="I81" s="325">
        <f>I82+I110</f>
        <v/>
      </c>
      <c r="J81" s="340" t="n"/>
    </row>
    <row r="82">
      <c r="A82" s="690" t="inlineStr">
        <is>
          <t>A. NỢ PHẢI TRẢ</t>
        </is>
      </c>
      <c r="B82" s="326">
        <f>B83+B98</f>
        <v/>
      </c>
      <c r="C82" s="326">
        <f>C83+C98</f>
        <v/>
      </c>
      <c r="D82" s="326">
        <f>D83+D98</f>
        <v/>
      </c>
      <c r="E82" s="327">
        <f>IF($D$81&lt;&gt;0,D82/$D$81,"")</f>
        <v/>
      </c>
      <c r="F82" s="328">
        <f>IF(C82&lt;&gt;0,(D82-C82)/C82,"")</f>
        <v/>
      </c>
      <c r="G82" s="326">
        <f>G83+G98</f>
        <v/>
      </c>
      <c r="H82" s="329">
        <f>IF($G$81&lt;&gt;0,G82/$G$81,"")</f>
        <v/>
      </c>
      <c r="I82" s="330">
        <f>I83+I98</f>
        <v/>
      </c>
      <c r="J82" s="365" t="n"/>
    </row>
    <row r="83">
      <c r="A83" s="92" t="inlineStr">
        <is>
          <t>I. Nợ ngắn hạn</t>
        </is>
      </c>
      <c r="B83" s="332">
        <f>SUM(B84:B97)-B85</f>
        <v/>
      </c>
      <c r="C83" s="332">
        <f>SUM(C84:C97)-C85</f>
        <v/>
      </c>
      <c r="D83" s="332">
        <f>SUM(D84:D97)-D85</f>
        <v/>
      </c>
      <c r="E83" s="361">
        <f>IF($D$82&lt;&gt;0,D83/$D$82," ")</f>
        <v/>
      </c>
      <c r="F83" s="345">
        <f>IF(C83&lt;&gt;0,(D83-C83)/C83,"")</f>
        <v/>
      </c>
      <c r="G83" s="332">
        <f>SUM(G84:G97)-G85</f>
        <v/>
      </c>
      <c r="H83" s="363">
        <f>IF($G$82&lt;&gt;0,G83/$G$82," ")</f>
        <v/>
      </c>
      <c r="I83" s="364">
        <f>IF(TRIM('03. Dulieutaichinhlamsach_DD'!$G$2)="VND",'03. Dulieutaichinhlamsach_DD'!H85/10^6,'03. Dulieutaichinhlamsach_DD'!H85)</f>
        <v/>
      </c>
      <c r="J83" s="365" t="n"/>
    </row>
    <row r="84">
      <c r="A84" s="693" t="inlineStr">
        <is>
          <t>1. Vay và nợ ngắn hạn</t>
        </is>
      </c>
      <c r="B84" s="360">
        <f>IF(TRIM('03. Dulieutaichinhlamsach_DD'!$G$2)="VND",'03. Dulieutaichinhlamsach_DD'!D86/10^6,'03. Dulieutaichinhlamsach_DD'!D86)</f>
        <v/>
      </c>
      <c r="C84" s="360">
        <f>IF(TRIM('03. Dulieutaichinhlamsach_DD'!$G$2)="VND",'03. Dulieutaichinhlamsach_DD'!E86/10^6,'03. Dulieutaichinhlamsach_DD'!E86)</f>
        <v/>
      </c>
      <c r="D84" s="360">
        <f>IF(TRIM('03. Dulieutaichinhlamsach_DD'!$G$2)="VND",'03. Dulieutaichinhlamsach_DD'!F86/10^6,'03. Dulieutaichinhlamsach_DD'!F86)</f>
        <v/>
      </c>
      <c r="E84" s="361">
        <f>IF($D$10&lt;&gt;0,D84/$D$10," ")</f>
        <v/>
      </c>
      <c r="F84" s="362">
        <f>IF(C84&lt;&gt;0,(D84-C84)/C84,"")</f>
        <v/>
      </c>
      <c r="G84" s="360">
        <f>IF(TRIM('03. Dulieutaichinhlamsach_DD'!$G$2)="VND",'03. Dulieutaichinhlamsach_DD'!G86/10^6,'03. Dulieutaichinhlamsach_DD'!G86)</f>
        <v/>
      </c>
      <c r="H84" s="363">
        <f>IF($G$10&lt;&gt;0,G84/$G$10," ")</f>
        <v/>
      </c>
      <c r="I84" s="364">
        <f>IF(TRIM('03. Dulieutaichinhlamsach_DD'!$G$2)="VND",'03. Dulieutaichinhlamsach_DD'!H86/10^6,'03. Dulieutaichinhlamsach_DD'!H86)</f>
        <v/>
      </c>
      <c r="J84" s="365" t="n"/>
    </row>
    <row r="85">
      <c r="A85" s="699" t="inlineStr">
        <is>
          <t>- Tr/đó: vay MSB</t>
        </is>
      </c>
      <c r="B85" s="360">
        <f>IF(TRIM('03. Dulieutaichinhlamsach_DD'!$G$2)="VND",'03. Dulieutaichinhlamsach_DD'!D87/10^6,'03. Dulieutaichinhlamsach_DD'!D87)</f>
        <v/>
      </c>
      <c r="C85" s="360">
        <f>IF(TRIM('03. Dulieutaichinhlamsach_DD'!$G$2)="VND",'03. Dulieutaichinhlamsach_DD'!E87/10^6,'03. Dulieutaichinhlamsach_DD'!E87)</f>
        <v/>
      </c>
      <c r="D85" s="360">
        <f>IF(TRIM('03. Dulieutaichinhlamsach_DD'!$G$2)="VND",'03. Dulieutaichinhlamsach_DD'!F87/10^6,'03. Dulieutaichinhlamsach_DD'!F87)</f>
        <v/>
      </c>
      <c r="E85" s="361">
        <f>IF($D$10&lt;&gt;0,D85/$D$10," ")</f>
        <v/>
      </c>
      <c r="F85" s="362">
        <f>IF(C85&lt;&gt;0,(D85-C85)/C85,"")</f>
        <v/>
      </c>
      <c r="G85" s="360">
        <f>IF(TRIM('03. Dulieutaichinhlamsach_DD'!$G$2)="VND",'03. Dulieutaichinhlamsach_DD'!G87/10^6,'03. Dulieutaichinhlamsach_DD'!G87)</f>
        <v/>
      </c>
      <c r="H85" s="363">
        <f>IF($G$10&lt;&gt;0,G85/$G$10," ")</f>
        <v/>
      </c>
      <c r="I85" s="364">
        <f>IF(TRIM('03. Dulieutaichinhlamsach_DD'!$G$2)="VND",'03. Dulieutaichinhlamsach_DD'!H87/10^6,'03. Dulieutaichinhlamsach_DD'!H87)</f>
        <v/>
      </c>
      <c r="J85" s="365" t="n"/>
    </row>
    <row r="86">
      <c r="A86" s="693" t="inlineStr">
        <is>
          <t>2. Phải trả người bán</t>
        </is>
      </c>
      <c r="B86" s="360">
        <f>IF(TRIM('03. Dulieutaichinhlamsach_DD'!$G$2)="VND",'03. Dulieutaichinhlamsach_DD'!D88/10^6,'03. Dulieutaichinhlamsach_DD'!D88)</f>
        <v/>
      </c>
      <c r="C86" s="360">
        <f>IF(TRIM('03. Dulieutaichinhlamsach_DD'!$G$2)="VND",'03. Dulieutaichinhlamsach_DD'!E88/10^6,'03. Dulieutaichinhlamsach_DD'!E88)</f>
        <v/>
      </c>
      <c r="D86" s="360">
        <f>IF(TRIM('03. Dulieutaichinhlamsach_DD'!$G$2)="VND",'03. Dulieutaichinhlamsach_DD'!F88/10^6,'03. Dulieutaichinhlamsach_DD'!F88)</f>
        <v/>
      </c>
      <c r="E86" s="361">
        <f>IF($D$10&lt;&gt;0,D86/$D$10," ")</f>
        <v/>
      </c>
      <c r="F86" s="362">
        <f>IF(C86&lt;&gt;0,(D86-C86)/C86,"")</f>
        <v/>
      </c>
      <c r="G86" s="360">
        <f>IF(TRIM('03. Dulieutaichinhlamsach_DD'!$G$2)="VND",'03. Dulieutaichinhlamsach_DD'!G88/10^6,'03. Dulieutaichinhlamsach_DD'!G88)</f>
        <v/>
      </c>
      <c r="H86" s="363">
        <f>IF($G$10&lt;&gt;0,G86/$G$10," ")</f>
        <v/>
      </c>
      <c r="I86" s="364">
        <f>IF(TRIM('03. Dulieutaichinhlamsach_DD'!$G$2)="VND",'03. Dulieutaichinhlamsach_DD'!H88/10^6,'03. Dulieutaichinhlamsach_DD'!H88)</f>
        <v/>
      </c>
      <c r="J86" s="365" t="n"/>
    </row>
    <row r="87">
      <c r="A87" s="693" t="inlineStr">
        <is>
          <t>3. Người mua trả tiền trước</t>
        </is>
      </c>
      <c r="B87" s="360">
        <f>IF(TRIM('03. Dulieutaichinhlamsach_DD'!$G$2)="VND",'03. Dulieutaichinhlamsach_DD'!D89/10^6,'03. Dulieutaichinhlamsach_DD'!D89)</f>
        <v/>
      </c>
      <c r="C87" s="360">
        <f>IF(TRIM('03. Dulieutaichinhlamsach_DD'!$G$2)="VND",'03. Dulieutaichinhlamsach_DD'!E89/10^6,'03. Dulieutaichinhlamsach_DD'!E89)</f>
        <v/>
      </c>
      <c r="D87" s="360">
        <f>IF(TRIM('03. Dulieutaichinhlamsach_DD'!$G$2)="VND",'03. Dulieutaichinhlamsach_DD'!F89/10^6,'03. Dulieutaichinhlamsach_DD'!F89)</f>
        <v/>
      </c>
      <c r="E87" s="361">
        <f>IF($D$10&lt;&gt;0,D87/$D$10," ")</f>
        <v/>
      </c>
      <c r="F87" s="362">
        <f>IF(C87&lt;&gt;0,(D87-C87)/C87,"")</f>
        <v/>
      </c>
      <c r="G87" s="360">
        <f>IF(TRIM('03. Dulieutaichinhlamsach_DD'!$G$2)="VND",'03. Dulieutaichinhlamsach_DD'!G89/10^6,'03. Dulieutaichinhlamsach_DD'!G89)</f>
        <v/>
      </c>
      <c r="H87" s="363">
        <f>IF($G$10&lt;&gt;0,G87/$G$10," ")</f>
        <v/>
      </c>
      <c r="I87" s="364">
        <f>IF(TRIM('03. Dulieutaichinhlamsach_DD'!$G$2)="VND",'03. Dulieutaichinhlamsach_DD'!H89/10^6,'03. Dulieutaichinhlamsach_DD'!H89)</f>
        <v/>
      </c>
      <c r="J87" s="365" t="n"/>
    </row>
    <row r="88">
      <c r="A88" s="693" t="inlineStr">
        <is>
          <t>4. Thuế và các khoản phải nộp Nhà nước</t>
        </is>
      </c>
      <c r="B88" s="360">
        <f>IF(TRIM('03. Dulieutaichinhlamsach_DD'!$G$2)="VND",'03. Dulieutaichinhlamsach_DD'!D90/10^6,'03. Dulieutaichinhlamsach_DD'!D90)</f>
        <v/>
      </c>
      <c r="C88" s="360">
        <f>IF(TRIM('03. Dulieutaichinhlamsach_DD'!$G$2)="VND",'03. Dulieutaichinhlamsach_DD'!E90/10^6,'03. Dulieutaichinhlamsach_DD'!E90)</f>
        <v/>
      </c>
      <c r="D88" s="360">
        <f>IF(TRIM('03. Dulieutaichinhlamsach_DD'!$G$2)="VND",'03. Dulieutaichinhlamsach_DD'!F90/10^6,'03. Dulieutaichinhlamsach_DD'!F90)</f>
        <v/>
      </c>
      <c r="E88" s="361">
        <f>IF($D$10&lt;&gt;0,D88/$D$10," ")</f>
        <v/>
      </c>
      <c r="F88" s="362">
        <f>IF(C88&lt;&gt;0,(D88-C88)/C88,"")</f>
        <v/>
      </c>
      <c r="G88" s="360">
        <f>IF(TRIM('03. Dulieutaichinhlamsach_DD'!$G$2)="VND",'03. Dulieutaichinhlamsach_DD'!G90/10^6,'03. Dulieutaichinhlamsach_DD'!G90)</f>
        <v/>
      </c>
      <c r="H88" s="363">
        <f>IF($G$10&lt;&gt;0,G88/$G$10," ")</f>
        <v/>
      </c>
      <c r="I88" s="364">
        <f>IF(TRIM('03. Dulieutaichinhlamsach_DD'!$G$2)="VND",'03. Dulieutaichinhlamsach_DD'!H90/10^6,'03. Dulieutaichinhlamsach_DD'!H90)</f>
        <v/>
      </c>
      <c r="J88" s="365" t="n"/>
    </row>
    <row r="89">
      <c r="A89" s="693" t="inlineStr">
        <is>
          <t>5. Phải trả người lao động</t>
        </is>
      </c>
      <c r="B89" s="360">
        <f>IF(TRIM('03. Dulieutaichinhlamsach_DD'!$G$2)="VND",'03. Dulieutaichinhlamsach_DD'!D91/10^6,'03. Dulieutaichinhlamsach_DD'!D91)</f>
        <v/>
      </c>
      <c r="C89" s="360">
        <f>IF(TRIM('03. Dulieutaichinhlamsach_DD'!$G$2)="VND",'03. Dulieutaichinhlamsach_DD'!E91/10^6,'03. Dulieutaichinhlamsach_DD'!E91)</f>
        <v/>
      </c>
      <c r="D89" s="360">
        <f>IF(TRIM('03. Dulieutaichinhlamsach_DD'!$G$2)="VND",'03. Dulieutaichinhlamsach_DD'!F91/10^6,'03. Dulieutaichinhlamsach_DD'!F91)</f>
        <v/>
      </c>
      <c r="E89" s="361">
        <f>IF($D$10&lt;&gt;0,D89/$D$10," ")</f>
        <v/>
      </c>
      <c r="F89" s="362">
        <f>IF(C89&lt;&gt;0,(D89-C89)/C89,"")</f>
        <v/>
      </c>
      <c r="G89" s="360">
        <f>IF(TRIM('03. Dulieutaichinhlamsach_DD'!$G$2)="VND",'03. Dulieutaichinhlamsach_DD'!G91/10^6,'03. Dulieutaichinhlamsach_DD'!G91)</f>
        <v/>
      </c>
      <c r="H89" s="363">
        <f>IF($G$10&lt;&gt;0,G89/$G$10," ")</f>
        <v/>
      </c>
      <c r="I89" s="364">
        <f>IF(TRIM('03. Dulieutaichinhlamsach_DD'!$G$2)="VND",'03. Dulieutaichinhlamsach_DD'!H91/10^6,'03. Dulieutaichinhlamsach_DD'!H91)</f>
        <v/>
      </c>
      <c r="J89" s="365" t="n"/>
    </row>
    <row r="90">
      <c r="A90" s="693" t="inlineStr">
        <is>
          <t>6. Chi phí phải trả</t>
        </is>
      </c>
      <c r="B90" s="360">
        <f>IF(TRIM('03. Dulieutaichinhlamsach_DD'!$G$2)="VND",'03. Dulieutaichinhlamsach_DD'!D92/10^6,'03. Dulieutaichinhlamsach_DD'!D92)</f>
        <v/>
      </c>
      <c r="C90" s="360">
        <f>IF(TRIM('03. Dulieutaichinhlamsach_DD'!$G$2)="VND",'03. Dulieutaichinhlamsach_DD'!E92/10^6,'03. Dulieutaichinhlamsach_DD'!E92)</f>
        <v/>
      </c>
      <c r="D90" s="360">
        <f>IF(TRIM('03. Dulieutaichinhlamsach_DD'!$G$2)="VND",'03. Dulieutaichinhlamsach_DD'!F92/10^6,'03. Dulieutaichinhlamsach_DD'!F92)</f>
        <v/>
      </c>
      <c r="E90" s="361">
        <f>IF($D$10&lt;&gt;0,D90/$D$10," ")</f>
        <v/>
      </c>
      <c r="F90" s="362">
        <f>IF(C90&lt;&gt;0,(D90-C90)/C90,"")</f>
        <v/>
      </c>
      <c r="G90" s="360">
        <f>IF(TRIM('03. Dulieutaichinhlamsach_DD'!$G$2)="VND",'03. Dulieutaichinhlamsach_DD'!G92/10^6,'03. Dulieutaichinhlamsach_DD'!G92)</f>
        <v/>
      </c>
      <c r="H90" s="363">
        <f>IF($G$10&lt;&gt;0,G90/$G$10," ")</f>
        <v/>
      </c>
      <c r="I90" s="364">
        <f>IF(TRIM('03. Dulieutaichinhlamsach_DD'!$G$2)="VND",'03. Dulieutaichinhlamsach_DD'!H92/10^6,'03. Dulieutaichinhlamsach_DD'!H92)</f>
        <v/>
      </c>
      <c r="J90" s="365" t="n"/>
    </row>
    <row r="91">
      <c r="A91" s="693" t="inlineStr">
        <is>
          <t>7. Phải trả nội bộ</t>
        </is>
      </c>
      <c r="B91" s="360">
        <f>IF(TRIM('03. Dulieutaichinhlamsach_DD'!$G$2)="VND",'03. Dulieutaichinhlamsach_DD'!D93/10^6,'03. Dulieutaichinhlamsach_DD'!D93)</f>
        <v/>
      </c>
      <c r="C91" s="360">
        <f>IF(TRIM('03. Dulieutaichinhlamsach_DD'!$G$2)="VND",'03. Dulieutaichinhlamsach_DD'!E93/10^6,'03. Dulieutaichinhlamsach_DD'!E93)</f>
        <v/>
      </c>
      <c r="D91" s="360">
        <f>IF(TRIM('03. Dulieutaichinhlamsach_DD'!$G$2)="VND",'03. Dulieutaichinhlamsach_DD'!F93/10^6,'03. Dulieutaichinhlamsach_DD'!F93)</f>
        <v/>
      </c>
      <c r="E91" s="361">
        <f>IF($D$10&lt;&gt;0,D91/$D$10," ")</f>
        <v/>
      </c>
      <c r="F91" s="362">
        <f>IF(C91&lt;&gt;0,(D91-C91)/C91,"")</f>
        <v/>
      </c>
      <c r="G91" s="360">
        <f>IF(TRIM('03. Dulieutaichinhlamsach_DD'!$G$2)="VND",'03. Dulieutaichinhlamsach_DD'!G93/10^6,'03. Dulieutaichinhlamsach_DD'!G93)</f>
        <v/>
      </c>
      <c r="H91" s="363">
        <f>IF($G$10&lt;&gt;0,G91/$G$10," ")</f>
        <v/>
      </c>
      <c r="I91" s="364">
        <f>IF(TRIM('03. Dulieutaichinhlamsach_DD'!$G$2)="VND",'03. Dulieutaichinhlamsach_DD'!H93/10^6,'03. Dulieutaichinhlamsach_DD'!H93)</f>
        <v/>
      </c>
      <c r="J91" s="365" t="n"/>
    </row>
    <row r="92">
      <c r="A92" s="693" t="inlineStr">
        <is>
          <t>8. Phải trả theo tiến độ kế hoạch hợp đồng xây dựng</t>
        </is>
      </c>
      <c r="B92" s="360">
        <f>IF(TRIM('03. Dulieutaichinhlamsach_DD'!$G$2)="VND",'03. Dulieutaichinhlamsach_DD'!D94/10^6,'03. Dulieutaichinhlamsach_DD'!D94)</f>
        <v/>
      </c>
      <c r="C92" s="360">
        <f>IF(TRIM('03. Dulieutaichinhlamsach_DD'!$G$2)="VND",'03. Dulieutaichinhlamsach_DD'!E94/10^6,'03. Dulieutaichinhlamsach_DD'!E94)</f>
        <v/>
      </c>
      <c r="D92" s="360">
        <f>IF(TRIM('03. Dulieutaichinhlamsach_DD'!$G$2)="VND",'03. Dulieutaichinhlamsach_DD'!F94/10^6,'03. Dulieutaichinhlamsach_DD'!F94)</f>
        <v/>
      </c>
      <c r="E92" s="361">
        <f>IF($D$10&lt;&gt;0,D92/$D$10," ")</f>
        <v/>
      </c>
      <c r="F92" s="362">
        <f>IF(C92&lt;&gt;0,(D92-C92)/C92,"")</f>
        <v/>
      </c>
      <c r="G92" s="360">
        <f>IF(TRIM('03. Dulieutaichinhlamsach_DD'!$G$2)="VND",'03. Dulieutaichinhlamsach_DD'!G94/10^6,'03. Dulieutaichinhlamsach_DD'!G94)</f>
        <v/>
      </c>
      <c r="H92" s="363">
        <f>IF($G$10&lt;&gt;0,G92/$G$10," ")</f>
        <v/>
      </c>
      <c r="I92" s="364">
        <f>IF(TRIM('03. Dulieutaichinhlamsach_DD'!$G$2)="VND",'03. Dulieutaichinhlamsach_DD'!H94/10^6,'03. Dulieutaichinhlamsach_DD'!H94)</f>
        <v/>
      </c>
      <c r="J92" s="365" t="n"/>
    </row>
    <row r="93">
      <c r="A93" s="693" t="inlineStr">
        <is>
          <t>9. Các khoản phải trả, phải nộp ngắn hạn khác</t>
        </is>
      </c>
      <c r="B93" s="360">
        <f>IF(TRIM('03. Dulieutaichinhlamsach_DD'!$G$2)="VND",'03. Dulieutaichinhlamsach_DD'!D95/10^6,'03. Dulieutaichinhlamsach_DD'!D95)</f>
        <v/>
      </c>
      <c r="C93" s="360">
        <f>IF(TRIM('03. Dulieutaichinhlamsach_DD'!$G$2)="VND",'03. Dulieutaichinhlamsach_DD'!E95/10^6,'03. Dulieutaichinhlamsach_DD'!E95)</f>
        <v/>
      </c>
      <c r="D93" s="360">
        <f>IF(TRIM('03. Dulieutaichinhlamsach_DD'!$G$2)="VND",'03. Dulieutaichinhlamsach_DD'!F95/10^6,'03. Dulieutaichinhlamsach_DD'!F95)</f>
        <v/>
      </c>
      <c r="E93" s="361">
        <f>IF($D$10&lt;&gt;0,D93/$D$10," ")</f>
        <v/>
      </c>
      <c r="F93" s="362">
        <f>IF(C93&lt;&gt;0,(D93-C93)/C93,"")</f>
        <v/>
      </c>
      <c r="G93" s="360">
        <f>IF(TRIM('03. Dulieutaichinhlamsach_DD'!$G$2)="VND",'03. Dulieutaichinhlamsach_DD'!G95/10^6,'03. Dulieutaichinhlamsach_DD'!G95)</f>
        <v/>
      </c>
      <c r="H93" s="363">
        <f>IF($G$10&lt;&gt;0,G93/$G$10," ")</f>
        <v/>
      </c>
      <c r="I93" s="364">
        <f>IF(TRIM('03. Dulieutaichinhlamsach_DD'!$G$2)="VND",'03. Dulieutaichinhlamsach_DD'!H95/10^6,'03. Dulieutaichinhlamsach_DD'!H95)</f>
        <v/>
      </c>
      <c r="J93" s="365" t="n"/>
    </row>
    <row r="94">
      <c r="A94" s="693" t="inlineStr">
        <is>
          <t>10. Dự phòng phải trả ngắn hạn</t>
        </is>
      </c>
      <c r="B94" s="360">
        <f>IF(TRIM('03. Dulieutaichinhlamsach_DD'!$G$2)="VND",'03. Dulieutaichinhlamsach_DD'!D96/10^6,'03. Dulieutaichinhlamsach_DD'!D96)</f>
        <v/>
      </c>
      <c r="C94" s="360">
        <f>IF(TRIM('03. Dulieutaichinhlamsach_DD'!$G$2)="VND",'03. Dulieutaichinhlamsach_DD'!E96/10^6,'03. Dulieutaichinhlamsach_DD'!E96)</f>
        <v/>
      </c>
      <c r="D94" s="360">
        <f>IF(TRIM('03. Dulieutaichinhlamsach_DD'!$G$2)="VND",'03. Dulieutaichinhlamsach_DD'!F96/10^6,'03. Dulieutaichinhlamsach_DD'!F96)</f>
        <v/>
      </c>
      <c r="E94" s="361">
        <f>IF($D$10&lt;&gt;0,D94/$D$10," ")</f>
        <v/>
      </c>
      <c r="F94" s="362">
        <f>IF(C94&lt;&gt;0,(D94-C94)/C94,"")</f>
        <v/>
      </c>
      <c r="G94" s="360">
        <f>IF(TRIM('03. Dulieutaichinhlamsach_DD'!$G$2)="VND",'03. Dulieutaichinhlamsach_DD'!G96/10^6,'03. Dulieutaichinhlamsach_DD'!G96)</f>
        <v/>
      </c>
      <c r="H94" s="363">
        <f>IF($G$10&lt;&gt;0,G94/$G$10," ")</f>
        <v/>
      </c>
      <c r="I94" s="364">
        <f>IF(TRIM('03. Dulieutaichinhlamsach_DD'!$G$2)="VND",'03. Dulieutaichinhlamsach_DD'!H96/10^6,'03. Dulieutaichinhlamsach_DD'!H96)</f>
        <v/>
      </c>
      <c r="J94" s="365" t="n"/>
    </row>
    <row r="95">
      <c r="A95" s="693" t="inlineStr">
        <is>
          <t>11. Quỹ khen thưởng, phúc lợi</t>
        </is>
      </c>
      <c r="B95" s="360">
        <f>IF(TRIM('03. Dulieutaichinhlamsach_DD'!$G$2)="VND",'03. Dulieutaichinhlamsach_DD'!D97/10^6,'03. Dulieutaichinhlamsach_DD'!D97)</f>
        <v/>
      </c>
      <c r="C95" s="360">
        <f>IF(TRIM('03. Dulieutaichinhlamsach_DD'!$G$2)="VND",'03. Dulieutaichinhlamsach_DD'!E97/10^6,'03. Dulieutaichinhlamsach_DD'!E97)</f>
        <v/>
      </c>
      <c r="D95" s="360">
        <f>IF(TRIM('03. Dulieutaichinhlamsach_DD'!$G$2)="VND",'03. Dulieutaichinhlamsach_DD'!F97/10^6,'03. Dulieutaichinhlamsach_DD'!F97)</f>
        <v/>
      </c>
      <c r="E95" s="361">
        <f>IF($D$10&lt;&gt;0,D95/$D$10," ")</f>
        <v/>
      </c>
      <c r="F95" s="362">
        <f>IF(C95&lt;&gt;0,(D95-C95)/C95,"")</f>
        <v/>
      </c>
      <c r="G95" s="360">
        <f>IF(TRIM('03. Dulieutaichinhlamsach_DD'!$G$2)="VND",'03. Dulieutaichinhlamsach_DD'!G97/10^6,'03. Dulieutaichinhlamsach_DD'!G97)</f>
        <v/>
      </c>
      <c r="H95" s="363">
        <f>IF($G$10&lt;&gt;0,G95/$G$10," ")</f>
        <v/>
      </c>
      <c r="I95" s="364">
        <f>IF(TRIM('03. Dulieutaichinhlamsach_DD'!$G$2)="VND",'03. Dulieutaichinhlamsach_DD'!H97/10^6,'03. Dulieutaichinhlamsach_DD'!H97)</f>
        <v/>
      </c>
      <c r="J95" s="365" t="n"/>
    </row>
    <row r="96">
      <c r="A96" s="693" t="inlineStr">
        <is>
          <t>12. Giao dịch mua bán lại trái phiếu chính phủ</t>
        </is>
      </c>
      <c r="B96" s="360">
        <f>IF(TRIM('03. Dulieutaichinhlamsach_DD'!$G$2)="VND",'03. Dulieutaichinhlamsach_DD'!D98/10^6,'03. Dulieutaichinhlamsach_DD'!D98)</f>
        <v/>
      </c>
      <c r="C96" s="360">
        <f>IF(TRIM('03. Dulieutaichinhlamsach_DD'!$G$2)="VND",'03. Dulieutaichinhlamsach_DD'!E98/10^6,'03. Dulieutaichinhlamsach_DD'!E98)</f>
        <v/>
      </c>
      <c r="D96" s="360">
        <f>IF(TRIM('03. Dulieutaichinhlamsach_DD'!$G$2)="VND",'03. Dulieutaichinhlamsach_DD'!F98/10^6,'03. Dulieutaichinhlamsach_DD'!F98)</f>
        <v/>
      </c>
      <c r="E96" s="361">
        <f>IF($D$10&lt;&gt;0,D96/$D$10," ")</f>
        <v/>
      </c>
      <c r="F96" s="362">
        <f>IF(C96&lt;&gt;0,(D96-C96)/C96,"")</f>
        <v/>
      </c>
      <c r="G96" s="360">
        <f>IF(TRIM('03. Dulieutaichinhlamsach_DD'!$G$2)="VND",'03. Dulieutaichinhlamsach_DD'!G98/10^6,'03. Dulieutaichinhlamsach_DD'!G98)</f>
        <v/>
      </c>
      <c r="H96" s="363">
        <f>IF($G$10&lt;&gt;0,G96/$G$10," ")</f>
        <v/>
      </c>
      <c r="I96" s="364">
        <f>IF(TRIM('03. Dulieutaichinhlamsach_DD'!$G$2)="VND",'03. Dulieutaichinhlamsach_DD'!H98/10^6,'03. Dulieutaichinhlamsach_DD'!H98)</f>
        <v/>
      </c>
      <c r="J96" s="365" t="n"/>
    </row>
    <row r="97">
      <c r="A97" s="693" t="inlineStr">
        <is>
          <t>13. Doanh thu chưa thực hiện ngắn hạn</t>
        </is>
      </c>
      <c r="B97" s="360">
        <f>IF(TRIM('03. Dulieutaichinhlamsach_DD'!$G$2)="VND",'03. Dulieutaichinhlamsach_DD'!D99/10^6,'03. Dulieutaichinhlamsach_DD'!D99)</f>
        <v/>
      </c>
      <c r="C97" s="360">
        <f>IF(TRIM('03. Dulieutaichinhlamsach_DD'!$G$2)="VND",'03. Dulieutaichinhlamsach_DD'!E99/10^6,'03. Dulieutaichinhlamsach_DD'!E99)</f>
        <v/>
      </c>
      <c r="D97" s="360">
        <f>IF(TRIM('03. Dulieutaichinhlamsach_DD'!$G$2)="VND",'03. Dulieutaichinhlamsach_DD'!F99/10^6,'03. Dulieutaichinhlamsach_DD'!F99)</f>
        <v/>
      </c>
      <c r="E97" s="361">
        <f>IF($D$10&lt;&gt;0,D97/$D$10," ")</f>
        <v/>
      </c>
      <c r="F97" s="362">
        <f>IF(C97&lt;&gt;0,(D97-C97)/C97,"")</f>
        <v/>
      </c>
      <c r="G97" s="360">
        <f>IF(TRIM('03. Dulieutaichinhlamsach_DD'!$G$2)="VND",'03. Dulieutaichinhlamsach_DD'!G99/10^6,'03. Dulieutaichinhlamsach_DD'!G99)</f>
        <v/>
      </c>
      <c r="H97" s="363">
        <f>IF($G$10&lt;&gt;0,G97/$G$10," ")</f>
        <v/>
      </c>
      <c r="I97" s="364">
        <f>IF(TRIM('03. Dulieutaichinhlamsach_DD'!$G$2)="VND",'03. Dulieutaichinhlamsach_DD'!H99/10^6,'03. Dulieutaichinhlamsach_DD'!H99)</f>
        <v/>
      </c>
      <c r="J97" s="365" t="n"/>
    </row>
    <row r="98">
      <c r="A98" s="92" t="inlineStr">
        <is>
          <t>II. Nợ dài hạn</t>
        </is>
      </c>
      <c r="B98" s="332">
        <f>SUM(B99:B109)-B103</f>
        <v/>
      </c>
      <c r="C98" s="332">
        <f>SUM(C99:C109)-C103</f>
        <v/>
      </c>
      <c r="D98" s="332">
        <f>SUM(D99:D109)-D103</f>
        <v/>
      </c>
      <c r="E98" s="361">
        <f>IF($D$82&lt;&gt;0,D98/$D$82," ")</f>
        <v/>
      </c>
      <c r="F98" s="334">
        <f>IF(C98&lt;&gt;0,(D98-C98)/C98,"")</f>
        <v/>
      </c>
      <c r="G98" s="332">
        <f>SUM(G99:G109)-G103</f>
        <v/>
      </c>
      <c r="H98" s="363">
        <f>IF($G$82&lt;&gt;0,G98/$G$82," ")</f>
        <v/>
      </c>
      <c r="I98" s="364">
        <f>IF(TRIM('03. Dulieutaichinhlamsach_DD'!$G$2)="VND",'03. Dulieutaichinhlamsach_DD'!H100/10^6,'03. Dulieutaichinhlamsach_DD'!H100)</f>
        <v/>
      </c>
      <c r="J98" s="365" t="n"/>
    </row>
    <row r="99">
      <c r="A99" s="693" t="inlineStr">
        <is>
          <t>1. Phải trả dài hạn người bán</t>
        </is>
      </c>
      <c r="B99" s="360">
        <f>IF(TRIM('03. Dulieutaichinhlamsach_DD'!$G$2)="VND",'03. Dulieutaichinhlamsach_DD'!D101/10^6,'03. Dulieutaichinhlamsach_DD'!D101)</f>
        <v/>
      </c>
      <c r="C99" s="360">
        <f>IF(TRIM('03. Dulieutaichinhlamsach_DD'!$G$2)="VND",'03. Dulieutaichinhlamsach_DD'!E101/10^6,'03. Dulieutaichinhlamsach_DD'!E101)</f>
        <v/>
      </c>
      <c r="D99" s="360">
        <f>IF(TRIM('03. Dulieutaichinhlamsach_DD'!$G$2)="VND",'03. Dulieutaichinhlamsach_DD'!F101/10^6,'03. Dulieutaichinhlamsach_DD'!F101)</f>
        <v/>
      </c>
      <c r="E99" s="361">
        <f>IF($D$10&lt;&gt;0,D99/$D$10," ")</f>
        <v/>
      </c>
      <c r="F99" s="362">
        <f>IF(C99&lt;&gt;0,(D99-C99)/C99,"")</f>
        <v/>
      </c>
      <c r="G99" s="360">
        <f>IF(TRIM('03. Dulieutaichinhlamsach_DD'!$G$2)="VND",'03. Dulieutaichinhlamsach_DD'!G101/10^6,'03. Dulieutaichinhlamsach_DD'!G101)</f>
        <v/>
      </c>
      <c r="H99" s="363">
        <f>IF($G$10&lt;&gt;0,G99/$G$10," ")</f>
        <v/>
      </c>
      <c r="I99" s="364">
        <f>IF(TRIM('03. Dulieutaichinhlamsach_DD'!$G$2)="VND",'03. Dulieutaichinhlamsach_DD'!H101/10^6,'03. Dulieutaichinhlamsach_DD'!H101)</f>
        <v/>
      </c>
      <c r="J99" s="365" t="n"/>
    </row>
    <row r="100">
      <c r="A100" s="693" t="inlineStr">
        <is>
          <t>2. Phải trả dài hạn nội bộ</t>
        </is>
      </c>
      <c r="B100" s="360">
        <f>IF(TRIM('03. Dulieutaichinhlamsach_DD'!$G$2)="VND",'03. Dulieutaichinhlamsach_DD'!D102/10^6,'03. Dulieutaichinhlamsach_DD'!D102)</f>
        <v/>
      </c>
      <c r="C100" s="360">
        <f>IF(TRIM('03. Dulieutaichinhlamsach_DD'!$G$2)="VND",'03. Dulieutaichinhlamsach_DD'!E102/10^6,'03. Dulieutaichinhlamsach_DD'!E102)</f>
        <v/>
      </c>
      <c r="D100" s="360">
        <f>IF(TRIM('03. Dulieutaichinhlamsach_DD'!$G$2)="VND",'03. Dulieutaichinhlamsach_DD'!F102/10^6,'03. Dulieutaichinhlamsach_DD'!F102)</f>
        <v/>
      </c>
      <c r="E100" s="361">
        <f>IF($D$10&lt;&gt;0,D100/$D$10," ")</f>
        <v/>
      </c>
      <c r="F100" s="362">
        <f>IF(C100&lt;&gt;0,(D100-C100)/C100,"")</f>
        <v/>
      </c>
      <c r="G100" s="360">
        <f>IF(TRIM('03. Dulieutaichinhlamsach_DD'!$G$2)="VND",'03. Dulieutaichinhlamsach_DD'!G102/10^6,'03. Dulieutaichinhlamsach_DD'!G102)</f>
        <v/>
      </c>
      <c r="H100" s="363">
        <f>IF($G$10&lt;&gt;0,G100/$G$10," ")</f>
        <v/>
      </c>
      <c r="I100" s="364">
        <f>IF(TRIM('03. Dulieutaichinhlamsach_DD'!$G$2)="VND",'03. Dulieutaichinhlamsach_DD'!H102/10^6,'03. Dulieutaichinhlamsach_DD'!H102)</f>
        <v/>
      </c>
      <c r="J100" s="365" t="n"/>
    </row>
    <row r="101">
      <c r="A101" s="693" t="inlineStr">
        <is>
          <t>3. Phải trả dài hạn khác</t>
        </is>
      </c>
      <c r="B101" s="360">
        <f>IF(TRIM('03. Dulieutaichinhlamsach_DD'!$G$2)="VND",'03. Dulieutaichinhlamsach_DD'!D103/10^6,'03. Dulieutaichinhlamsach_DD'!D103)</f>
        <v/>
      </c>
      <c r="C101" s="360">
        <f>IF(TRIM('03. Dulieutaichinhlamsach_DD'!$G$2)="VND",'03. Dulieutaichinhlamsach_DD'!E103/10^6,'03. Dulieutaichinhlamsach_DD'!E103)</f>
        <v/>
      </c>
      <c r="D101" s="360">
        <f>IF(TRIM('03. Dulieutaichinhlamsach_DD'!$G$2)="VND",'03. Dulieutaichinhlamsach_DD'!F103/10^6,'03. Dulieutaichinhlamsach_DD'!F103)</f>
        <v/>
      </c>
      <c r="E101" s="361">
        <f>IF($D$10&lt;&gt;0,D101/$D$10," ")</f>
        <v/>
      </c>
      <c r="F101" s="362">
        <f>IF(C101&lt;&gt;0,(D101-C101)/C101,"")</f>
        <v/>
      </c>
      <c r="G101" s="360">
        <f>IF(TRIM('03. Dulieutaichinhlamsach_DD'!$G$2)="VND",'03. Dulieutaichinhlamsach_DD'!G103/10^6,'03. Dulieutaichinhlamsach_DD'!G103)</f>
        <v/>
      </c>
      <c r="H101" s="363">
        <f>IF($G$10&lt;&gt;0,G101/$G$10," ")</f>
        <v/>
      </c>
      <c r="I101" s="364">
        <f>IF(TRIM('03. Dulieutaichinhlamsach_DD'!$G$2)="VND",'03. Dulieutaichinhlamsach_DD'!H103/10^6,'03. Dulieutaichinhlamsach_DD'!H103)</f>
        <v/>
      </c>
      <c r="J101" s="365" t="n"/>
    </row>
    <row r="102">
      <c r="A102" s="693" t="inlineStr">
        <is>
          <t>4. Vay và nợ dài hạn</t>
        </is>
      </c>
      <c r="B102" s="360">
        <f>IF(TRIM('03. Dulieutaichinhlamsach_DD'!$G$2)="VND",'03. Dulieutaichinhlamsach_DD'!D104/10^6,'03. Dulieutaichinhlamsach_DD'!D104)</f>
        <v/>
      </c>
      <c r="C102" s="360">
        <f>IF(TRIM('03. Dulieutaichinhlamsach_DD'!$G$2)="VND",'03. Dulieutaichinhlamsach_DD'!E104/10^6,'03. Dulieutaichinhlamsach_DD'!E104)</f>
        <v/>
      </c>
      <c r="D102" s="360">
        <f>IF(TRIM('03. Dulieutaichinhlamsach_DD'!$G$2)="VND",'03. Dulieutaichinhlamsach_DD'!F104/10^6,'03. Dulieutaichinhlamsach_DD'!F104)</f>
        <v/>
      </c>
      <c r="E102" s="361">
        <f>IF($D$10&lt;&gt;0,D102/$D$10," ")</f>
        <v/>
      </c>
      <c r="F102" s="362">
        <f>IF(C102&lt;&gt;0,(D102-C102)/C102,"")</f>
        <v/>
      </c>
      <c r="G102" s="360">
        <f>IF(TRIM('03. Dulieutaichinhlamsach_DD'!$G$2)="VND",'03. Dulieutaichinhlamsach_DD'!G104/10^6,'03. Dulieutaichinhlamsach_DD'!G104)</f>
        <v/>
      </c>
      <c r="H102" s="363">
        <f>IF($G$10&lt;&gt;0,G102/$G$10," ")</f>
        <v/>
      </c>
      <c r="I102" s="364">
        <f>IF(TRIM('03. Dulieutaichinhlamsach_DD'!$G$2)="VND",'03. Dulieutaichinhlamsach_DD'!H104/10^6,'03. Dulieutaichinhlamsach_DD'!H104)</f>
        <v/>
      </c>
      <c r="J102" s="365" t="n"/>
    </row>
    <row r="103">
      <c r="A103" s="699" t="inlineStr">
        <is>
          <t>- Tr/đó: vay MSB</t>
        </is>
      </c>
      <c r="B103" s="360">
        <f>IF(TRIM('03. Dulieutaichinhlamsach_DD'!$G$2)="VND",'03. Dulieutaichinhlamsach_DD'!D105/10^6,'03. Dulieutaichinhlamsach_DD'!D105)</f>
        <v/>
      </c>
      <c r="C103" s="360">
        <f>IF(TRIM('03. Dulieutaichinhlamsach_DD'!$G$2)="VND",'03. Dulieutaichinhlamsach_DD'!E105/10^6,'03. Dulieutaichinhlamsach_DD'!E105)</f>
        <v/>
      </c>
      <c r="D103" s="360">
        <f>IF(TRIM('03. Dulieutaichinhlamsach_DD'!$G$2)="VND",'03. Dulieutaichinhlamsach_DD'!F105/10^6,'03. Dulieutaichinhlamsach_DD'!F105)</f>
        <v/>
      </c>
      <c r="E103" s="361">
        <f>IF($D$10&lt;&gt;0,D103/$D$10," ")</f>
        <v/>
      </c>
      <c r="F103" s="362">
        <f>IF(C103&lt;&gt;0,(D103-C103)/C103,"")</f>
        <v/>
      </c>
      <c r="G103" s="360">
        <f>IF(TRIM('03. Dulieutaichinhlamsach_DD'!$G$2)="VND",'03. Dulieutaichinhlamsach_DD'!G105/10^6,'03. Dulieutaichinhlamsach_DD'!G105)</f>
        <v/>
      </c>
      <c r="H103" s="363">
        <f>IF($G$10&lt;&gt;0,G103/$G$10," ")</f>
        <v/>
      </c>
      <c r="I103" s="364">
        <f>IF(TRIM('03. Dulieutaichinhlamsach_DD'!$G$2)="VND",'03. Dulieutaichinhlamsach_DD'!H105/10^6,'03. Dulieutaichinhlamsach_DD'!H105)</f>
        <v/>
      </c>
      <c r="J103" s="365" t="n"/>
    </row>
    <row r="104">
      <c r="A104" s="693" t="inlineStr">
        <is>
          <t>5. Thuế thu nhập hoãn lại phải trả</t>
        </is>
      </c>
      <c r="B104" s="360">
        <f>IF(TRIM('03. Dulieutaichinhlamsach_DD'!$G$2)="VND",'03. Dulieutaichinhlamsach_DD'!D106/10^6,'03. Dulieutaichinhlamsach_DD'!D106)</f>
        <v/>
      </c>
      <c r="C104" s="360">
        <f>IF(TRIM('03. Dulieutaichinhlamsach_DD'!$G$2)="VND",'03. Dulieutaichinhlamsach_DD'!E106/10^6,'03. Dulieutaichinhlamsach_DD'!E106)</f>
        <v/>
      </c>
      <c r="D104" s="360">
        <f>IF(TRIM('03. Dulieutaichinhlamsach_DD'!$G$2)="VND",'03. Dulieutaichinhlamsach_DD'!F106/10^6,'03. Dulieutaichinhlamsach_DD'!F106)</f>
        <v/>
      </c>
      <c r="E104" s="361">
        <f>IF($D$10&lt;&gt;0,D104/$D$10," ")</f>
        <v/>
      </c>
      <c r="F104" s="362">
        <f>IF(C104&lt;&gt;0,(D104-C104)/C104,"")</f>
        <v/>
      </c>
      <c r="G104" s="360">
        <f>IF(TRIM('03. Dulieutaichinhlamsach_DD'!$G$2)="VND",'03. Dulieutaichinhlamsach_DD'!G106/10^6,'03. Dulieutaichinhlamsach_DD'!G106)</f>
        <v/>
      </c>
      <c r="H104" s="363">
        <f>IF($G$10&lt;&gt;0,G104/$G$10," ")</f>
        <v/>
      </c>
      <c r="I104" s="364">
        <f>IF(TRIM('03. Dulieutaichinhlamsach_DD'!$G$2)="VND",'03. Dulieutaichinhlamsach_DD'!H106/10^6,'03. Dulieutaichinhlamsach_DD'!H106)</f>
        <v/>
      </c>
      <c r="J104" s="365" t="n"/>
    </row>
    <row r="105">
      <c r="A105" s="693" t="inlineStr">
        <is>
          <t>6. Dự phòng trợ cấp mất việc làm</t>
        </is>
      </c>
      <c r="B105" s="360">
        <f>IF(TRIM('03. Dulieutaichinhlamsach_DD'!$G$2)="VND",'03. Dulieutaichinhlamsach_DD'!D107/10^6,'03. Dulieutaichinhlamsach_DD'!D107)</f>
        <v/>
      </c>
      <c r="C105" s="360">
        <f>IF(TRIM('03. Dulieutaichinhlamsach_DD'!$G$2)="VND",'03. Dulieutaichinhlamsach_DD'!E107/10^6,'03. Dulieutaichinhlamsach_DD'!E107)</f>
        <v/>
      </c>
      <c r="D105" s="360">
        <f>IF(TRIM('03. Dulieutaichinhlamsach_DD'!$G$2)="VND",'03. Dulieutaichinhlamsach_DD'!F107/10^6,'03. Dulieutaichinhlamsach_DD'!F107)</f>
        <v/>
      </c>
      <c r="E105" s="361">
        <f>IF($D$10&lt;&gt;0,D105/$D$10," ")</f>
        <v/>
      </c>
      <c r="F105" s="362">
        <f>IF(C105&lt;&gt;0,(D105-C105)/C105,"")</f>
        <v/>
      </c>
      <c r="G105" s="360">
        <f>IF(TRIM('03. Dulieutaichinhlamsach_DD'!$G$2)="VND",'03. Dulieutaichinhlamsach_DD'!G107/10^6,'03. Dulieutaichinhlamsach_DD'!G107)</f>
        <v/>
      </c>
      <c r="H105" s="363">
        <f>IF($G$10&lt;&gt;0,G105/$G$10," ")</f>
        <v/>
      </c>
      <c r="I105" s="364">
        <f>IF(TRIM('03. Dulieutaichinhlamsach_DD'!$G$2)="VND",'03. Dulieutaichinhlamsach_DD'!H107/10^6,'03. Dulieutaichinhlamsach_DD'!H107)</f>
        <v/>
      </c>
      <c r="J105" s="365" t="n"/>
    </row>
    <row r="106">
      <c r="A106" s="693" t="inlineStr">
        <is>
          <t>7. Dự phòng phải trả người bán</t>
        </is>
      </c>
      <c r="B106" s="360">
        <f>IF(TRIM('03. Dulieutaichinhlamsach_DD'!$G$2)="VND",'03. Dulieutaichinhlamsach_DD'!D108/10^6,'03. Dulieutaichinhlamsach_DD'!D108)</f>
        <v/>
      </c>
      <c r="C106" s="360">
        <f>IF(TRIM('03. Dulieutaichinhlamsach_DD'!$G$2)="VND",'03. Dulieutaichinhlamsach_DD'!E108/10^6,'03. Dulieutaichinhlamsach_DD'!E108)</f>
        <v/>
      </c>
      <c r="D106" s="360">
        <f>IF(TRIM('03. Dulieutaichinhlamsach_DD'!$G$2)="VND",'03. Dulieutaichinhlamsach_DD'!F108/10^6,'03. Dulieutaichinhlamsach_DD'!F108)</f>
        <v/>
      </c>
      <c r="E106" s="361">
        <f>IF($D$10&lt;&gt;0,D106/$D$10," ")</f>
        <v/>
      </c>
      <c r="F106" s="362">
        <f>IF(C106&lt;&gt;0,(D106-C106)/C106,"")</f>
        <v/>
      </c>
      <c r="G106" s="360">
        <f>IF(TRIM('03. Dulieutaichinhlamsach_DD'!$G$2)="VND",'03. Dulieutaichinhlamsach_DD'!G108/10^6,'03. Dulieutaichinhlamsach_DD'!G108)</f>
        <v/>
      </c>
      <c r="H106" s="363">
        <f>IF($G$10&lt;&gt;0,G106/$G$10," ")</f>
        <v/>
      </c>
      <c r="I106" s="364">
        <f>IF(TRIM('03. Dulieutaichinhlamsach_DD'!$G$2)="VND",'03. Dulieutaichinhlamsach_DD'!H108/10^6,'03. Dulieutaichinhlamsach_DD'!H108)</f>
        <v/>
      </c>
      <c r="J106" s="365" t="n"/>
    </row>
    <row r="107">
      <c r="A107" s="693" t="inlineStr">
        <is>
          <t>8. Doanh thu chưa thực hiện</t>
        </is>
      </c>
      <c r="B107" s="360">
        <f>IF(TRIM('03. Dulieutaichinhlamsach_DD'!$G$2)="VND",'03. Dulieutaichinhlamsach_DD'!D109/10^6,'03. Dulieutaichinhlamsach_DD'!D109)</f>
        <v/>
      </c>
      <c r="C107" s="360">
        <f>IF(TRIM('03. Dulieutaichinhlamsach_DD'!$G$2)="VND",'03. Dulieutaichinhlamsach_DD'!E109/10^6,'03. Dulieutaichinhlamsach_DD'!E109)</f>
        <v/>
      </c>
      <c r="D107" s="360">
        <f>IF(TRIM('03. Dulieutaichinhlamsach_DD'!$G$2)="VND",'03. Dulieutaichinhlamsach_DD'!F109/10^6,'03. Dulieutaichinhlamsach_DD'!F109)</f>
        <v/>
      </c>
      <c r="E107" s="361">
        <f>IF($D$10&lt;&gt;0,D107/$D$10," ")</f>
        <v/>
      </c>
      <c r="F107" s="362">
        <f>IF(C107&lt;&gt;0,(D107-C107)/C107,"")</f>
        <v/>
      </c>
      <c r="G107" s="360">
        <f>IF(TRIM('03. Dulieutaichinhlamsach_DD'!$G$2)="VND",'03. Dulieutaichinhlamsach_DD'!G109/10^6,'03. Dulieutaichinhlamsach_DD'!G109)</f>
        <v/>
      </c>
      <c r="H107" s="363">
        <f>IF($G$10&lt;&gt;0,G107/$G$10," ")</f>
        <v/>
      </c>
      <c r="I107" s="364">
        <f>IF(TRIM('03. Dulieutaichinhlamsach_DD'!$G$2)="VND",'03. Dulieutaichinhlamsach_DD'!H109/10^6,'03. Dulieutaichinhlamsach_DD'!H109)</f>
        <v/>
      </c>
      <c r="J107" s="365" t="n"/>
    </row>
    <row r="108">
      <c r="A108" s="693" t="inlineStr">
        <is>
          <t>9. Quỹ phát triển khoa học công nghệ</t>
        </is>
      </c>
      <c r="B108" s="360">
        <f>IF(TRIM('03. Dulieutaichinhlamsach_DD'!$G$2)="VND",'03. Dulieutaichinhlamsach_DD'!D110/10^6,'03. Dulieutaichinhlamsach_DD'!D110)</f>
        <v/>
      </c>
      <c r="C108" s="360">
        <f>IF(TRIM('03. Dulieutaichinhlamsach_DD'!$G$2)="VND",'03. Dulieutaichinhlamsach_DD'!E110/10^6,'03. Dulieutaichinhlamsach_DD'!E110)</f>
        <v/>
      </c>
      <c r="D108" s="360">
        <f>IF(TRIM('03. Dulieutaichinhlamsach_DD'!$G$2)="VND",'03. Dulieutaichinhlamsach_DD'!F110/10^6,'03. Dulieutaichinhlamsach_DD'!F110)</f>
        <v/>
      </c>
      <c r="E108" s="361">
        <f>IF($D$10&lt;&gt;0,D108/$D$10," ")</f>
        <v/>
      </c>
      <c r="F108" s="362">
        <f>IF(C108&lt;&gt;0,(D108-C108)/C108,"")</f>
        <v/>
      </c>
      <c r="G108" s="360">
        <f>IF(TRIM('03. Dulieutaichinhlamsach_DD'!$G$2)="VND",'03. Dulieutaichinhlamsach_DD'!G110/10^6,'03. Dulieutaichinhlamsach_DD'!G110)</f>
        <v/>
      </c>
      <c r="H108" s="363">
        <f>IF($G$10&lt;&gt;0,G108/$G$10," ")</f>
        <v/>
      </c>
      <c r="I108" s="364">
        <f>IF(TRIM('03. Dulieutaichinhlamsach_DD'!$G$2)="VND",'03. Dulieutaichinhlamsach_DD'!H110/10^6,'03. Dulieutaichinhlamsach_DD'!H110)</f>
        <v/>
      </c>
      <c r="J108" s="365" t="n"/>
    </row>
    <row r="109">
      <c r="A109" s="693" t="inlineStr">
        <is>
          <t>10. Phải trả, phải nộp dài hạn khác</t>
        </is>
      </c>
      <c r="B109" s="360">
        <f>IF(TRIM('03. Dulieutaichinhlamsach_DD'!$G$2)="VND",'03. Dulieutaichinhlamsach_DD'!D111/10^6,'03. Dulieutaichinhlamsach_DD'!D111)</f>
        <v/>
      </c>
      <c r="C109" s="360">
        <f>IF(TRIM('03. Dulieutaichinhlamsach_DD'!$G$2)="VND",'03. Dulieutaichinhlamsach_DD'!E111/10^6,'03. Dulieutaichinhlamsach_DD'!E111)</f>
        <v/>
      </c>
      <c r="D109" s="360">
        <f>IF(TRIM('03. Dulieutaichinhlamsach_DD'!$G$2)="VND",'03. Dulieutaichinhlamsach_DD'!F111/10^6,'03. Dulieutaichinhlamsach_DD'!F111)</f>
        <v/>
      </c>
      <c r="E109" s="361">
        <f>IF($D$10&lt;&gt;0,D109/$D$10," ")</f>
        <v/>
      </c>
      <c r="F109" s="362">
        <f>IF(C109&lt;&gt;0,(D109-C109)/C109,"")</f>
        <v/>
      </c>
      <c r="G109" s="360">
        <f>IF(TRIM('03. Dulieutaichinhlamsach_DD'!$G$2)="VND",'03. Dulieutaichinhlamsach_DD'!G111/10^6,'03. Dulieutaichinhlamsach_DD'!G111)</f>
        <v/>
      </c>
      <c r="H109" s="363">
        <f>IF($G$10&lt;&gt;0,G109/$G$10," ")</f>
        <v/>
      </c>
      <c r="I109" s="364">
        <f>IF(TRIM('03. Dulieutaichinhlamsach_DD'!$G$2)="VND",'03. Dulieutaichinhlamsach_DD'!H111/10^6,'03. Dulieutaichinhlamsach_DD'!H111)</f>
        <v/>
      </c>
      <c r="J109" s="365" t="n"/>
    </row>
    <row r="110">
      <c r="A110" s="694" t="inlineStr">
        <is>
          <t>B. VỐN CHỦ SỞ HỮU</t>
        </is>
      </c>
      <c r="B110" s="341">
        <f>B111+B124</f>
        <v/>
      </c>
      <c r="C110" s="341">
        <f>C111+C124</f>
        <v/>
      </c>
      <c r="D110" s="341">
        <f>D111+D124</f>
        <v/>
      </c>
      <c r="E110" s="327">
        <f>IF($D$81&lt;&gt;0,D110/$D$81,"")</f>
        <v/>
      </c>
      <c r="F110" s="343">
        <f>IF(C110&lt;&gt;0,(D110-C110)/C110,"")</f>
        <v/>
      </c>
      <c r="G110" s="341">
        <f>G111+G124</f>
        <v/>
      </c>
      <c r="H110" s="329">
        <f>IF($G$81&lt;&gt;0,G110/$G$81,"")</f>
        <v/>
      </c>
      <c r="I110" s="364">
        <f>IF(TRIM('03. Dulieutaichinhlamsach_DD'!$G$2)="VND",'03. Dulieutaichinhlamsach_DD'!H112/10^6,'03. Dulieutaichinhlamsach_DD'!H112)</f>
        <v/>
      </c>
      <c r="J110" s="365" t="n"/>
    </row>
    <row r="111">
      <c r="A111" s="92" t="inlineStr">
        <is>
          <t>I. Vốn chủ sở hữu</t>
        </is>
      </c>
      <c r="B111" s="702">
        <f>SUM(B112:B123)</f>
        <v/>
      </c>
      <c r="C111" s="702">
        <f>SUM(C112:C123)</f>
        <v/>
      </c>
      <c r="D111" s="702">
        <f>SUM(D112:D123)</f>
        <v/>
      </c>
      <c r="E111" s="361">
        <f>IF($D$110&lt;&gt;0,D111/$D$110," ")</f>
        <v/>
      </c>
      <c r="F111" s="334">
        <f>IF(C111&lt;&gt;0,(D111-C111)/C111,"")</f>
        <v/>
      </c>
      <c r="G111" s="702">
        <f>SUM(G112:G123)</f>
        <v/>
      </c>
      <c r="H111" s="363">
        <f>IF($G$110&lt;&gt;0,G111/$G$110," ")</f>
        <v/>
      </c>
      <c r="I111" s="364">
        <f>IF(TRIM('03. Dulieutaichinhlamsach_DD'!$G$2)="VND",'03. Dulieutaichinhlamsach_DD'!H113/10^6,'03. Dulieutaichinhlamsach_DD'!H113)</f>
        <v/>
      </c>
      <c r="J111" s="365" t="n"/>
    </row>
    <row r="112">
      <c r="A112" s="693" t="inlineStr">
        <is>
          <t>1. Vốn đầu tư của chủ sở hữu</t>
        </is>
      </c>
      <c r="B112" s="360">
        <f>IF(TRIM('03. Dulieutaichinhlamsach_DD'!$G$2)="VND",'03. Dulieutaichinhlamsach_DD'!D114/10^6,'03. Dulieutaichinhlamsach_DD'!D114)</f>
        <v/>
      </c>
      <c r="C112" s="360">
        <f>IF(TRIM('03. Dulieutaichinhlamsach_DD'!$G$2)="VND",'03. Dulieutaichinhlamsach_DD'!E114/10^6,'03. Dulieutaichinhlamsach_DD'!E114)</f>
        <v/>
      </c>
      <c r="D112" s="360">
        <f>IF(TRIM('03. Dulieutaichinhlamsach_DD'!$G$2)="VND",'03. Dulieutaichinhlamsach_DD'!F114/10^6,'03. Dulieutaichinhlamsach_DD'!F114)</f>
        <v/>
      </c>
      <c r="E112" s="361">
        <f>IF($D$10&lt;&gt;0,D112/$D$10," ")</f>
        <v/>
      </c>
      <c r="F112" s="362">
        <f>IF(C112&lt;&gt;0,(D112-C112)/C112,"")</f>
        <v/>
      </c>
      <c r="G112" s="360">
        <f>IF(TRIM('03. Dulieutaichinhlamsach_DD'!$G$2)="VND",'03. Dulieutaichinhlamsach_DD'!G114/10^6,'03. Dulieutaichinhlamsach_DD'!G114)</f>
        <v/>
      </c>
      <c r="H112" s="363">
        <f>IF($G$10&lt;&gt;0,G112/$G$10," ")</f>
        <v/>
      </c>
      <c r="I112" s="364">
        <f>IF(TRIM('03. Dulieutaichinhlamsach_DD'!$G$2)="VND",'03. Dulieutaichinhlamsach_DD'!H114/10^6,'03. Dulieutaichinhlamsach_DD'!H114)</f>
        <v/>
      </c>
      <c r="J112" s="893" t="n"/>
    </row>
    <row r="113">
      <c r="A113" s="693" t="inlineStr">
        <is>
          <t>2. Thặng dư vốn cổ phần</t>
        </is>
      </c>
      <c r="B113" s="360">
        <f>IF(TRIM('03. Dulieutaichinhlamsach_DD'!$G$2)="VND",'03. Dulieutaichinhlamsach_DD'!D115/10^6,'03. Dulieutaichinhlamsach_DD'!D115)</f>
        <v/>
      </c>
      <c r="C113" s="360">
        <f>IF(TRIM('03. Dulieutaichinhlamsach_DD'!$G$2)="VND",'03. Dulieutaichinhlamsach_DD'!E115/10^6,'03. Dulieutaichinhlamsach_DD'!E115)</f>
        <v/>
      </c>
      <c r="D113" s="360">
        <f>IF(TRIM('03. Dulieutaichinhlamsach_DD'!$G$2)="VND",'03. Dulieutaichinhlamsach_DD'!F115/10^6,'03. Dulieutaichinhlamsach_DD'!F115)</f>
        <v/>
      </c>
      <c r="E113" s="361">
        <f>IF($D$10&lt;&gt;0,D113/$D$10," ")</f>
        <v/>
      </c>
      <c r="F113" s="362">
        <f>IF(C113&lt;&gt;0,(D113-C113)/C113,"")</f>
        <v/>
      </c>
      <c r="G113" s="360">
        <f>IF(TRIM('03. Dulieutaichinhlamsach_DD'!$G$2)="VND",'03. Dulieutaichinhlamsach_DD'!G115/10^6,'03. Dulieutaichinhlamsach_DD'!G115)</f>
        <v/>
      </c>
      <c r="H113" s="363">
        <f>IF($G$10&lt;&gt;0,G113/$G$10," ")</f>
        <v/>
      </c>
      <c r="I113" s="364">
        <f>IF(TRIM('03. Dulieutaichinhlamsach_DD'!$G$2)="VND",'03. Dulieutaichinhlamsach_DD'!H115/10^6,'03. Dulieutaichinhlamsach_DD'!H115)</f>
        <v/>
      </c>
      <c r="J113" s="894" t="n"/>
    </row>
    <row r="114">
      <c r="A114" s="700" t="inlineStr">
        <is>
          <t>3. Vốn khác của chủ sở hữu</t>
        </is>
      </c>
      <c r="B114" s="360">
        <f>IF(TRIM('03. Dulieutaichinhlamsach_DD'!$G$2)="VND",'03. Dulieutaichinhlamsach_DD'!D116/10^6,'03. Dulieutaichinhlamsach_DD'!D116)</f>
        <v/>
      </c>
      <c r="C114" s="360">
        <f>IF(TRIM('03. Dulieutaichinhlamsach_DD'!$G$2)="VND",'03. Dulieutaichinhlamsach_DD'!E116/10^6,'03. Dulieutaichinhlamsach_DD'!E116)</f>
        <v/>
      </c>
      <c r="D114" s="360">
        <f>IF(TRIM('03. Dulieutaichinhlamsach_DD'!$G$2)="VND",'03. Dulieutaichinhlamsach_DD'!F116/10^6,'03. Dulieutaichinhlamsach_DD'!F116)</f>
        <v/>
      </c>
      <c r="E114" s="361">
        <f>IF($D$10&lt;&gt;0,D114/$D$10," ")</f>
        <v/>
      </c>
      <c r="F114" s="362">
        <f>IF(C114&lt;&gt;0,(D114-C114)/C114,"")</f>
        <v/>
      </c>
      <c r="G114" s="360">
        <f>IF(TRIM('03. Dulieutaichinhlamsach_DD'!$G$2)="VND",'03. Dulieutaichinhlamsach_DD'!G116/10^6,'03. Dulieutaichinhlamsach_DD'!G116)</f>
        <v/>
      </c>
      <c r="H114" s="363">
        <f>IF($G$10&lt;&gt;0,G114/$G$10," ")</f>
        <v/>
      </c>
      <c r="I114" s="364">
        <f>IF(TRIM('03. Dulieutaichinhlamsach_DD'!$G$2)="VND",'03. Dulieutaichinhlamsach_DD'!H116/10^6,'03. Dulieutaichinhlamsach_DD'!H116)</f>
        <v/>
      </c>
      <c r="J114" s="365" t="n"/>
    </row>
    <row r="115">
      <c r="A115" s="693" t="inlineStr">
        <is>
          <t>4. Cổ phiếu quỹ</t>
        </is>
      </c>
      <c r="B115" s="360">
        <f>IF(TRIM('03. Dulieutaichinhlamsach_DD'!$G$2)="VND",'03. Dulieutaichinhlamsach_DD'!D117/10^6,'03. Dulieutaichinhlamsach_DD'!D117)</f>
        <v/>
      </c>
      <c r="C115" s="360">
        <f>IF(TRIM('03. Dulieutaichinhlamsach_DD'!$G$2)="VND",'03. Dulieutaichinhlamsach_DD'!E117/10^6,'03. Dulieutaichinhlamsach_DD'!E117)</f>
        <v/>
      </c>
      <c r="D115" s="360">
        <f>IF(TRIM('03. Dulieutaichinhlamsach_DD'!$G$2)="VND",'03. Dulieutaichinhlamsach_DD'!F117/10^6,'03. Dulieutaichinhlamsach_DD'!F117)</f>
        <v/>
      </c>
      <c r="E115" s="361">
        <f>IF($D$10&lt;&gt;0,D115/$D$10," ")</f>
        <v/>
      </c>
      <c r="F115" s="362">
        <f>IF(C115&lt;&gt;0,(D115-C115)/C115,"")</f>
        <v/>
      </c>
      <c r="G115" s="360">
        <f>IF(TRIM('03. Dulieutaichinhlamsach_DD'!$G$2)="VND",'03. Dulieutaichinhlamsach_DD'!G117/10^6,'03. Dulieutaichinhlamsach_DD'!G117)</f>
        <v/>
      </c>
      <c r="H115" s="363">
        <f>IF($G$10&lt;&gt;0,G115/$G$10," ")</f>
        <v/>
      </c>
      <c r="I115" s="364">
        <f>IF(TRIM('03. Dulieutaichinhlamsach_DD'!$G$2)="VND",'03. Dulieutaichinhlamsach_DD'!H117/10^6,'03. Dulieutaichinhlamsach_DD'!H117)</f>
        <v/>
      </c>
      <c r="J115" s="365" t="n"/>
    </row>
    <row r="116">
      <c r="A116" s="693" t="inlineStr">
        <is>
          <t>5. Chênh lệch đánh giá lại tài sản</t>
        </is>
      </c>
      <c r="B116" s="360">
        <f>IF(TRIM('03. Dulieutaichinhlamsach_DD'!$G$2)="VND",'03. Dulieutaichinhlamsach_DD'!D118/10^6,'03. Dulieutaichinhlamsach_DD'!D118)</f>
        <v/>
      </c>
      <c r="C116" s="360">
        <f>IF(TRIM('03. Dulieutaichinhlamsach_DD'!$G$2)="VND",'03. Dulieutaichinhlamsach_DD'!E118/10^6,'03. Dulieutaichinhlamsach_DD'!E118)</f>
        <v/>
      </c>
      <c r="D116" s="360">
        <f>IF(TRIM('03. Dulieutaichinhlamsach_DD'!$G$2)="VND",'03. Dulieutaichinhlamsach_DD'!F118/10^6,'03. Dulieutaichinhlamsach_DD'!F118)</f>
        <v/>
      </c>
      <c r="E116" s="361">
        <f>IF($D$10&lt;&gt;0,D116/$D$10," ")</f>
        <v/>
      </c>
      <c r="F116" s="362">
        <f>IF(C116&lt;&gt;0,(D116-C116)/C116,"")</f>
        <v/>
      </c>
      <c r="G116" s="360">
        <f>IF(TRIM('03. Dulieutaichinhlamsach_DD'!$G$2)="VND",'03. Dulieutaichinhlamsach_DD'!G118/10^6,'03. Dulieutaichinhlamsach_DD'!G118)</f>
        <v/>
      </c>
      <c r="H116" s="363">
        <f>IF($G$10&lt;&gt;0,G116/$G$10," ")</f>
        <v/>
      </c>
      <c r="I116" s="364">
        <f>IF(TRIM('03. Dulieutaichinhlamsach_DD'!$G$2)="VND",'03. Dulieutaichinhlamsach_DD'!H118/10^6,'03. Dulieutaichinhlamsach_DD'!H118)</f>
        <v/>
      </c>
      <c r="J116" s="365" t="n"/>
    </row>
    <row r="117">
      <c r="A117" s="693" t="inlineStr">
        <is>
          <t>6. Chênh lệch tỷ giá hối đoái</t>
        </is>
      </c>
      <c r="B117" s="360">
        <f>IF(TRIM('03. Dulieutaichinhlamsach_DD'!$G$2)="VND",'03. Dulieutaichinhlamsach_DD'!D119/10^6,'03. Dulieutaichinhlamsach_DD'!D119)</f>
        <v/>
      </c>
      <c r="C117" s="360">
        <f>IF(TRIM('03. Dulieutaichinhlamsach_DD'!$G$2)="VND",'03. Dulieutaichinhlamsach_DD'!E119/10^6,'03. Dulieutaichinhlamsach_DD'!E119)</f>
        <v/>
      </c>
      <c r="D117" s="360">
        <f>IF(TRIM('03. Dulieutaichinhlamsach_DD'!$G$2)="VND",'03. Dulieutaichinhlamsach_DD'!F119/10^6,'03. Dulieutaichinhlamsach_DD'!F119)</f>
        <v/>
      </c>
      <c r="E117" s="361">
        <f>IF($D$10&lt;&gt;0,D117/$D$10," ")</f>
        <v/>
      </c>
      <c r="F117" s="362">
        <f>IF(C117&lt;&gt;0,(D117-C117)/C117,"")</f>
        <v/>
      </c>
      <c r="G117" s="360">
        <f>IF(TRIM('03. Dulieutaichinhlamsach_DD'!$G$2)="VND",'03. Dulieutaichinhlamsach_DD'!G119/10^6,'03. Dulieutaichinhlamsach_DD'!G119)</f>
        <v/>
      </c>
      <c r="H117" s="363">
        <f>IF($G$10&lt;&gt;0,G117/$G$10," ")</f>
        <v/>
      </c>
      <c r="I117" s="364">
        <f>IF(TRIM('03. Dulieutaichinhlamsach_DD'!$G$2)="VND",'03. Dulieutaichinhlamsach_DD'!H119/10^6,'03. Dulieutaichinhlamsach_DD'!H119)</f>
        <v/>
      </c>
      <c r="J117" s="365" t="n"/>
    </row>
    <row r="118">
      <c r="A118" s="703" t="inlineStr">
        <is>
          <t>7. Quỹ đầu tư phát triển</t>
        </is>
      </c>
      <c r="B118" s="360">
        <f>IF(TRIM('03. Dulieutaichinhlamsach_DD'!$G$2)="VND",'03. Dulieutaichinhlamsach_DD'!D120/10^6,'03. Dulieutaichinhlamsach_DD'!D120)</f>
        <v/>
      </c>
      <c r="C118" s="360">
        <f>IF(TRIM('03. Dulieutaichinhlamsach_DD'!$G$2)="VND",'03. Dulieutaichinhlamsach_DD'!E120/10^6,'03. Dulieutaichinhlamsach_DD'!E120)</f>
        <v/>
      </c>
      <c r="D118" s="360">
        <f>IF(TRIM('03. Dulieutaichinhlamsach_DD'!$G$2)="VND",'03. Dulieutaichinhlamsach_DD'!F120/10^6,'03. Dulieutaichinhlamsach_DD'!F120)</f>
        <v/>
      </c>
      <c r="E118" s="361">
        <f>IF($D$10&lt;&gt;0,D118/$D$10," ")</f>
        <v/>
      </c>
      <c r="F118" s="362">
        <f>IF(C118&lt;&gt;0,(D118-C118)/C118,"")</f>
        <v/>
      </c>
      <c r="G118" s="360">
        <f>IF(TRIM('03. Dulieutaichinhlamsach_DD'!$G$2)="VND",'03. Dulieutaichinhlamsach_DD'!G120/10^6,'03. Dulieutaichinhlamsach_DD'!G120)</f>
        <v/>
      </c>
      <c r="H118" s="363">
        <f>IF($G$10&lt;&gt;0,G118/$G$10," ")</f>
        <v/>
      </c>
      <c r="I118" s="364">
        <f>IF(TRIM('03. Dulieutaichinhlamsach_DD'!$G$2)="VND",'03. Dulieutaichinhlamsach_DD'!H120/10^6,'03. Dulieutaichinhlamsach_DD'!H120)</f>
        <v/>
      </c>
      <c r="J118" s="365" t="n"/>
    </row>
    <row r="119">
      <c r="A119" s="703" t="inlineStr">
        <is>
          <t>8. Quỹ dự phòng tài chính</t>
        </is>
      </c>
      <c r="B119" s="360">
        <f>IF(TRIM('03. Dulieutaichinhlamsach_DD'!$G$2)="VND",'03. Dulieutaichinhlamsach_DD'!D121/10^6,'03. Dulieutaichinhlamsach_DD'!D121)</f>
        <v/>
      </c>
      <c r="C119" s="360">
        <f>IF(TRIM('03. Dulieutaichinhlamsach_DD'!$G$2)="VND",'03. Dulieutaichinhlamsach_DD'!E121/10^6,'03. Dulieutaichinhlamsach_DD'!E121)</f>
        <v/>
      </c>
      <c r="D119" s="360">
        <f>IF(TRIM('03. Dulieutaichinhlamsach_DD'!$G$2)="VND",'03. Dulieutaichinhlamsach_DD'!F121/10^6,'03. Dulieutaichinhlamsach_DD'!F121)</f>
        <v/>
      </c>
      <c r="E119" s="361">
        <f>IF($D$10&lt;&gt;0,D119/$D$10," ")</f>
        <v/>
      </c>
      <c r="F119" s="362">
        <f>IF(C119&lt;&gt;0,(D119-C119)/C119,"")</f>
        <v/>
      </c>
      <c r="G119" s="360">
        <f>IF(TRIM('03. Dulieutaichinhlamsach_DD'!$G$2)="VND",'03. Dulieutaichinhlamsach_DD'!G121/10^6,'03. Dulieutaichinhlamsach_DD'!G121)</f>
        <v/>
      </c>
      <c r="H119" s="363">
        <f>IF($G$10&lt;&gt;0,G119/$G$10," ")</f>
        <v/>
      </c>
      <c r="I119" s="364">
        <f>IF(TRIM('03. Dulieutaichinhlamsach_DD'!$G$2)="VND",'03. Dulieutaichinhlamsach_DD'!H121/10^6,'03. Dulieutaichinhlamsach_DD'!H121)</f>
        <v/>
      </c>
      <c r="J119" s="365" t="n"/>
    </row>
    <row r="120">
      <c r="A120" s="703" t="inlineStr">
        <is>
          <t>9. Quỹ khác thuộc vốn chủ sở hữu</t>
        </is>
      </c>
      <c r="B120" s="360">
        <f>IF(TRIM('03. Dulieutaichinhlamsach_DD'!$G$2)="VND",'03. Dulieutaichinhlamsach_DD'!D122/10^6,'03. Dulieutaichinhlamsach_DD'!D122)</f>
        <v/>
      </c>
      <c r="C120" s="360">
        <f>IF(TRIM('03. Dulieutaichinhlamsach_DD'!$G$2)="VND",'03. Dulieutaichinhlamsach_DD'!E122/10^6,'03. Dulieutaichinhlamsach_DD'!E122)</f>
        <v/>
      </c>
      <c r="D120" s="360">
        <f>IF(TRIM('03. Dulieutaichinhlamsach_DD'!$G$2)="VND",'03. Dulieutaichinhlamsach_DD'!F122/10^6,'03. Dulieutaichinhlamsach_DD'!F122)</f>
        <v/>
      </c>
      <c r="E120" s="361">
        <f>IF($D$10&lt;&gt;0,D120/$D$10," ")</f>
        <v/>
      </c>
      <c r="F120" s="362">
        <f>IF(C120&lt;&gt;0,(D120-C120)/C120,"")</f>
        <v/>
      </c>
      <c r="G120" s="360">
        <f>IF(TRIM('03. Dulieutaichinhlamsach_DD'!$G$2)="VND",'03. Dulieutaichinhlamsach_DD'!G122/10^6,'03. Dulieutaichinhlamsach_DD'!G122)</f>
        <v/>
      </c>
      <c r="H120" s="363">
        <f>IF($G$10&lt;&gt;0,G120/$G$10," ")</f>
        <v/>
      </c>
      <c r="I120" s="364">
        <f>IF(TRIM('03. Dulieutaichinhlamsach_DD'!$G$2)="VND",'03. Dulieutaichinhlamsach_DD'!H122/10^6,'03. Dulieutaichinhlamsach_DD'!H122)</f>
        <v/>
      </c>
      <c r="J120" s="365" t="n"/>
    </row>
    <row r="121">
      <c r="A121" s="703" t="inlineStr">
        <is>
          <t>10. Lợi nhuận sau thuế chưa phân phối</t>
        </is>
      </c>
      <c r="B121" s="360">
        <f>IF(TRIM('03. Dulieutaichinhlamsach_DD'!$G$2)="VND",'03. Dulieutaichinhlamsach_DD'!D123/10^6,'03. Dulieutaichinhlamsach_DD'!D123)</f>
        <v/>
      </c>
      <c r="C121" s="360">
        <f>IF(TRIM('03. Dulieutaichinhlamsach_DD'!$G$2)="VND",'03. Dulieutaichinhlamsach_DD'!E123/10^6,'03. Dulieutaichinhlamsach_DD'!E123)</f>
        <v/>
      </c>
      <c r="D121" s="360">
        <f>IF(TRIM('03. Dulieutaichinhlamsach_DD'!$G$2)="VND",'03. Dulieutaichinhlamsach_DD'!F123/10^6,'03. Dulieutaichinhlamsach_DD'!F123)</f>
        <v/>
      </c>
      <c r="E121" s="361">
        <f>IF($D$10&lt;&gt;0,D121/$D$10," ")</f>
        <v/>
      </c>
      <c r="F121" s="362">
        <f>IF(C121&lt;&gt;0,(D121-C121)/C121,"")</f>
        <v/>
      </c>
      <c r="G121" s="360">
        <f>IF(TRIM('03. Dulieutaichinhlamsach_DD'!$G$2)="VND",'03. Dulieutaichinhlamsach_DD'!G123/10^6,'03. Dulieutaichinhlamsach_DD'!G123)</f>
        <v/>
      </c>
      <c r="H121" s="363">
        <f>IF($G$10&lt;&gt;0,G121/$G$10," ")</f>
        <v/>
      </c>
      <c r="I121" s="364">
        <f>IF(TRIM('03. Dulieutaichinhlamsach_DD'!$G$2)="VND",'03. Dulieutaichinhlamsach_DD'!H123/10^6,'03. Dulieutaichinhlamsach_DD'!H123)</f>
        <v/>
      </c>
      <c r="J121" s="365" t="n"/>
    </row>
    <row r="122">
      <c r="A122" s="703" t="inlineStr">
        <is>
          <t>11. Nguồn vốn đầu tư XDCB</t>
        </is>
      </c>
      <c r="B122" s="360">
        <f>IF(TRIM('03. Dulieutaichinhlamsach_DD'!$G$2)="VND",'03. Dulieutaichinhlamsach_DD'!D124/10^6,'03. Dulieutaichinhlamsach_DD'!D124)</f>
        <v/>
      </c>
      <c r="C122" s="360">
        <f>IF(TRIM('03. Dulieutaichinhlamsach_DD'!$G$2)="VND",'03. Dulieutaichinhlamsach_DD'!E124/10^6,'03. Dulieutaichinhlamsach_DD'!E124)</f>
        <v/>
      </c>
      <c r="D122" s="360">
        <f>IF(TRIM('03. Dulieutaichinhlamsach_DD'!$G$2)="VND",'03. Dulieutaichinhlamsach_DD'!F124/10^6,'03. Dulieutaichinhlamsach_DD'!F124)</f>
        <v/>
      </c>
      <c r="E122" s="361">
        <f>IF($D$10&lt;&gt;0,D122/$D$10," ")</f>
        <v/>
      </c>
      <c r="F122" s="362">
        <f>IF(C122&lt;&gt;0,(D122-C122)/C122,"")</f>
        <v/>
      </c>
      <c r="G122" s="360">
        <f>IF(TRIM('03. Dulieutaichinhlamsach_DD'!$G$2)="VND",'03. Dulieutaichinhlamsach_DD'!G124/10^6,'03. Dulieutaichinhlamsach_DD'!G124)</f>
        <v/>
      </c>
      <c r="H122" s="363">
        <f>IF($G$10&lt;&gt;0,G122/$G$10," ")</f>
        <v/>
      </c>
      <c r="I122" s="364">
        <f>IF(TRIM('03. Dulieutaichinhlamsach_DD'!$G$2)="VND",'03. Dulieutaichinhlamsach_DD'!H124/10^6,'03. Dulieutaichinhlamsach_DD'!H124)</f>
        <v/>
      </c>
      <c r="J122" s="365" t="n"/>
    </row>
    <row r="123">
      <c r="A123" s="703" t="inlineStr">
        <is>
          <t>12. Quỹ hỗ trợ sắp xếp doanh nghiệp</t>
        </is>
      </c>
      <c r="B123" s="360">
        <f>IF(TRIM('03. Dulieutaichinhlamsach_DD'!$G$2)="VND",'03. Dulieutaichinhlamsach_DD'!D125/10^6,'03. Dulieutaichinhlamsach_DD'!D125)</f>
        <v/>
      </c>
      <c r="C123" s="360">
        <f>IF(TRIM('03. Dulieutaichinhlamsach_DD'!$G$2)="VND",'03. Dulieutaichinhlamsach_DD'!E125/10^6,'03. Dulieutaichinhlamsach_DD'!E125)</f>
        <v/>
      </c>
      <c r="D123" s="360">
        <f>IF(TRIM('03. Dulieutaichinhlamsach_DD'!$G$2)="VND",'03. Dulieutaichinhlamsach_DD'!F125/10^6,'03. Dulieutaichinhlamsach_DD'!F125)</f>
        <v/>
      </c>
      <c r="E123" s="361">
        <f>IF($D$10&lt;&gt;0,D123/$D$10," ")</f>
        <v/>
      </c>
      <c r="F123" s="362">
        <f>IF(C123&lt;&gt;0,(D123-C123)/C123,"")</f>
        <v/>
      </c>
      <c r="G123" s="360">
        <f>IF(TRIM('03. Dulieutaichinhlamsach_DD'!$G$2)="VND",'03. Dulieutaichinhlamsach_DD'!G125/10^6,'03. Dulieutaichinhlamsach_DD'!G125)</f>
        <v/>
      </c>
      <c r="H123" s="363">
        <f>IF($G$10&lt;&gt;0,G123/$G$10," ")</f>
        <v/>
      </c>
      <c r="I123" s="364">
        <f>IF(TRIM('03. Dulieutaichinhlamsach_DD'!$G$2)="VND",'03. Dulieutaichinhlamsach_DD'!H125/10^6,'03. Dulieutaichinhlamsach_DD'!H125)</f>
        <v/>
      </c>
      <c r="J123" s="365" t="n"/>
    </row>
    <row r="124">
      <c r="A124" s="704" t="inlineStr">
        <is>
          <t xml:space="preserve">II. Nguồn kinh phí </t>
        </is>
      </c>
      <c r="B124" s="332">
        <f>SUM(B125:B126)</f>
        <v/>
      </c>
      <c r="C124" s="332">
        <f>SUM(C125:C126)</f>
        <v/>
      </c>
      <c r="D124" s="332">
        <f>SUM(D125:D126)</f>
        <v/>
      </c>
      <c r="E124" s="361">
        <f>IF($D$110&lt;&gt;0,D124/$D$110," ")</f>
        <v/>
      </c>
      <c r="F124" s="334">
        <f>IF(C124&lt;&gt;0,(D124-C124)/C124,"")</f>
        <v/>
      </c>
      <c r="G124" s="332">
        <f>SUM(G125:G126)</f>
        <v/>
      </c>
      <c r="H124" s="363">
        <f>IF($G$110&lt;&gt;0,G124/$G$110," ")</f>
        <v/>
      </c>
      <c r="I124" s="364">
        <f>IF(TRIM('03. Dulieutaichinhlamsach_DD'!$G$2)="VND",'03. Dulieutaichinhlamsach_DD'!H126/10^6,'03. Dulieutaichinhlamsach_DD'!H126)</f>
        <v/>
      </c>
      <c r="J124" s="340" t="n"/>
    </row>
    <row r="125">
      <c r="A125" s="703" t="inlineStr">
        <is>
          <t>1. Nguồn kinh phí</t>
        </is>
      </c>
      <c r="B125" s="360">
        <f>IF(TRIM('03. Dulieutaichinhlamsach_DD'!$G$2)="VND",'03. Dulieutaichinhlamsach_DD'!D127/10^6,'03. Dulieutaichinhlamsach_DD'!D127)</f>
        <v/>
      </c>
      <c r="C125" s="360">
        <f>IF(TRIM('03. Dulieutaichinhlamsach_DD'!$G$2)="VND",'03. Dulieutaichinhlamsach_DD'!E127/10^6,'03. Dulieutaichinhlamsach_DD'!E127)</f>
        <v/>
      </c>
      <c r="D125" s="360">
        <f>IF(TRIM('03. Dulieutaichinhlamsach_DD'!$G$2)="VND",'03. Dulieutaichinhlamsach_DD'!F127/10^6,'03. Dulieutaichinhlamsach_DD'!F127)</f>
        <v/>
      </c>
      <c r="E125" s="361">
        <f>IF($D$10&lt;&gt;0,D125/$D$10," ")</f>
        <v/>
      </c>
      <c r="F125" s="362">
        <f>IF(C125&lt;&gt;0,(D125-C125)/C125,"")</f>
        <v/>
      </c>
      <c r="G125" s="360">
        <f>IF(TRIM('03. Dulieutaichinhlamsach_DD'!$G$2)="VND",'03. Dulieutaichinhlamsach_DD'!G127/10^6,'03. Dulieutaichinhlamsach_DD'!G127)</f>
        <v/>
      </c>
      <c r="H125" s="363">
        <f>IF($G$10&lt;&gt;0,G125/$G$10," ")</f>
        <v/>
      </c>
      <c r="I125" s="364">
        <f>IF(TRIM('03. Dulieutaichinhlamsach_DD'!$G$2)="VND",'03. Dulieutaichinhlamsach_DD'!H127/10^6,'03. Dulieutaichinhlamsach_DD'!H127)</f>
        <v/>
      </c>
      <c r="J125" s="365" t="n"/>
    </row>
    <row r="126" ht="15.75" customHeight="1" s="782" thickBot="1">
      <c r="A126" s="705" t="inlineStr">
        <is>
          <t>2. Nguồn kinh phí đã hình thành TSCĐ</t>
        </is>
      </c>
      <c r="B126" s="360">
        <f>IF(TRIM('03. Dulieutaichinhlamsach_DD'!$G$2)="VND",'03. Dulieutaichinhlamsach_DD'!D128/10^6,'03. Dulieutaichinhlamsach_DD'!D128)</f>
        <v/>
      </c>
      <c r="C126" s="360">
        <f>IF(TRIM('03. Dulieutaichinhlamsach_DD'!$G$2)="VND",'03. Dulieutaichinhlamsach_DD'!E128/10^6,'03. Dulieutaichinhlamsach_DD'!E128)</f>
        <v/>
      </c>
      <c r="D126" s="360">
        <f>IF(TRIM('03. Dulieutaichinhlamsach_DD'!$G$2)="VND",'03. Dulieutaichinhlamsach_DD'!F128/10^6,'03. Dulieutaichinhlamsach_DD'!F128)</f>
        <v/>
      </c>
      <c r="E126" s="361">
        <f>IF($D$10&lt;&gt;0,D126/$D$10," ")</f>
        <v/>
      </c>
      <c r="F126" s="362">
        <f>IF(C126&lt;&gt;0,(D126-C126)/C126,"")</f>
        <v/>
      </c>
      <c r="G126" s="360">
        <f>IF(TRIM('03. Dulieutaichinhlamsach_DD'!$G$2)="VND",'03. Dulieutaichinhlamsach_DD'!G128/10^6,'03. Dulieutaichinhlamsach_DD'!G128)</f>
        <v/>
      </c>
      <c r="H126" s="363">
        <f>IF($G$10&lt;&gt;0,G126/$G$10," ")</f>
        <v/>
      </c>
      <c r="I126" s="364">
        <f>IF(TRIM('03. Dulieutaichinhlamsach_DD'!$G$2)="VND",'03. Dulieutaichinhlamsach_DD'!H128/10^6,'03. Dulieutaichinhlamsach_DD'!H128)</f>
        <v/>
      </c>
      <c r="J126" s="365" t="n"/>
    </row>
    <row r="127" ht="15.75" customHeight="1" s="782" thickTop="1">
      <c r="A127" s="93" t="inlineStr">
        <is>
          <t>Phần III: KẾT QUẢ KINH DOANH</t>
        </is>
      </c>
      <c r="B127" s="349">
        <f>$B$7</f>
        <v/>
      </c>
      <c r="C127" s="349">
        <f>$C$7</f>
        <v/>
      </c>
      <c r="D127" s="895">
        <f>$D$7</f>
        <v/>
      </c>
      <c r="E127" s="892" t="n"/>
      <c r="F127" s="855">
        <f>"T/G "&amp;D127</f>
        <v/>
      </c>
      <c r="G127" s="856">
        <f>G7</f>
        <v/>
      </c>
      <c r="H127" s="891" t="n"/>
      <c r="I127" s="351">
        <f>I7</f>
        <v/>
      </c>
      <c r="J127" s="365" t="n"/>
    </row>
    <row r="128">
      <c r="A128" s="92" t="inlineStr">
        <is>
          <t>Doanh thu bán hàng và cung cấp dịch vụ</t>
        </is>
      </c>
      <c r="B128" s="360">
        <f>IF(TRIM('03. Dulieutaichinhlamsach_DD'!$G$2)="VND",'03. Dulieutaichinhlamsach_DD'!D143/10^6,'03. Dulieutaichinhlamsach_DD'!D143)</f>
        <v/>
      </c>
      <c r="C128" s="360">
        <f>IF('03. Dulieutaichinhlamsach_DD'!E143="","",IF(TRIM('03. Dulieutaichinhlamsach_DD'!$G$2)="VND",'03. Dulieutaichinhlamsach_DD'!E143/10^6,'03. Dulieutaichinhlamsach_DD'!E143))</f>
        <v/>
      </c>
      <c r="D128" s="360">
        <f>IF(TRIM('03. Dulieutaichinhlamsach_DD'!$G$2)="VND",'03. Dulieutaichinhlamsach_DD'!F143/10^6,'03. Dulieutaichinhlamsach_DD'!F143)</f>
        <v/>
      </c>
      <c r="E128" s="352" t="n"/>
      <c r="F128" s="362">
        <f>IF(C128="","",IF(C128&lt;&gt;0,(D128-C128)/C128,""))</f>
        <v/>
      </c>
      <c r="G128" s="360">
        <f>IF(TRIM('03. Dulieutaichinhlamsach_DD'!$G$2)="VND",'03. Dulieutaichinhlamsach_DD'!G143/10^6,'03. Dulieutaichinhlamsach_DD'!G143)</f>
        <v/>
      </c>
      <c r="H128" s="353" t="n"/>
      <c r="I128" s="354">
        <f>IF(TRIM('03. Dulieutaichinhlamsach_DD'!$G$2)="VND",'03. Dulieutaichinhlamsach_DD'!H143/10^6,'03. Dulieutaichinhlamsach_DD'!H143)</f>
        <v/>
      </c>
      <c r="J128" s="896" t="n"/>
    </row>
    <row r="129">
      <c r="A129" s="94" t="inlineStr">
        <is>
          <t>Các khoản giảm trừ doanh thu</t>
        </is>
      </c>
      <c r="B129" s="360">
        <f>IF(TRIM('03. Dulieutaichinhlamsach_DD'!$G$2)="VND",'03. Dulieutaichinhlamsach_DD'!D144/10^6,'03. Dulieutaichinhlamsach_DD'!D144)</f>
        <v/>
      </c>
      <c r="C129" s="360">
        <f>IF(TRIM('03. Dulieutaichinhlamsach_DD'!$G$2)="VND",'03. Dulieutaichinhlamsach_DD'!E144/10^6,'03. Dulieutaichinhlamsach_DD'!E144)</f>
        <v/>
      </c>
      <c r="D129" s="360">
        <f>IF(TRIM('03. Dulieutaichinhlamsach_DD'!$G$2)="VND",'03. Dulieutaichinhlamsach_DD'!F144/10^6,'03. Dulieutaichinhlamsach_DD'!F144)</f>
        <v/>
      </c>
      <c r="E129" s="520" t="n"/>
      <c r="F129" s="362">
        <f>IF(C129&lt;&gt;0,(D129-C129)/C129,"")</f>
        <v/>
      </c>
      <c r="G129" s="360">
        <f>IF(TRIM('03. Dulieutaichinhlamsach_DD'!$G$2)="VND",'03. Dulieutaichinhlamsach_DD'!G144/10^6,'03. Dulieutaichinhlamsach_DD'!G144)</f>
        <v/>
      </c>
      <c r="H129" s="348" t="n"/>
      <c r="I129" s="360">
        <f>IF(TRIM('03. Dulieutaichinhlamsach_DD'!$G$2)="VND",'03. Dulieutaichinhlamsach_DD'!H144/10^6,'03. Dulieutaichinhlamsach_DD'!H144)</f>
        <v/>
      </c>
      <c r="J129" s="897" t="n"/>
    </row>
    <row r="130">
      <c r="A130" s="94" t="inlineStr">
        <is>
          <t xml:space="preserve">      - Chiết khấu</t>
        </is>
      </c>
      <c r="B130" s="360">
        <f>IF(TRIM('03. Dulieutaichinhlamsach_DD'!$G$2)="VND",'03. Dulieutaichinhlamsach_DD'!D145/10^6,'03. Dulieutaichinhlamsach_DD'!D145)</f>
        <v/>
      </c>
      <c r="C130" s="360">
        <f>IF(TRIM('03. Dulieutaichinhlamsach_DD'!$G$2)="VND",'03. Dulieutaichinhlamsach_DD'!E145/10^6,'03. Dulieutaichinhlamsach_DD'!E145)</f>
        <v/>
      </c>
      <c r="D130" s="360">
        <f>IF(TRIM('03. Dulieutaichinhlamsach_DD'!$G$2)="VND",'03. Dulieutaichinhlamsach_DD'!F145/10^6,'03. Dulieutaichinhlamsach_DD'!F145)</f>
        <v/>
      </c>
      <c r="E130" s="520" t="n"/>
      <c r="F130" s="362">
        <f>IF(C130&lt;&gt;0,(D130-C130)/C130,"")</f>
        <v/>
      </c>
      <c r="G130" s="360">
        <f>IF(TRIM('03. Dulieutaichinhlamsach_DD'!$G$2)="VND",'03. Dulieutaichinhlamsach_DD'!G145/10^6,'03. Dulieutaichinhlamsach_DD'!G145)</f>
        <v/>
      </c>
      <c r="H130" s="348" t="n"/>
      <c r="I130" s="360">
        <f>IF(TRIM('03. Dulieutaichinhlamsach_DD'!$G$2)="VND",'03. Dulieutaichinhlamsach_DD'!H145/10^6,'03. Dulieutaichinhlamsach_DD'!H145)</f>
        <v/>
      </c>
      <c r="J130" s="898" t="n"/>
    </row>
    <row r="131">
      <c r="A131" s="94" t="inlineStr">
        <is>
          <t xml:space="preserve">      - Giảm giá</t>
        </is>
      </c>
      <c r="B131" s="360">
        <f>IF(TRIM('03. Dulieutaichinhlamsach_DD'!$G$2)="VND",'03. Dulieutaichinhlamsach_DD'!D146/10^6,'03. Dulieutaichinhlamsach_DD'!D146)</f>
        <v/>
      </c>
      <c r="C131" s="360">
        <f>IF(TRIM('03. Dulieutaichinhlamsach_DD'!$G$2)="VND",'03. Dulieutaichinhlamsach_DD'!E146/10^6,'03. Dulieutaichinhlamsach_DD'!E146)</f>
        <v/>
      </c>
      <c r="D131" s="360">
        <f>IF(TRIM('03. Dulieutaichinhlamsach_DD'!$G$2)="VND",'03. Dulieutaichinhlamsach_DD'!F146/10^6,'03. Dulieutaichinhlamsach_DD'!F146)</f>
        <v/>
      </c>
      <c r="E131" s="520" t="n"/>
      <c r="F131" s="362">
        <f>IF(C131&lt;&gt;0,(D131-C131)/C131,"")</f>
        <v/>
      </c>
      <c r="G131" s="360">
        <f>IF(TRIM('03. Dulieutaichinhlamsach_DD'!$G$2)="VND",'03. Dulieutaichinhlamsach_DD'!G146/10^6,'03. Dulieutaichinhlamsach_DD'!G146)</f>
        <v/>
      </c>
      <c r="H131" s="348" t="n"/>
      <c r="I131" s="364">
        <f>IF(TRIM('03. Dulieutaichinhlamsach_DD'!$G$2)="VND",'03. Dulieutaichinhlamsach_DD'!H146/10^6,'03. Dulieutaichinhlamsach_DD'!H146)</f>
        <v/>
      </c>
      <c r="J131" s="365" t="n"/>
    </row>
    <row r="132">
      <c r="A132" s="94" t="inlineStr">
        <is>
          <t xml:space="preserve">      - Hàng bán bị trả lại</t>
        </is>
      </c>
      <c r="B132" s="360">
        <f>IF(TRIM('03. Dulieutaichinhlamsach_DD'!$G$2)="VND",'03. Dulieutaichinhlamsach_DD'!D147/10^6,'03. Dulieutaichinhlamsach_DD'!D147)</f>
        <v/>
      </c>
      <c r="C132" s="360">
        <f>IF(TRIM('03. Dulieutaichinhlamsach_DD'!$G$2)="VND",'03. Dulieutaichinhlamsach_DD'!E147/10^6,'03. Dulieutaichinhlamsach_DD'!E147)</f>
        <v/>
      </c>
      <c r="D132" s="360">
        <f>IF(TRIM('03. Dulieutaichinhlamsach_DD'!$G$2)="VND",'03. Dulieutaichinhlamsach_DD'!F147/10^6,'03. Dulieutaichinhlamsach_DD'!F147)</f>
        <v/>
      </c>
      <c r="E132" s="520" t="n"/>
      <c r="F132" s="362">
        <f>IF(C132&lt;&gt;0,(D132-C132)/C132,"")</f>
        <v/>
      </c>
      <c r="G132" s="360">
        <f>IF(TRIM('03. Dulieutaichinhlamsach_DD'!$G$2)="VND",'03. Dulieutaichinhlamsach_DD'!G147/10^6,'03. Dulieutaichinhlamsach_DD'!G147)</f>
        <v/>
      </c>
      <c r="H132" s="348" t="n"/>
      <c r="I132" s="364">
        <f>IF(TRIM('03. Dulieutaichinhlamsach_DD'!$G$2)="VND",'03. Dulieutaichinhlamsach_DD'!H147/10^6,'03. Dulieutaichinhlamsach_DD'!H147)</f>
        <v/>
      </c>
      <c r="J132" s="365" t="n"/>
    </row>
    <row r="133">
      <c r="A133" s="94" t="inlineStr">
        <is>
          <t xml:space="preserve">      - Thuế VAT, thuế xuất khẩu</t>
        </is>
      </c>
      <c r="B133" s="360">
        <f>IF(TRIM('03. Dulieutaichinhlamsach_DD'!$G$2)="VND",'03. Dulieutaichinhlamsach_DD'!D148/10^6,'03. Dulieutaichinhlamsach_DD'!D148)</f>
        <v/>
      </c>
      <c r="C133" s="360">
        <f>IF(TRIM('03. Dulieutaichinhlamsach_DD'!$G$2)="VND",'03. Dulieutaichinhlamsach_DD'!E148/10^6,'03. Dulieutaichinhlamsach_DD'!E148)</f>
        <v/>
      </c>
      <c r="D133" s="360">
        <f>IF(TRIM('03. Dulieutaichinhlamsach_DD'!$G$2)="VND",'03. Dulieutaichinhlamsach_DD'!F148/10^6,'03. Dulieutaichinhlamsach_DD'!F148)</f>
        <v/>
      </c>
      <c r="E133" s="520" t="n"/>
      <c r="F133" s="362">
        <f>IF(C133&lt;&gt;0,(D133-C133)/C133,"")</f>
        <v/>
      </c>
      <c r="G133" s="360">
        <f>IF(TRIM('03. Dulieutaichinhlamsach_DD'!$G$2)="VND",'03. Dulieutaichinhlamsach_DD'!G148/10^6,'03. Dulieutaichinhlamsach_DD'!G148)</f>
        <v/>
      </c>
      <c r="H133" s="348" t="n"/>
      <c r="I133" s="364">
        <f>IF(TRIM('03. Dulieutaichinhlamsach_DD'!$G$2)="VND",'03. Dulieutaichinhlamsach_DD'!H148/10^6,'03. Dulieutaichinhlamsach_DD'!H148)</f>
        <v/>
      </c>
      <c r="J133" s="365" t="n"/>
    </row>
    <row r="134">
      <c r="A134" s="92" t="inlineStr">
        <is>
          <t>Doanh thu thuần về bán hàng và cung cấp dịch vụ</t>
        </is>
      </c>
      <c r="B134" s="360">
        <f>IF(TRIM('03. Dulieutaichinhlamsach_DD'!$G$2)="VND",'03. Dulieutaichinhlamsach_DD'!D149/10^6,'03. Dulieutaichinhlamsach_DD'!D149)</f>
        <v/>
      </c>
      <c r="C134" s="360">
        <f>IF('03. Dulieutaichinhlamsach_DD'!E149="","",IF(TRIM('03. Dulieutaichinhlamsach_DD'!$G$2)="VND",'03. Dulieutaichinhlamsach_DD'!E149/10^6,'03. Dulieutaichinhlamsach_DD'!E149))</f>
        <v/>
      </c>
      <c r="D134" s="360">
        <f>IF(TRIM('03. Dulieutaichinhlamsach_DD'!$G$2)="VND",'03. Dulieutaichinhlamsach_DD'!F149/10^6,'03. Dulieutaichinhlamsach_DD'!F149)</f>
        <v/>
      </c>
      <c r="E134" s="520" t="n"/>
      <c r="F134" s="362">
        <f>IF(C134="","",IF(C134&lt;&gt;0,(D134-C134)/C134,""))</f>
        <v/>
      </c>
      <c r="G134" s="360">
        <f>IF(TRIM('03. Dulieutaichinhlamsach_DD'!$G$2)="VND",'03. Dulieutaichinhlamsach_DD'!G149/10^6,'03. Dulieutaichinhlamsach_DD'!G149)</f>
        <v/>
      </c>
      <c r="H134" s="348" t="n"/>
      <c r="I134" s="364">
        <f>IF(TRIM('03. Dulieutaichinhlamsach_DD'!$G$2)="VND",'03. Dulieutaichinhlamsach_DD'!H149/10^6,'03. Dulieutaichinhlamsach_DD'!H149)</f>
        <v/>
      </c>
      <c r="J134" s="340" t="n"/>
    </row>
    <row r="135">
      <c r="A135" s="94" t="inlineStr">
        <is>
          <t>Giá vốn hàng bán</t>
        </is>
      </c>
      <c r="B135" s="360">
        <f>IF(TRIM('03. Dulieutaichinhlamsach_DD'!$G$2)="VND",'03. Dulieutaichinhlamsach_DD'!D150/10^6,'03. Dulieutaichinhlamsach_DD'!D150)</f>
        <v/>
      </c>
      <c r="C135" s="360">
        <f>IF(TRIM('03. Dulieutaichinhlamsach_DD'!$G$2)="VND",'03. Dulieutaichinhlamsach_DD'!E150/10^6,'03. Dulieutaichinhlamsach_DD'!E150)</f>
        <v/>
      </c>
      <c r="D135" s="360">
        <f>IF(TRIM('03. Dulieutaichinhlamsach_DD'!$G$2)="VND",'03. Dulieutaichinhlamsach_DD'!F150/10^6,'03. Dulieutaichinhlamsach_DD'!F150)</f>
        <v/>
      </c>
      <c r="E135" s="520" t="n"/>
      <c r="F135" s="362">
        <f>IF(C135&lt;&gt;0,(D135-C135)/C135,"")</f>
        <v/>
      </c>
      <c r="G135" s="360">
        <f>IF(TRIM('03. Dulieutaichinhlamsach_DD'!$G$2)="VND",'03. Dulieutaichinhlamsach_DD'!G150/10^6,'03. Dulieutaichinhlamsach_DD'!G150)</f>
        <v/>
      </c>
      <c r="H135" s="348" t="n"/>
      <c r="I135" s="364">
        <f>IF(TRIM('03. Dulieutaichinhlamsach_DD'!$G$2)="VND",'03. Dulieutaichinhlamsach_DD'!H150/10^6,'03. Dulieutaichinhlamsach_DD'!H150)</f>
        <v/>
      </c>
      <c r="J135" s="365" t="n"/>
    </row>
    <row r="136">
      <c r="A136" s="95" t="inlineStr">
        <is>
          <t xml:space="preserve">     - Tr/đó: Khấu hao trong giá vốn hàng bán</t>
        </is>
      </c>
      <c r="B136" s="360">
        <f>IF(TRIM('03. Dulieutaichinhlamsach_DD'!$G$2)="VND",'03. Dulieutaichinhlamsach_DD'!D151/10^6,'03. Dulieutaichinhlamsach_DD'!D151)</f>
        <v/>
      </c>
      <c r="C136" s="360">
        <f>IF(TRIM('03. Dulieutaichinhlamsach_DD'!$G$2)="VND",'03. Dulieutaichinhlamsach_DD'!E151/10^6,'03. Dulieutaichinhlamsach_DD'!E151)</f>
        <v/>
      </c>
      <c r="D136" s="360">
        <f>IF(TRIM('03. Dulieutaichinhlamsach_DD'!$G$2)="VND",'03. Dulieutaichinhlamsach_DD'!F151/10^6,'03. Dulieutaichinhlamsach_DD'!F151)</f>
        <v/>
      </c>
      <c r="E136" s="520" t="n"/>
      <c r="F136" s="362">
        <f>IF(C136&lt;&gt;0,(D136-C136)/C136,"")</f>
        <v/>
      </c>
      <c r="G136" s="360">
        <f>IF(TRIM('03. Dulieutaichinhlamsach_DD'!$G$2)="VND",'03. Dulieutaichinhlamsach_DD'!G151/10^6,'03. Dulieutaichinhlamsach_DD'!G151)</f>
        <v/>
      </c>
      <c r="H136" s="348" t="n"/>
      <c r="I136" s="364">
        <f>IF(TRIM('03. Dulieutaichinhlamsach_DD'!$G$2)="VND",'03. Dulieutaichinhlamsach_DD'!H151/10^6,'03. Dulieutaichinhlamsach_DD'!H151)</f>
        <v/>
      </c>
      <c r="J136" s="365" t="n"/>
    </row>
    <row r="137">
      <c r="A137" s="94" t="inlineStr">
        <is>
          <t>Lợi nhuận gộp về bán hàng và cung cấp dịch vụ</t>
        </is>
      </c>
      <c r="B137" s="360">
        <f>IF(TRIM('03. Dulieutaichinhlamsach_DD'!$G$2)="VND",'03. Dulieutaichinhlamsach_DD'!D152/10^6,'03. Dulieutaichinhlamsach_DD'!D152)</f>
        <v/>
      </c>
      <c r="C137" s="360">
        <f>IF(C134="","",IF(TRIM('03. Dulieutaichinhlamsach_DD'!$G$2)="VND",'03. Dulieutaichinhlamsach_DD'!E152/10^6,'03. Dulieutaichinhlamsach_DD'!E152))</f>
        <v/>
      </c>
      <c r="D137" s="360">
        <f>IF(TRIM('03. Dulieutaichinhlamsach_DD'!$G$2)="VND",'03. Dulieutaichinhlamsach_DD'!F152/10^6,'03. Dulieutaichinhlamsach_DD'!F152)</f>
        <v/>
      </c>
      <c r="E137" s="520" t="n"/>
      <c r="F137" s="362">
        <f>IF(C137="","",IF(C137&lt;&gt;0,(D137-C137)/C137,""))</f>
        <v/>
      </c>
      <c r="G137" s="360">
        <f>IF(TRIM('03. Dulieutaichinhlamsach_DD'!$G$2)="VND",'03. Dulieutaichinhlamsach_DD'!G152/10^6,'03. Dulieutaichinhlamsach_DD'!G152)</f>
        <v/>
      </c>
      <c r="H137" s="348" t="n"/>
      <c r="I137" s="364">
        <f>IF(TRIM('03. Dulieutaichinhlamsach_DD'!$G$2)="VND",'03. Dulieutaichinhlamsach_DD'!H152/10^6,'03. Dulieutaichinhlamsach_DD'!H152)</f>
        <v/>
      </c>
      <c r="J137" s="365" t="n"/>
    </row>
    <row r="138">
      <c r="A138" s="94" t="inlineStr">
        <is>
          <t>Doanh thu hoạt động tài chính</t>
        </is>
      </c>
      <c r="B138" s="360">
        <f>IF(TRIM('03. Dulieutaichinhlamsach_DD'!$G$2)="VND",'03. Dulieutaichinhlamsach_DD'!D153/10^6,'03. Dulieutaichinhlamsach_DD'!D153)</f>
        <v/>
      </c>
      <c r="C138" s="360">
        <f>IF(TRIM('03. Dulieutaichinhlamsach_DD'!$G$2)="VND",'03. Dulieutaichinhlamsach_DD'!E153/10^6,'03. Dulieutaichinhlamsach_DD'!E153)</f>
        <v/>
      </c>
      <c r="D138" s="360">
        <f>IF(TRIM('03. Dulieutaichinhlamsach_DD'!$G$2)="VND",'03. Dulieutaichinhlamsach_DD'!F153/10^6,'03. Dulieutaichinhlamsach_DD'!F153)</f>
        <v/>
      </c>
      <c r="E138" s="520" t="n"/>
      <c r="F138" s="362">
        <f>IF(C138&lt;&gt;0,(D138-C138)/C138,"")</f>
        <v/>
      </c>
      <c r="G138" s="360">
        <f>IF(TRIM('03. Dulieutaichinhlamsach_DD'!$G$2)="VND",'03. Dulieutaichinhlamsach_DD'!G153/10^6,'03. Dulieutaichinhlamsach_DD'!G153)</f>
        <v/>
      </c>
      <c r="H138" s="348" t="n"/>
      <c r="I138" s="364">
        <f>IF(TRIM('03. Dulieutaichinhlamsach_DD'!$G$2)="VND",'03. Dulieutaichinhlamsach_DD'!H153/10^6,'03. Dulieutaichinhlamsach_DD'!H153)</f>
        <v/>
      </c>
      <c r="J138" s="365" t="n"/>
    </row>
    <row r="139">
      <c r="A139" s="94" t="inlineStr">
        <is>
          <t>Chi phí tài chính</t>
        </is>
      </c>
      <c r="B139" s="360">
        <f>IF(TRIM('03. Dulieutaichinhlamsach_DD'!$G$2)="VND",'03. Dulieutaichinhlamsach_DD'!D154/10^6,'03. Dulieutaichinhlamsach_DD'!D154)</f>
        <v/>
      </c>
      <c r="C139" s="360">
        <f>IF(TRIM('03. Dulieutaichinhlamsach_DD'!$G$2)="VND",'03. Dulieutaichinhlamsach_DD'!E154/10^6,'03. Dulieutaichinhlamsach_DD'!E154)</f>
        <v/>
      </c>
      <c r="D139" s="360">
        <f>IF(TRIM('03. Dulieutaichinhlamsach_DD'!$G$2)="VND",'03. Dulieutaichinhlamsach_DD'!F154/10^6,'03. Dulieutaichinhlamsach_DD'!F154)</f>
        <v/>
      </c>
      <c r="E139" s="520" t="n"/>
      <c r="F139" s="362">
        <f>IF(C139&lt;&gt;0,(D139-C139)/C139,"")</f>
        <v/>
      </c>
      <c r="G139" s="360">
        <f>IF(TRIM('03. Dulieutaichinhlamsach_DD'!$G$2)="VND",'03. Dulieutaichinhlamsach_DD'!G154/10^6,'03. Dulieutaichinhlamsach_DD'!G154)</f>
        <v/>
      </c>
      <c r="H139" s="348" t="n"/>
      <c r="I139" s="364">
        <f>IF(TRIM('03. Dulieutaichinhlamsach_DD'!$G$2)="VND",'03. Dulieutaichinhlamsach_DD'!H154/10^6,'03. Dulieutaichinhlamsach_DD'!H154)</f>
        <v/>
      </c>
      <c r="J139" s="365" t="n"/>
    </row>
    <row r="140">
      <c r="A140" s="95" t="inlineStr">
        <is>
          <t xml:space="preserve">     - Tr/đó: Chi phí lãi vay</t>
        </is>
      </c>
      <c r="B140" s="360">
        <f>IF(TRIM('03. Dulieutaichinhlamsach_DD'!$G$2)="VND",'03. Dulieutaichinhlamsach_DD'!D155/10^6,'03. Dulieutaichinhlamsach_DD'!D155)</f>
        <v/>
      </c>
      <c r="C140" s="360">
        <f>IF(TRIM('03. Dulieutaichinhlamsach_DD'!$G$2)="VND",'03. Dulieutaichinhlamsach_DD'!E155/10^6,'03. Dulieutaichinhlamsach_DD'!E155)</f>
        <v/>
      </c>
      <c r="D140" s="360">
        <f>IF(TRIM('03. Dulieutaichinhlamsach_DD'!$G$2)="VND",'03. Dulieutaichinhlamsach_DD'!F155/10^6,'03. Dulieutaichinhlamsach_DD'!F155)</f>
        <v/>
      </c>
      <c r="E140" s="520" t="n"/>
      <c r="F140" s="362">
        <f>IF(C140&lt;&gt;0,(D140-C140)/C140,"")</f>
        <v/>
      </c>
      <c r="G140" s="360">
        <f>IF(TRIM('03. Dulieutaichinhlamsach_DD'!$G$2)="VND",'03. Dulieutaichinhlamsach_DD'!G155/10^6,'03. Dulieutaichinhlamsach_DD'!G155)</f>
        <v/>
      </c>
      <c r="H140" s="348" t="n"/>
      <c r="I140" s="364">
        <f>IF(TRIM('03. Dulieutaichinhlamsach_DD'!$G$2)="VND",'03. Dulieutaichinhlamsach_DD'!H155/10^6,'03. Dulieutaichinhlamsach_DD'!H155)</f>
        <v/>
      </c>
      <c r="J140" s="365" t="n"/>
    </row>
    <row r="141">
      <c r="A141" s="94" t="inlineStr">
        <is>
          <t>Chi phí bán hàng</t>
        </is>
      </c>
      <c r="B141" s="360">
        <f>IF(TRIM('03. Dulieutaichinhlamsach_DD'!$G$2)="VND",'03. Dulieutaichinhlamsach_DD'!D156/10^6,'03. Dulieutaichinhlamsach_DD'!D156)</f>
        <v/>
      </c>
      <c r="C141" s="360">
        <f>IF(TRIM('03. Dulieutaichinhlamsach_DD'!$G$2)="VND",'03. Dulieutaichinhlamsach_DD'!E156/10^6,'03. Dulieutaichinhlamsach_DD'!E156)</f>
        <v/>
      </c>
      <c r="D141" s="360">
        <f>IF(TRIM('03. Dulieutaichinhlamsach_DD'!$G$2)="VND",'03. Dulieutaichinhlamsach_DD'!F156/10^6,'03. Dulieutaichinhlamsach_DD'!F156)</f>
        <v/>
      </c>
      <c r="E141" s="520" t="n"/>
      <c r="F141" s="362">
        <f>IF(C141&lt;&gt;0,(D141-C141)/C141,"")</f>
        <v/>
      </c>
      <c r="G141" s="360">
        <f>IF(TRIM('03. Dulieutaichinhlamsach_DD'!$G$2)="VND",'03. Dulieutaichinhlamsach_DD'!G156/10^6,'03. Dulieutaichinhlamsach_DD'!G156)</f>
        <v/>
      </c>
      <c r="H141" s="348" t="n"/>
      <c r="I141" s="364">
        <f>IF(TRIM('03. Dulieutaichinhlamsach_DD'!$G$2)="VND",'03. Dulieutaichinhlamsach_DD'!H156/10^6,'03. Dulieutaichinhlamsach_DD'!H156)</f>
        <v/>
      </c>
      <c r="J141" s="365" t="n"/>
    </row>
    <row r="142">
      <c r="A142" s="95" t="inlineStr">
        <is>
          <t xml:space="preserve">     - Tr/đó: Khấu hao trong giá vốn hàng bán</t>
        </is>
      </c>
      <c r="B142" s="360">
        <f>IF(TRIM('03. Dulieutaichinhlamsach_DD'!$G$2)="VND",'03. Dulieutaichinhlamsach_DD'!D157/10^6,'03. Dulieutaichinhlamsach_DD'!D157)</f>
        <v/>
      </c>
      <c r="C142" s="360">
        <f>IF(TRIM('03. Dulieutaichinhlamsach_DD'!$G$2)="VND",'03. Dulieutaichinhlamsach_DD'!E157/10^6,'03. Dulieutaichinhlamsach_DD'!E157)</f>
        <v/>
      </c>
      <c r="D142" s="360">
        <f>IF(TRIM('03. Dulieutaichinhlamsach_DD'!$G$2)="VND",'03. Dulieutaichinhlamsach_DD'!F157/10^6,'03. Dulieutaichinhlamsach_DD'!F157)</f>
        <v/>
      </c>
      <c r="E142" s="520" t="n"/>
      <c r="F142" s="362">
        <f>IF(C142&lt;&gt;0,(D142-C142)/C142,"")</f>
        <v/>
      </c>
      <c r="G142" s="360">
        <f>IF(TRIM('03. Dulieutaichinhlamsach_DD'!$G$2)="VND",'03. Dulieutaichinhlamsach_DD'!G157/10^6,'03. Dulieutaichinhlamsach_DD'!G157)</f>
        <v/>
      </c>
      <c r="H142" s="348" t="n"/>
      <c r="I142" s="364">
        <f>IF(TRIM('03. Dulieutaichinhlamsach_DD'!$G$2)="VND",'03. Dulieutaichinhlamsach_DD'!H157/10^6,'03. Dulieutaichinhlamsach_DD'!H157)</f>
        <v/>
      </c>
      <c r="J142" s="365" t="n"/>
    </row>
    <row r="143">
      <c r="A143" s="94" t="inlineStr">
        <is>
          <t>Chi phí quản lý doanh nghiệp</t>
        </is>
      </c>
      <c r="B143" s="360">
        <f>IF(TRIM('03. Dulieutaichinhlamsach_DD'!$G$2)="VND",'03. Dulieutaichinhlamsach_DD'!D158/10^6,'03. Dulieutaichinhlamsach_DD'!D158)</f>
        <v/>
      </c>
      <c r="C143" s="360">
        <f>IF(TRIM('03. Dulieutaichinhlamsach_DD'!$G$2)="VND",'03. Dulieutaichinhlamsach_DD'!E158/10^6,'03. Dulieutaichinhlamsach_DD'!E158)</f>
        <v/>
      </c>
      <c r="D143" s="360">
        <f>IF(TRIM('03. Dulieutaichinhlamsach_DD'!$G$2)="VND",'03. Dulieutaichinhlamsach_DD'!F158/10^6,'03. Dulieutaichinhlamsach_DD'!F158)</f>
        <v/>
      </c>
      <c r="E143" s="520" t="n"/>
      <c r="F143" s="362">
        <f>IF(C143&lt;&gt;0,(D143-C143)/C143,"")</f>
        <v/>
      </c>
      <c r="G143" s="360">
        <f>IF(TRIM('03. Dulieutaichinhlamsach_DD'!$G$2)="VND",'03. Dulieutaichinhlamsach_DD'!G158/10^6,'03. Dulieutaichinhlamsach_DD'!G158)</f>
        <v/>
      </c>
      <c r="H143" s="348" t="n"/>
      <c r="I143" s="364">
        <f>IF(TRIM('03. Dulieutaichinhlamsach_DD'!$G$2)="VND",'03. Dulieutaichinhlamsach_DD'!H158/10^6,'03. Dulieutaichinhlamsach_DD'!H158)</f>
        <v/>
      </c>
      <c r="J143" s="365" t="n"/>
    </row>
    <row r="144">
      <c r="A144" s="95" t="inlineStr">
        <is>
          <t xml:space="preserve">     - Tr/đó: Khấu hao trong giá vốn hàng bán</t>
        </is>
      </c>
      <c r="B144" s="360">
        <f>IF(TRIM('03. Dulieutaichinhlamsach_DD'!$G$2)="VND",'03. Dulieutaichinhlamsach_DD'!D159/10^6,'03. Dulieutaichinhlamsach_DD'!D159)</f>
        <v/>
      </c>
      <c r="C144" s="360">
        <f>IF(TRIM('03. Dulieutaichinhlamsach_DD'!$G$2)="VND",'03. Dulieutaichinhlamsach_DD'!E159/10^6,'03. Dulieutaichinhlamsach_DD'!E159)</f>
        <v/>
      </c>
      <c r="D144" s="360">
        <f>IF(TRIM('03. Dulieutaichinhlamsach_DD'!$G$2)="VND",'03. Dulieutaichinhlamsach_DD'!F159/10^6,'03. Dulieutaichinhlamsach_DD'!F159)</f>
        <v/>
      </c>
      <c r="E144" s="520" t="n"/>
      <c r="F144" s="362">
        <f>IF(C144&lt;&gt;0,(D144-C144)/C144,"")</f>
        <v/>
      </c>
      <c r="G144" s="360">
        <f>IF(TRIM('03. Dulieutaichinhlamsach_DD'!$G$2)="VND",'03. Dulieutaichinhlamsach_DD'!G159/10^6,'03. Dulieutaichinhlamsach_DD'!G159)</f>
        <v/>
      </c>
      <c r="H144" s="348" t="n"/>
      <c r="I144" s="364">
        <f>IF(TRIM('03. Dulieutaichinhlamsach_DD'!$G$2)="VND",'03. Dulieutaichinhlamsach_DD'!H159/10^6,'03. Dulieutaichinhlamsach_DD'!H159)</f>
        <v/>
      </c>
      <c r="J144" s="365" t="n"/>
    </row>
    <row r="145">
      <c r="A145" s="94" t="inlineStr">
        <is>
          <t>Lợi nhuận thuần từ HĐKD</t>
        </is>
      </c>
      <c r="B145" s="360">
        <f>IF(TRIM('03. Dulieutaichinhlamsach_DD'!$G$2)="VND",'03. Dulieutaichinhlamsach_DD'!D160/10^6,'03. Dulieutaichinhlamsach_DD'!D160)</f>
        <v/>
      </c>
      <c r="C145" s="360">
        <f>IF(C137="","",IF(TRIM('03. Dulieutaichinhlamsach_DD'!$G$2)="VND",'03. Dulieutaichinhlamsach_DD'!E160/10^6,'03. Dulieutaichinhlamsach_DD'!E160))</f>
        <v/>
      </c>
      <c r="D145" s="360">
        <f>IF(TRIM('03. Dulieutaichinhlamsach_DD'!$G$2)="VND",'03. Dulieutaichinhlamsach_DD'!F160/10^6,'03. Dulieutaichinhlamsach_DD'!F160)</f>
        <v/>
      </c>
      <c r="E145" s="520" t="n"/>
      <c r="F145" s="362">
        <f>IF(C145="","",IF(C145&lt;&gt;0,(D145-C145)/C145,""))</f>
        <v/>
      </c>
      <c r="G145" s="360">
        <f>IF(TRIM('03. Dulieutaichinhlamsach_DD'!$G$2)="VND",'03. Dulieutaichinhlamsach_DD'!G160/10^6,'03. Dulieutaichinhlamsach_DD'!G160)</f>
        <v/>
      </c>
      <c r="H145" s="348" t="n"/>
      <c r="I145" s="364">
        <f>IF(TRIM('03. Dulieutaichinhlamsach_DD'!$G$2)="VND",'03. Dulieutaichinhlamsach_DD'!H160/10^6,'03. Dulieutaichinhlamsach_DD'!H160)</f>
        <v/>
      </c>
      <c r="J145" s="365" t="n"/>
    </row>
    <row r="146">
      <c r="A146" s="94" t="inlineStr">
        <is>
          <t>Thu nhập khác</t>
        </is>
      </c>
      <c r="B146" s="360">
        <f>IF(TRIM('03. Dulieutaichinhlamsach_DD'!$G$2)="VND",'03. Dulieutaichinhlamsach_DD'!D161/10^6,'03. Dulieutaichinhlamsach_DD'!D161)</f>
        <v/>
      </c>
      <c r="C146" s="360">
        <f>IF(TRIM('03. Dulieutaichinhlamsach_DD'!$G$2)="VND",'03. Dulieutaichinhlamsach_DD'!E161/10^6,'03. Dulieutaichinhlamsach_DD'!E161)</f>
        <v/>
      </c>
      <c r="D146" s="360">
        <f>IF(TRIM('03. Dulieutaichinhlamsach_DD'!$G$2)="VND",'03. Dulieutaichinhlamsach_DD'!F161/10^6,'03. Dulieutaichinhlamsach_DD'!F161)</f>
        <v/>
      </c>
      <c r="E146" s="520" t="n"/>
      <c r="F146" s="362">
        <f>IF(C146&lt;&gt;0,(D146-C146)/C146,"")</f>
        <v/>
      </c>
      <c r="G146" s="360">
        <f>IF(TRIM('03. Dulieutaichinhlamsach_DD'!$G$2)="VND",'03. Dulieutaichinhlamsach_DD'!G161/10^6,'03. Dulieutaichinhlamsach_DD'!G161)</f>
        <v/>
      </c>
      <c r="H146" s="348" t="n"/>
      <c r="I146" s="364">
        <f>IF(TRIM('03. Dulieutaichinhlamsach_DD'!$G$2)="VND",'03. Dulieutaichinhlamsach_DD'!H161/10^6,'03. Dulieutaichinhlamsach_DD'!H161)</f>
        <v/>
      </c>
      <c r="J146" s="365" t="n"/>
    </row>
    <row r="147">
      <c r="A147" s="94" t="inlineStr">
        <is>
          <t>Chi phí khác</t>
        </is>
      </c>
      <c r="B147" s="360">
        <f>IF(TRIM('03. Dulieutaichinhlamsach_DD'!$G$2)="VND",'03. Dulieutaichinhlamsach_DD'!D162/10^6,'03. Dulieutaichinhlamsach_DD'!D162)</f>
        <v/>
      </c>
      <c r="C147" s="360">
        <f>IF(TRIM('03. Dulieutaichinhlamsach_DD'!$G$2)="VND",'03. Dulieutaichinhlamsach_DD'!E162/10^6,'03. Dulieutaichinhlamsach_DD'!E162)</f>
        <v/>
      </c>
      <c r="D147" s="360">
        <f>IF(TRIM('03. Dulieutaichinhlamsach_DD'!$G$2)="VND",'03. Dulieutaichinhlamsach_DD'!F162/10^6,'03. Dulieutaichinhlamsach_DD'!F162)</f>
        <v/>
      </c>
      <c r="E147" s="520" t="n"/>
      <c r="F147" s="362">
        <f>IF(C147&lt;&gt;0,(D147-C147)/C147,"")</f>
        <v/>
      </c>
      <c r="G147" s="360">
        <f>IF(TRIM('03. Dulieutaichinhlamsach_DD'!$G$2)="VND",'03. Dulieutaichinhlamsach_DD'!G162/10^6,'03. Dulieutaichinhlamsach_DD'!G162)</f>
        <v/>
      </c>
      <c r="H147" s="348" t="n"/>
      <c r="I147" s="364">
        <f>IF(TRIM('03. Dulieutaichinhlamsach_DD'!$G$2)="VND",'03. Dulieutaichinhlamsach_DD'!H162/10^6,'03. Dulieutaichinhlamsach_DD'!H162)</f>
        <v/>
      </c>
      <c r="J147" s="365" t="n"/>
    </row>
    <row r="148">
      <c r="A148" s="94" t="inlineStr">
        <is>
          <t>Lợi nhuận khác</t>
        </is>
      </c>
      <c r="B148" s="360">
        <f>IF(TRIM('03. Dulieutaichinhlamsach_DD'!$G$2)="VND",'03. Dulieutaichinhlamsach_DD'!D163/10^6,'03. Dulieutaichinhlamsach_DD'!D163)</f>
        <v/>
      </c>
      <c r="C148" s="360">
        <f>IF(TRIM('03. Dulieutaichinhlamsach_DD'!$G$2)="VND",'03. Dulieutaichinhlamsach_DD'!E163/10^6,'03. Dulieutaichinhlamsach_DD'!E163)</f>
        <v/>
      </c>
      <c r="D148" s="360">
        <f>IF(TRIM('03. Dulieutaichinhlamsach_DD'!$G$2)="VND",'03. Dulieutaichinhlamsach_DD'!F163/10^6,'03. Dulieutaichinhlamsach_DD'!F163)</f>
        <v/>
      </c>
      <c r="E148" s="520" t="n"/>
      <c r="F148" s="362">
        <f>IF(C148&lt;&gt;0,(D148-C148)/C148,"")</f>
        <v/>
      </c>
      <c r="G148" s="360">
        <f>IF(TRIM('03. Dulieutaichinhlamsach_DD'!$G$2)="VND",'03. Dulieutaichinhlamsach_DD'!G163/10^6,'03. Dulieutaichinhlamsach_DD'!G163)</f>
        <v/>
      </c>
      <c r="H148" s="348" t="n"/>
      <c r="I148" s="364">
        <f>IF(TRIM('03. Dulieutaichinhlamsach_DD'!$G$2)="VND",'03. Dulieutaichinhlamsach_DD'!H163/10^6,'03. Dulieutaichinhlamsach_DD'!H163)</f>
        <v/>
      </c>
      <c r="J148" s="365" t="n"/>
    </row>
    <row r="149">
      <c r="A149" s="94" t="inlineStr">
        <is>
          <t>Tổng lợi nhuận kế toán trước thuế</t>
        </is>
      </c>
      <c r="B149" s="360">
        <f>IF(TRIM('03. Dulieutaichinhlamsach_DD'!$G$2)="VND",'03. Dulieutaichinhlamsach_DD'!D164/10^6,'03. Dulieutaichinhlamsach_DD'!D164)</f>
        <v/>
      </c>
      <c r="C149" s="360">
        <f>IF(C145="","",IF(TRIM('03. Dulieutaichinhlamsach_DD'!$G$2)="VND",'03. Dulieutaichinhlamsach_DD'!E164/10^6,'03. Dulieutaichinhlamsach_DD'!E164))</f>
        <v/>
      </c>
      <c r="D149" s="360">
        <f>IF(TRIM('03. Dulieutaichinhlamsach_DD'!$G$2)="VND",'03. Dulieutaichinhlamsach_DD'!F164/10^6,'03. Dulieutaichinhlamsach_DD'!F164)</f>
        <v/>
      </c>
      <c r="E149" s="520" t="n"/>
      <c r="F149" s="362">
        <f>IF(C149="","",IF(C149&lt;&gt;0,(D149-C149)/C149,""))</f>
        <v/>
      </c>
      <c r="G149" s="360">
        <f>IF(TRIM('03. Dulieutaichinhlamsach_DD'!$G$2)="VND",'03. Dulieutaichinhlamsach_DD'!G164/10^6,'03. Dulieutaichinhlamsach_DD'!G164)</f>
        <v/>
      </c>
      <c r="H149" s="348" t="n"/>
      <c r="I149" s="364">
        <f>IF(TRIM('03. Dulieutaichinhlamsach_DD'!$G$2)="VND",'03. Dulieutaichinhlamsach_DD'!H164/10^6,'03. Dulieutaichinhlamsach_DD'!H164)</f>
        <v/>
      </c>
      <c r="J149" s="365" t="n"/>
    </row>
    <row r="150">
      <c r="A150" s="94" t="inlineStr">
        <is>
          <t>Chi phí thuế TNDN hiện hành</t>
        </is>
      </c>
      <c r="B150" s="360">
        <f>IF(TRIM('03. Dulieutaichinhlamsach_DD'!$G$2)="VND",'03. Dulieutaichinhlamsach_DD'!D165/10^6,'03. Dulieutaichinhlamsach_DD'!D165)</f>
        <v/>
      </c>
      <c r="C150" s="360">
        <f>IF(TRIM('03. Dulieutaichinhlamsach_DD'!$G$2)="VND",'03. Dulieutaichinhlamsach_DD'!E165/10^6,'03. Dulieutaichinhlamsach_DD'!E165)</f>
        <v/>
      </c>
      <c r="D150" s="360">
        <f>IF(TRIM('03. Dulieutaichinhlamsach_DD'!$G$2)="VND",'03. Dulieutaichinhlamsach_DD'!F165/10^6,'03. Dulieutaichinhlamsach_DD'!F165)</f>
        <v/>
      </c>
      <c r="E150" s="520" t="n"/>
      <c r="F150" s="362">
        <f>IF(C150&lt;&gt;0,(D150-C150)/C150,"")</f>
        <v/>
      </c>
      <c r="G150" s="360">
        <f>IF(TRIM('03. Dulieutaichinhlamsach_DD'!$G$2)="VND",'03. Dulieutaichinhlamsach_DD'!G165/10^6,'03. Dulieutaichinhlamsach_DD'!G165)</f>
        <v/>
      </c>
      <c r="H150" s="348" t="n"/>
      <c r="I150" s="364">
        <f>IF(TRIM('03. Dulieutaichinhlamsach_DD'!$G$2)="VND",'03. Dulieutaichinhlamsach_DD'!H165/10^6,'03. Dulieutaichinhlamsach_DD'!H165)</f>
        <v/>
      </c>
      <c r="J150" s="365" t="n"/>
    </row>
    <row r="151">
      <c r="A151" s="94" t="inlineStr">
        <is>
          <t>Chi phí thuế TNDN hoãn lại</t>
        </is>
      </c>
      <c r="B151" s="360">
        <f>IF(TRIM('03. Dulieutaichinhlamsach_DD'!$G$2)="VND",'03. Dulieutaichinhlamsach_DD'!D166/10^6,'03. Dulieutaichinhlamsach_DD'!D166)</f>
        <v/>
      </c>
      <c r="C151" s="360">
        <f>IF(TRIM('03. Dulieutaichinhlamsach_DD'!$G$2)="VND",'03. Dulieutaichinhlamsach_DD'!E166/10^6,'03. Dulieutaichinhlamsach_DD'!E166)</f>
        <v/>
      </c>
      <c r="D151" s="360">
        <f>IF(TRIM('03. Dulieutaichinhlamsach_DD'!$G$2)="VND",'03. Dulieutaichinhlamsach_DD'!F166/10^6,'03. Dulieutaichinhlamsach_DD'!F166)</f>
        <v/>
      </c>
      <c r="E151" s="520" t="n"/>
      <c r="F151" s="362">
        <f>IF(C151&lt;&gt;0,(D151-C151)/C151,"")</f>
        <v/>
      </c>
      <c r="G151" s="360">
        <f>IF(TRIM('03. Dulieutaichinhlamsach_DD'!$G$2)="VND",'03. Dulieutaichinhlamsach_DD'!G166/10^6,'03. Dulieutaichinhlamsach_DD'!G166)</f>
        <v/>
      </c>
      <c r="H151" s="348" t="n"/>
      <c r="I151" s="364">
        <f>IF(TRIM('03. Dulieutaichinhlamsach_DD'!$G$2)="VND",'03. Dulieutaichinhlamsach_DD'!H166/10^6,'03. Dulieutaichinhlamsach_DD'!H166)</f>
        <v/>
      </c>
      <c r="J151" s="365" t="n"/>
    </row>
    <row r="152">
      <c r="A152" s="92" t="inlineStr">
        <is>
          <t>Lợi nhuận sau thuế TNDN</t>
        </is>
      </c>
      <c r="B152" s="360">
        <f>IF(TRIM('03. Dulieutaichinhlamsach_DD'!$G$2)="VND",'03. Dulieutaichinhlamsach_DD'!D167/10^6,'03. Dulieutaichinhlamsach_DD'!D167)</f>
        <v/>
      </c>
      <c r="C152" s="360">
        <f>IF(C149="","",IF(TRIM('03. Dulieutaichinhlamsach_DD'!$G$2)="VND",'03. Dulieutaichinhlamsach_DD'!E167/10^6,'03. Dulieutaichinhlamsach_DD'!E167))</f>
        <v/>
      </c>
      <c r="D152" s="360">
        <f>IF(TRIM('03. Dulieutaichinhlamsach_DD'!$G$2)="VND",'03. Dulieutaichinhlamsach_DD'!F167/10^6,'03. Dulieutaichinhlamsach_DD'!F167)</f>
        <v/>
      </c>
      <c r="E152" s="520" t="n"/>
      <c r="F152" s="362">
        <f>IF(C152="","",IF(C152&lt;&gt;0,(D152-C152)/C152,""))</f>
        <v/>
      </c>
      <c r="G152" s="360">
        <f>IF(TRIM('03. Dulieutaichinhlamsach_DD'!$G$2)="VND",'03. Dulieutaichinhlamsach_DD'!G167/10^6,'03. Dulieutaichinhlamsach_DD'!G167)</f>
        <v/>
      </c>
      <c r="H152" s="348" t="n"/>
      <c r="I152" s="364">
        <f>IF(TRIM('03. Dulieutaichinhlamsach_DD'!$G$2)="VND",'03. Dulieutaichinhlamsach_DD'!H167/10^6,'03. Dulieutaichinhlamsach_DD'!H167)</f>
        <v/>
      </c>
      <c r="J152" s="340" t="n"/>
    </row>
    <row r="153" ht="15.75" customHeight="1" s="782" thickBot="1">
      <c r="A153" s="96" t="inlineStr">
        <is>
          <t>Lãi cơ bản trên cổ phiếu</t>
        </is>
      </c>
      <c r="B153" s="355">
        <f>IF(TRIM('03. Dulieutaichinhlamsach_DD'!$G$2)="VND",'03. Dulieutaichinhlamsach_DD'!D168/10^6,'03. Dulieutaichinhlamsach_DD'!D168)</f>
        <v/>
      </c>
      <c r="C153" s="355">
        <f>IF(TRIM('03. Dulieutaichinhlamsach_DD'!$G$2)="VND",'03. Dulieutaichinhlamsach_DD'!E168/10^6,'03. Dulieutaichinhlamsach_DD'!E168)</f>
        <v/>
      </c>
      <c r="D153" s="355">
        <f>IF(TRIM('03. Dulieutaichinhlamsach_DD'!$G$2)="VND",'03. Dulieutaichinhlamsach_DD'!F168/10^6,'03. Dulieutaichinhlamsach_DD'!F168)</f>
        <v/>
      </c>
      <c r="E153" s="356" t="n"/>
      <c r="F153" s="357">
        <f>IF(C153&lt;&gt;0,(D153-C153)/C153,"")</f>
        <v/>
      </c>
      <c r="G153" s="355">
        <f>IF(TRIM('03. Dulieutaichinhlamsach_DD'!$G$2)="VND",'03. Dulieutaichinhlamsach_DD'!G168/10^6,'03. Dulieutaichinhlamsach_DD'!G168)</f>
        <v/>
      </c>
      <c r="H153" s="358" t="n"/>
      <c r="I153" s="367">
        <f>IF(TRIM('03. Dulieutaichinhlamsach_DD'!$G$2)="VND",'03. Dulieutaichinhlamsach_DD'!H168/10^6,'03. Dulieutaichinhlamsach_DD'!H168)</f>
        <v/>
      </c>
      <c r="J153" s="359" t="n"/>
    </row>
    <row r="154" ht="15.75" customHeight="1" s="782" thickTop="1">
      <c r="A154" s="393" t="n"/>
      <c r="B154" s="393" t="n"/>
      <c r="C154" s="393" t="n"/>
      <c r="D154" s="393" t="n"/>
      <c r="E154" s="393" t="n"/>
      <c r="F154" s="393" t="n"/>
      <c r="G154" s="393" t="n"/>
      <c r="H154" s="393" t="n"/>
      <c r="I154" s="393" t="n"/>
      <c r="J154" s="268" t="n"/>
    </row>
    <row r="155" ht="30.75" customHeight="1" s="782" thickBot="1">
      <c r="A155" s="97" t="inlineStr">
        <is>
          <t>THÔNG TIN CƠ BẢN phục vụ thông tin trang 1 tờ trình</t>
        </is>
      </c>
      <c r="B155" s="98" t="n"/>
      <c r="C155" s="98" t="n"/>
      <c r="D155" s="98" t="n"/>
      <c r="E155" s="374" t="n"/>
      <c r="F155" s="374" t="n"/>
      <c r="G155" s="849" t="inlineStr">
        <is>
          <t>NHẬP ĐIỀU CHỈNH!
(NẾU CÓ)</t>
        </is>
      </c>
      <c r="I155" s="850" t="inlineStr">
        <is>
          <t>CÁC CHỈ SỐ TÀI CHÍNH ĐIỀU CHỈNH CHO CSC 
(NĂM GẦN NHẤT)</t>
        </is>
      </c>
      <c r="J155" s="899" t="n"/>
    </row>
    <row r="156" ht="15.75" customHeight="1" s="782" thickBot="1">
      <c r="A156" s="100" t="n"/>
      <c r="B156" s="101" t="n"/>
      <c r="C156" s="101" t="n"/>
      <c r="D156" s="101" t="n"/>
      <c r="E156" s="393" t="n"/>
      <c r="F156" s="393" t="n"/>
      <c r="G156" s="86" t="n"/>
      <c r="H156" s="86" t="n"/>
      <c r="I156" s="900" t="inlineStr">
        <is>
          <t>Các tham số điều chỉnh (chỉ nhập theo đơn vị Triệu đồng)</t>
        </is>
      </c>
      <c r="J156" s="901" t="n"/>
    </row>
    <row r="157" ht="28.5" customHeight="1" s="782">
      <c r="A157" s="902" t="n"/>
      <c r="B157" s="903">
        <f>B7</f>
        <v/>
      </c>
      <c r="C157" s="903">
        <f>C7</f>
        <v/>
      </c>
      <c r="D157" s="903">
        <f>D7</f>
        <v/>
      </c>
      <c r="E157" s="904">
        <f>G7</f>
        <v/>
      </c>
      <c r="F157" s="905">
        <f>I7</f>
        <v/>
      </c>
      <c r="G157" s="86" t="n"/>
      <c r="H157" s="86" t="n"/>
      <c r="I157" s="103" t="inlineStr">
        <is>
          <t>Nợ phải trả</t>
        </is>
      </c>
      <c r="J157" s="910">
        <f>$D$82</f>
        <v/>
      </c>
      <c r="K157" s="771" t="inlineStr">
        <is>
          <t>Nợ phải trả</t>
        </is>
      </c>
    </row>
    <row r="158">
      <c r="A158" s="907" t="n"/>
      <c r="B158" s="908" t="n"/>
      <c r="C158" s="908" t="n"/>
      <c r="D158" s="908" t="n"/>
      <c r="E158" s="908" t="n"/>
      <c r="F158" s="909" t="n"/>
      <c r="G158" s="86" t="n"/>
      <c r="H158" s="86" t="n"/>
      <c r="I158" s="103" t="inlineStr">
        <is>
          <t>Nợ ngắn hạn</t>
        </is>
      </c>
      <c r="J158" s="910">
        <f>$D$83</f>
        <v/>
      </c>
      <c r="K158" s="295" t="inlineStr">
        <is>
          <t>Nợ ngắn hạn</t>
        </is>
      </c>
    </row>
    <row r="159">
      <c r="A159" s="104" t="inlineStr">
        <is>
          <t>Tổng Doanh thu</t>
        </is>
      </c>
      <c r="B159" s="105">
        <f>B128</f>
        <v/>
      </c>
      <c r="C159" s="105">
        <f>C128</f>
        <v/>
      </c>
      <c r="D159" s="105">
        <f>D128</f>
        <v/>
      </c>
      <c r="E159" s="105">
        <f>G128</f>
        <v/>
      </c>
      <c r="F159" s="106">
        <f>I128</f>
        <v/>
      </c>
      <c r="G159" s="86" t="n"/>
      <c r="H159" s="86" t="n"/>
      <c r="I159" s="103" t="inlineStr">
        <is>
          <t xml:space="preserve">Nợ vay ngắn hạn </t>
        </is>
      </c>
      <c r="J159" s="910">
        <f>$D$84</f>
        <v/>
      </c>
      <c r="K159" s="295" t="inlineStr">
        <is>
          <t>Nợ vay ngắn hạn (điều chỉnh)</t>
        </is>
      </c>
    </row>
    <row r="160">
      <c r="A160" s="104" t="inlineStr">
        <is>
          <t>Tổng tài sản</t>
        </is>
      </c>
      <c r="B160" s="105">
        <f>B9</f>
        <v/>
      </c>
      <c r="C160" s="105">
        <f>C9</f>
        <v/>
      </c>
      <c r="D160" s="105">
        <f>D9</f>
        <v/>
      </c>
      <c r="E160" s="105">
        <f>G9</f>
        <v/>
      </c>
      <c r="F160" s="106">
        <f>I9</f>
        <v/>
      </c>
      <c r="G160" s="86" t="n"/>
      <c r="H160" s="86" t="n"/>
      <c r="I160" s="103" t="inlineStr">
        <is>
          <t>Vốn chủ sở hữu</t>
        </is>
      </c>
      <c r="J160" s="910">
        <f>$D$110</f>
        <v/>
      </c>
      <c r="K160" s="295" t="inlineStr">
        <is>
          <t>Vốn CSH (điều chỉnh)</t>
        </is>
      </c>
    </row>
    <row r="161">
      <c r="A161" s="104" t="inlineStr">
        <is>
          <t>Vốn CSH</t>
        </is>
      </c>
      <c r="B161" s="105">
        <f>B110</f>
        <v/>
      </c>
      <c r="C161" s="105">
        <f>C110</f>
        <v/>
      </c>
      <c r="D161" s="105">
        <f>D110</f>
        <v/>
      </c>
      <c r="E161" s="105">
        <f>G110</f>
        <v/>
      </c>
      <c r="F161" s="106">
        <f>I110</f>
        <v/>
      </c>
      <c r="G161" s="86" t="n"/>
      <c r="H161" s="86" t="n"/>
      <c r="I161" s="103" t="inlineStr">
        <is>
          <t>Lợi nhuận sản xuất kinh doanh</t>
        </is>
      </c>
      <c r="J161" s="910">
        <f>$E$218</f>
        <v/>
      </c>
      <c r="K161" s="295" t="inlineStr">
        <is>
          <t>Lợi nhuận sản xuất kinh doanh</t>
        </is>
      </c>
    </row>
    <row r="162">
      <c r="A162" s="104" t="inlineStr">
        <is>
          <t>Lợi nhuận sau thuế</t>
        </is>
      </c>
      <c r="B162" s="105">
        <f>B152</f>
        <v/>
      </c>
      <c r="C162" s="105">
        <f>C152</f>
        <v/>
      </c>
      <c r="D162" s="105">
        <f>D152</f>
        <v/>
      </c>
      <c r="E162" s="105">
        <f>G152</f>
        <v/>
      </c>
      <c r="F162" s="106">
        <f>I152</f>
        <v/>
      </c>
      <c r="G162" s="86" t="n"/>
      <c r="H162" s="86" t="n"/>
      <c r="I162" s="103" t="inlineStr">
        <is>
          <t>Lợi nhuận sau thuế</t>
        </is>
      </c>
      <c r="J162" s="910">
        <f>$D$152</f>
        <v/>
      </c>
      <c r="K162" s="295" t="inlineStr">
        <is>
          <t>Lợi nhuận sau thuế</t>
        </is>
      </c>
    </row>
    <row r="163">
      <c r="A163" s="107" t="inlineStr">
        <is>
          <t>Tổng vay và nợ ngắn + dài hạn</t>
        </is>
      </c>
      <c r="B163" s="108">
        <f>B84+B102</f>
        <v/>
      </c>
      <c r="C163" s="108">
        <f>C84+C102</f>
        <v/>
      </c>
      <c r="D163" s="108">
        <f>D84+D102</f>
        <v/>
      </c>
      <c r="E163" s="108">
        <f>G84+G102</f>
        <v/>
      </c>
      <c r="F163" s="109">
        <f>I84+I102</f>
        <v/>
      </c>
      <c r="G163" s="86" t="n"/>
      <c r="H163" s="86" t="n"/>
      <c r="I163" s="103" t="inlineStr">
        <is>
          <t>Phải thu ngắn hạn khách hàng</t>
        </is>
      </c>
      <c r="J163" s="910">
        <f>$D$23</f>
        <v/>
      </c>
      <c r="K163" s="295" t="inlineStr">
        <is>
          <t>Phải thu ngắn hạn khách hàng</t>
        </is>
      </c>
    </row>
    <row r="164" ht="15" customHeight="1" s="782">
      <c r="A164" s="107" t="inlineStr">
        <is>
          <t>Hệ số đòn bẩy (lần)</t>
        </is>
      </c>
      <c r="B164" s="111">
        <f>$C$214</f>
        <v/>
      </c>
      <c r="C164" s="111">
        <f>$D$214</f>
        <v/>
      </c>
      <c r="D164" s="111">
        <f>$E$214</f>
        <v/>
      </c>
      <c r="E164" s="111">
        <f>$H$214</f>
        <v/>
      </c>
      <c r="F164" s="112">
        <f>$I$215</f>
        <v/>
      </c>
      <c r="G164" s="113" t="n"/>
      <c r="I164" s="103" t="inlineStr">
        <is>
          <t>Tài sản ngắn hạn</t>
        </is>
      </c>
      <c r="J164" s="910">
        <f>$D$10</f>
        <v/>
      </c>
      <c r="K164" s="295" t="inlineStr">
        <is>
          <t>Tài sản ngắn hạn</t>
        </is>
      </c>
    </row>
    <row r="165">
      <c r="A165" s="772" t="inlineStr">
        <is>
          <t xml:space="preserve">    Operating Profit</t>
        </is>
      </c>
      <c r="B165" s="911">
        <f>B$134-B$135-B$141-B$143</f>
        <v/>
      </c>
      <c r="C165" s="911">
        <f>IF(C134="","",C$134-C$135-C$141-C$143)</f>
        <v/>
      </c>
      <c r="D165" s="911">
        <f>D$134-D$135-D$141-D$143</f>
        <v/>
      </c>
      <c r="E165" s="911">
        <f>G$134-G$135-G$141-G$143</f>
        <v/>
      </c>
      <c r="F165" s="912">
        <f>I$134-I$135-I$141-I$143</f>
        <v/>
      </c>
      <c r="G165" s="113" t="n"/>
      <c r="I165" s="103" t="inlineStr">
        <is>
          <t>Tổng tài sản</t>
        </is>
      </c>
      <c r="J165" s="910">
        <f>$D$9</f>
        <v/>
      </c>
      <c r="K165" s="295" t="inlineStr">
        <is>
          <t>Tổng tài sản</t>
        </is>
      </c>
    </row>
    <row r="166" ht="15" customHeight="1" s="782" thickBot="1">
      <c r="A166" s="773" t="inlineStr">
        <is>
          <t xml:space="preserve">    Operating Profit Margin</t>
        </is>
      </c>
      <c r="B166" s="117">
        <f>B$165/B$134</f>
        <v/>
      </c>
      <c r="C166" s="117">
        <f>IF(C134="","",C$165/C$134)</f>
        <v/>
      </c>
      <c r="D166" s="117">
        <f>D$165/D$134</f>
        <v/>
      </c>
      <c r="E166" s="117">
        <f>E$165/G$134</f>
        <v/>
      </c>
      <c r="F166" s="118">
        <f>F$165/I$134</f>
        <v/>
      </c>
      <c r="G166" s="86" t="n"/>
      <c r="I166" s="409" t="inlineStr">
        <is>
          <t>Chi phí lãi vay</t>
        </is>
      </c>
      <c r="J166" s="929">
        <f>D140</f>
        <v/>
      </c>
      <c r="K166" s="719" t="inlineStr">
        <is>
          <t>Chi phí lãi vay</t>
        </is>
      </c>
    </row>
    <row r="167" ht="15" customHeight="1" s="782">
      <c r="A167" s="773" t="inlineStr">
        <is>
          <t xml:space="preserve">    DSCR</t>
        </is>
      </c>
      <c r="B167" s="119">
        <f>($B$329+$B$330)/($B$331+$B$332)</f>
        <v/>
      </c>
      <c r="C167" s="119">
        <f>IF(C329="","",($C$329+$C$330)/($C$331+$C$332))</f>
        <v/>
      </c>
      <c r="D167" s="117">
        <f>($D$329+$D$330)/($D$331+$D$332)</f>
        <v/>
      </c>
      <c r="E167" s="117">
        <f>($E$329+$E$330)/($E$331+$E$332)</f>
        <v/>
      </c>
      <c r="F167" s="118">
        <f>($F$329+$F$330)/($F$331+$F$332)</f>
        <v/>
      </c>
      <c r="G167" s="86" t="n"/>
      <c r="I167" s="102" t="inlineStr">
        <is>
          <t>Các tiêu chí điều chỉnh</t>
        </is>
      </c>
      <c r="J167" s="102" t="n"/>
    </row>
    <row r="168" ht="15" customHeight="1" s="782">
      <c r="A168" s="116" t="inlineStr">
        <is>
          <t>KNTT hiện hành  (lần)</t>
        </is>
      </c>
      <c r="B168" s="117">
        <f>'03. Dulieutaichinhlamsach_DD'!D174</f>
        <v/>
      </c>
      <c r="C168" s="117">
        <f>'03. Dulieutaichinhlamsach_DD'!E174</f>
        <v/>
      </c>
      <c r="D168" s="117">
        <f>'03. Dulieutaichinhlamsach_DD'!F174</f>
        <v/>
      </c>
      <c r="E168" s="117">
        <f>'03. Dulieutaichinhlamsach_DD'!G174</f>
        <v/>
      </c>
      <c r="F168" s="118">
        <f>'03. Dulieutaichinhlamsach_DD'!H174</f>
        <v/>
      </c>
      <c r="G168" s="86" t="n"/>
      <c r="I168" s="110" t="inlineStr">
        <is>
          <t xml:space="preserve">Khả năng thanh toán hiện hành </t>
        </is>
      </c>
      <c r="J168" s="411">
        <f>IF($J$158=0,-99999,$J$164/$J$158)</f>
        <v/>
      </c>
      <c r="K168" s="295" t="inlineStr">
        <is>
          <t xml:space="preserve">Khả năng thanh toán hiện hành </t>
        </is>
      </c>
    </row>
    <row r="169" ht="15.75" customHeight="1" s="782" thickBot="1">
      <c r="A169" s="120" t="inlineStr">
        <is>
          <t>Vòng quay VLĐ (vòng)</t>
        </is>
      </c>
      <c r="B169" s="121" t="n"/>
      <c r="C169" s="121">
        <f>'03. Dulieutaichinhlamsach_DD'!E178</f>
        <v/>
      </c>
      <c r="D169" s="121">
        <f>'03. Dulieutaichinhlamsach_DD'!F178</f>
        <v/>
      </c>
      <c r="E169" s="121">
        <f>'03. Dulieutaichinhlamsach_DD'!G178</f>
        <v/>
      </c>
      <c r="F169" s="122">
        <f>'03. Dulieutaichinhlamsach_DD'!H178</f>
        <v/>
      </c>
      <c r="G169" s="123" t="n"/>
      <c r="I169" s="110" t="inlineStr">
        <is>
          <t>Khả năng thanh toán tức thời</t>
        </is>
      </c>
      <c r="J169" s="411">
        <f>IF($J$158=0,-99999,($D$11+$D$17)/$J$158)</f>
        <v/>
      </c>
      <c r="K169" s="295" t="inlineStr">
        <is>
          <t>Khả năng thanh toán tức thời</t>
        </is>
      </c>
    </row>
    <row r="170">
      <c r="B170" s="125" t="n"/>
      <c r="C170" s="126" t="n"/>
      <c r="D170" s="914" t="n"/>
      <c r="E170" s="128" t="n"/>
      <c r="F170" s="830" t="n"/>
      <c r="I170" s="110" t="inlineStr">
        <is>
          <t>Khả năng thực hiện nghĩa vụ trả nợ ngắn hạn</t>
        </is>
      </c>
      <c r="J170" s="411">
        <f>IF(($D$84+$D$86)=0,-99999,($D$11+$J$163+$D$29)/($D$84+$D$86))</f>
        <v/>
      </c>
      <c r="K170" s="295" t="inlineStr">
        <is>
          <t>Khả năng thực hiện nghĩa vụ trả nợ ngắn hạn</t>
        </is>
      </c>
    </row>
    <row r="171">
      <c r="A171" s="100" t="n"/>
      <c r="B171" s="125" t="n"/>
      <c r="C171" s="126" t="n"/>
      <c r="D171" s="914" t="n"/>
      <c r="E171" s="128" t="n"/>
      <c r="F171" s="830" t="n"/>
      <c r="G171" s="830" t="n"/>
      <c r="I171" s="386" t="inlineStr">
        <is>
          <t>Tiền và tương đương tiền/Tổng tài sản</t>
        </is>
      </c>
      <c r="J171" s="412">
        <f>IF($J$165=0,-99999,$D$11/$J$165)</f>
        <v/>
      </c>
      <c r="K171" s="295" t="inlineStr">
        <is>
          <t>Tiền và tương đương tiền/Tổng tài sản</t>
        </is>
      </c>
    </row>
    <row r="172">
      <c r="A172" s="100" t="n"/>
      <c r="B172" s="125" t="n"/>
      <c r="C172" s="126" t="n"/>
      <c r="D172" s="914" t="n"/>
      <c r="E172" s="128" t="n"/>
      <c r="F172" s="830" t="n"/>
      <c r="G172" s="830" t="n"/>
      <c r="I172" s="386" t="inlineStr">
        <is>
          <t>Phải thu khác/Tài sản ngắn hạn</t>
        </is>
      </c>
      <c r="J172" s="412">
        <f>IF($J$164=0,-99999,($D$27+$D$52)/$J$164)</f>
        <v/>
      </c>
      <c r="K172" s="295" t="inlineStr">
        <is>
          <t>Phải thu khác/Tài sản ngắn hạn</t>
        </is>
      </c>
    </row>
    <row r="173">
      <c r="A173" s="100" t="n"/>
      <c r="B173" s="125" t="n"/>
      <c r="C173" s="126" t="n"/>
      <c r="D173" s="914" t="n"/>
      <c r="E173" s="128" t="n"/>
      <c r="F173" s="830" t="n"/>
      <c r="G173" s="830" t="n"/>
      <c r="I173" s="110" t="inlineStr">
        <is>
          <t>Tổng nợ/Tổng tài sản</t>
        </is>
      </c>
      <c r="J173" s="412">
        <f>IF($J$165=0,-99999,$J$157/$J$165)</f>
        <v/>
      </c>
      <c r="K173" s="295" t="inlineStr">
        <is>
          <t>Tổng nợ/Tổng tài sản</t>
        </is>
      </c>
    </row>
    <row r="174" ht="15" customHeight="1" s="782">
      <c r="A174" s="100" t="n"/>
      <c r="B174" s="125" t="n"/>
      <c r="C174" s="126" t="n"/>
      <c r="D174" s="914" t="n"/>
      <c r="E174" s="128" t="n"/>
      <c r="F174" s="830" t="n"/>
      <c r="G174" s="830" t="n"/>
      <c r="I174" s="110" t="inlineStr">
        <is>
          <t>Tổng nợ/Vốn chủ sở hữu</t>
        </is>
      </c>
      <c r="J174" s="412">
        <f>IF($J$160=0,-99999,$J$157/$J$160)</f>
        <v/>
      </c>
      <c r="K174" s="295" t="inlineStr">
        <is>
          <t>Tổng nợ/Vốn chủ sở hữu</t>
        </is>
      </c>
    </row>
    <row r="175">
      <c r="A175" s="100" t="n"/>
      <c r="B175" s="125" t="n"/>
      <c r="C175" s="126" t="n"/>
      <c r="D175" s="914" t="n"/>
      <c r="E175" s="128" t="n"/>
      <c r="F175" s="830" t="n"/>
      <c r="G175" s="830" t="n"/>
      <c r="I175" s="110" t="inlineStr">
        <is>
          <t>Lợi nhuận sau thuế/Tổng tài sản</t>
        </is>
      </c>
      <c r="J175" s="412">
        <f>IF($J$165=0,-99999,$J$162/$J$165)</f>
        <v/>
      </c>
      <c r="K175" s="295" t="inlineStr">
        <is>
          <t>Lợi nhuận sau thuế/Tổng tài sản</t>
        </is>
      </c>
    </row>
    <row r="176">
      <c r="A176" s="100" t="n"/>
      <c r="B176" s="125" t="n"/>
      <c r="C176" s="126" t="n"/>
      <c r="D176" s="914" t="n"/>
      <c r="E176" s="128" t="n"/>
      <c r="F176" s="830" t="n"/>
      <c r="G176" s="830" t="n"/>
      <c r="I176" s="110" t="inlineStr">
        <is>
          <t>Doanh thu thuần/Nợ vay ngắn hạn</t>
        </is>
      </c>
      <c r="J176" s="412">
        <f>IF($J$159=0,-99999,$D$134/$J$159)</f>
        <v/>
      </c>
      <c r="K176" s="295" t="inlineStr">
        <is>
          <t>Doanh thu thuần/Nợ vay ngắn hạn</t>
        </is>
      </c>
    </row>
    <row r="177">
      <c r="A177" s="100" t="n"/>
      <c r="B177" s="125" t="n"/>
      <c r="C177" s="126" t="n"/>
      <c r="D177" s="914" t="n"/>
      <c r="E177" s="128" t="n"/>
      <c r="F177" s="830" t="n"/>
      <c r="G177" s="830" t="n"/>
      <c r="I177" s="386" t="inlineStr">
        <is>
          <t>Doanh thu thuần/Tổng tài sản</t>
        </is>
      </c>
      <c r="J177" s="412">
        <f>IF($J$165=0,-99999,$D$134/$J$165)</f>
        <v/>
      </c>
      <c r="K177" s="295" t="inlineStr">
        <is>
          <t>Doanh thu thuần/Tổng tài sản</t>
        </is>
      </c>
    </row>
    <row r="178">
      <c r="A178" s="100" t="n"/>
      <c r="B178" s="125" t="n"/>
      <c r="C178" s="126" t="n"/>
      <c r="D178" s="914" t="n"/>
      <c r="E178" s="128" t="n"/>
      <c r="F178" s="830" t="n"/>
      <c r="G178" s="830" t="n"/>
      <c r="I178" s="110" t="inlineStr">
        <is>
          <t>Doanh thu thuần/Tổng nợ</t>
        </is>
      </c>
      <c r="J178" s="412">
        <f>IF($J$157=0,-99999,$D$134/$J$157)</f>
        <v/>
      </c>
      <c r="K178" s="295" t="inlineStr">
        <is>
          <t>Doanh thu thuần/Tổng nợ</t>
        </is>
      </c>
    </row>
    <row r="179">
      <c r="A179" s="100" t="n"/>
      <c r="B179" s="125" t="n"/>
      <c r="C179" s="126" t="n"/>
      <c r="D179" s="914" t="n"/>
      <c r="E179" s="128" t="n"/>
      <c r="F179" s="830" t="n"/>
      <c r="G179" s="830" t="n"/>
      <c r="I179" s="410" t="inlineStr">
        <is>
          <t>Nhu cầu vốn 1 chu kì / Nợ vay ngắn hạn</t>
        </is>
      </c>
      <c r="J179" s="412">
        <f>IF(J159=0,-99999,H206/J159)</f>
        <v/>
      </c>
      <c r="K179" s="719" t="inlineStr">
        <is>
          <t>Nhu cầu vốn 1 chu kì / Nợ vay ngắn hạn</t>
        </is>
      </c>
    </row>
    <row r="180" ht="30" customHeight="1" s="782">
      <c r="A180" s="100" t="n"/>
      <c r="B180" s="125" t="n"/>
      <c r="C180" s="126" t="n"/>
      <c r="D180" s="914" t="n"/>
      <c r="E180" s="128" t="n"/>
      <c r="F180" s="830" t="n"/>
      <c r="G180" s="830" t="n"/>
      <c r="I180" s="410" t="inlineStr">
        <is>
          <t>(Phải thu ngắn hạn - Phải thu khách hàng ngắn hạn)/Tài sản ngắn hạn</t>
        </is>
      </c>
      <c r="J180" s="412">
        <f>IF(J164=0,-99999,(D22-J163)/J164)</f>
        <v/>
      </c>
      <c r="K180" s="719" t="inlineStr">
        <is>
          <t>(Phải thu ngắn hạn - Phải thu khách hàng ngắn hạn)/Tài sản ngắn hạn</t>
        </is>
      </c>
    </row>
    <row r="181" ht="30" customHeight="1" s="782">
      <c r="A181" s="100" t="n"/>
      <c r="B181" s="125" t="n"/>
      <c r="C181" s="126" t="n"/>
      <c r="D181" s="914" t="n"/>
      <c r="E181" s="128" t="n"/>
      <c r="F181" s="830" t="n"/>
      <c r="G181" s="830" t="n"/>
      <c r="I181" s="410" t="inlineStr">
        <is>
          <t>(Phải thu ngắn hạn khác + Phải thu dài hạn khác)/Tổng tài sản</t>
        </is>
      </c>
      <c r="J181" s="412">
        <f>IF(J165=0,-99999,(D27+D52)/J165)</f>
        <v/>
      </c>
      <c r="K181" s="719" t="inlineStr">
        <is>
          <t>(Phải thu ngắn hạn khác + Phải thu dài hạn khác)/Tổng tài sản</t>
        </is>
      </c>
    </row>
    <row r="182">
      <c r="A182" s="100" t="n"/>
      <c r="B182" s="125" t="n"/>
      <c r="C182" s="126" t="n"/>
      <c r="D182" s="914" t="n"/>
      <c r="E182" s="128" t="n"/>
      <c r="F182" s="830" t="n"/>
      <c r="G182" s="830" t="n"/>
      <c r="I182" s="410" t="inlineStr">
        <is>
          <t>Tỷ số lợi nhuận gộp trên tổng nợ</t>
        </is>
      </c>
      <c r="J182" s="412">
        <f>IF($J$157=0,-99999,D137/$J$157)</f>
        <v/>
      </c>
      <c r="K182" s="719" t="inlineStr">
        <is>
          <t>Tỷ số lợi nhuận gộp trên tổng nợ</t>
        </is>
      </c>
    </row>
    <row r="183">
      <c r="A183" s="100" t="n"/>
      <c r="B183" s="125" t="n"/>
      <c r="C183" s="126" t="n"/>
      <c r="D183" s="914" t="n"/>
      <c r="E183" s="128" t="n"/>
      <c r="F183" s="830" t="n"/>
      <c r="G183" s="830" t="n"/>
      <c r="I183" s="410" t="inlineStr">
        <is>
          <t>Lợi nhuận gộp/Chi phí lãi vay</t>
        </is>
      </c>
      <c r="J183" s="412">
        <f>IF(J166=0,-99999,D137/J166)</f>
        <v/>
      </c>
      <c r="K183" s="719" t="inlineStr">
        <is>
          <t>Lợi nhuận gộp/Chi phí lãi vay</t>
        </is>
      </c>
    </row>
    <row r="184">
      <c r="A184" s="100" t="n"/>
      <c r="B184" s="125" t="n"/>
      <c r="C184" s="126" t="n"/>
      <c r="D184" s="914" t="n"/>
      <c r="E184" s="128" t="n"/>
      <c r="F184" s="830" t="n"/>
      <c r="G184" s="830" t="n"/>
      <c r="I184" s="410" t="inlineStr">
        <is>
          <t>Tỷ số lợi nhuận sau thuế trên tổng nợ</t>
        </is>
      </c>
      <c r="J184" s="412">
        <f>IF($J$157=0,-99999,J162/$J$157)</f>
        <v/>
      </c>
      <c r="K184" s="719" t="inlineStr">
        <is>
          <t>Tỷ số lợi nhuận sau thuế trên tổng nợ</t>
        </is>
      </c>
    </row>
    <row r="185">
      <c r="A185" s="100" t="n"/>
      <c r="B185" s="125" t="n"/>
      <c r="C185" s="126" t="n"/>
      <c r="D185" s="914" t="n"/>
      <c r="E185" s="128" t="n"/>
      <c r="F185" s="830" t="n"/>
      <c r="G185" s="830" t="n"/>
      <c r="I185" s="410" t="inlineStr">
        <is>
          <t>EBIT/Tổng nguồn vốn</t>
        </is>
      </c>
      <c r="J185" s="412">
        <f>IF(D81=0,-99999,(J166+D149)/D81)</f>
        <v/>
      </c>
      <c r="K185" s="719" t="inlineStr">
        <is>
          <t>EBIT/Tổng nguồn vốn</t>
        </is>
      </c>
    </row>
    <row r="186" ht="30" customHeight="1" s="782">
      <c r="A186" s="100" t="n"/>
      <c r="B186" s="125" t="n"/>
      <c r="C186" s="126" t="n"/>
      <c r="D186" s="914" t="n"/>
      <c r="E186" s="128" t="n"/>
      <c r="F186" s="830" t="n"/>
      <c r="G186" s="830" t="n"/>
      <c r="I186" s="410" t="inlineStr">
        <is>
          <t>Tiền và tương đương tiền + phải thu ngắn hạn khách hàng + hàng tồn kho</t>
        </is>
      </c>
      <c r="J186" s="413">
        <f>D11+J163+D29</f>
        <v/>
      </c>
      <c r="K186" s="719" t="inlineStr">
        <is>
          <t>Tiền và tương đương tiền + phải thu ngắn hạn khách hàng + hàng tồn kho</t>
        </is>
      </c>
    </row>
    <row r="187" ht="30" customHeight="1" s="782">
      <c r="A187" s="100" t="n"/>
      <c r="B187" s="125" t="n"/>
      <c r="C187" s="126" t="n"/>
      <c r="D187" s="914" t="n"/>
      <c r="E187" s="128" t="n"/>
      <c r="F187" s="830" t="n"/>
      <c r="G187" s="830" t="n"/>
      <c r="I187" s="410" t="inlineStr">
        <is>
          <t>Phải trả người bán ngắn hạn + nợ vay ngắn hạn</t>
        </is>
      </c>
      <c r="J187" s="413">
        <f>D86+J159</f>
        <v/>
      </c>
      <c r="K187" s="719" t="inlineStr">
        <is>
          <t>Phải trả người bán ngắn hạn + nợ vay ngắn hạn</t>
        </is>
      </c>
    </row>
    <row r="188">
      <c r="A188" s="100" t="n"/>
      <c r="B188" s="125" t="n"/>
      <c r="C188" s="126" t="n"/>
      <c r="D188" s="914" t="n"/>
      <c r="E188" s="128" t="n"/>
      <c r="F188" s="830" t="n"/>
      <c r="G188" s="830" t="n"/>
      <c r="H188" s="393" t="n"/>
      <c r="I188" s="393" t="n"/>
      <c r="J188" s="393" t="n"/>
    </row>
    <row r="189" ht="13.5" customHeight="1" s="782">
      <c r="A189" s="124" t="inlineStr">
        <is>
          <t>KẾT QỦA CÁC CHỈ TIÊU PHÂN TÍCH TÀI CHÍNH</t>
        </is>
      </c>
      <c r="B189" s="125" t="n"/>
      <c r="C189" s="126" t="n"/>
      <c r="D189" s="914" t="n"/>
      <c r="E189" s="128" t="n"/>
      <c r="F189" s="830" t="n"/>
      <c r="G189" s="830" t="n"/>
      <c r="H189" s="393" t="n"/>
      <c r="I189" s="393" t="n"/>
      <c r="J189" s="393" t="n"/>
    </row>
    <row r="190" ht="15.75" customHeight="1" s="782" thickBot="1">
      <c r="A190" s="393" t="n"/>
      <c r="B190" s="393" t="n"/>
      <c r="C190" s="130" t="n"/>
      <c r="D190" s="393" t="n"/>
      <c r="E190" s="393" t="n"/>
      <c r="F190" s="831" t="n"/>
      <c r="H190" s="393" t="n"/>
      <c r="I190" s="393" t="n"/>
      <c r="J190" s="393" t="n"/>
    </row>
    <row r="191" ht="26.25" customHeight="1" s="782" thickTop="1">
      <c r="A191" s="131" t="inlineStr">
        <is>
          <t>Chỉ tiêu</t>
        </is>
      </c>
      <c r="B191" s="132" t="inlineStr">
        <is>
          <t>Đơn vị</t>
        </is>
      </c>
      <c r="C191" s="779">
        <f>B157</f>
        <v/>
      </c>
      <c r="D191" s="779">
        <f>C157</f>
        <v/>
      </c>
      <c r="E191" s="779">
        <f>D157</f>
        <v/>
      </c>
      <c r="F191" s="132">
        <f>"Tăng/giảm so "&amp;D191</f>
        <v/>
      </c>
      <c r="G191" s="132" t="inlineStr">
        <is>
          <t>So TB ngành</t>
        </is>
      </c>
      <c r="H191" s="134">
        <f>'03. Dulieutaichinhlamsach_DD'!G5</f>
        <v/>
      </c>
      <c r="I191" s="135">
        <f>'03. Dulieutaichinhlamsach_DD'!H5</f>
        <v/>
      </c>
      <c r="J191" s="393" t="n"/>
    </row>
    <row r="192" customFormat="1" s="395">
      <c r="A192" s="394" t="inlineStr">
        <is>
          <t>Chỉ tiêu thanh khoản</t>
        </is>
      </c>
      <c r="B192" s="136" t="n"/>
      <c r="C192" s="137" t="n"/>
      <c r="D192" s="930" t="n"/>
      <c r="E192" s="930" t="n"/>
      <c r="F192" s="930" t="n"/>
      <c r="G192" s="931" t="n"/>
      <c r="H192" s="140" t="n"/>
      <c r="J192" s="393" t="n"/>
    </row>
    <row r="193" customFormat="1" s="395">
      <c r="A193" s="396" t="inlineStr">
        <is>
          <t>1.Khả năng thanh toán hiện hành (lần)</t>
        </is>
      </c>
      <c r="B193" s="141" t="inlineStr">
        <is>
          <t>lần</t>
        </is>
      </c>
      <c r="C193" s="397">
        <f>'03. Dulieutaichinhlamsach_DD'!D174</f>
        <v/>
      </c>
      <c r="D193" s="397">
        <f>'03. Dulieutaichinhlamsach_DD'!E174</f>
        <v/>
      </c>
      <c r="E193" s="397">
        <f>'03. Dulieutaichinhlamsach_DD'!F174</f>
        <v/>
      </c>
      <c r="F193" s="142">
        <f>E193-D193</f>
        <v/>
      </c>
      <c r="G193" s="142">
        <f>'03. Dulieutaichinhlamsach_DD'!P174</f>
        <v/>
      </c>
      <c r="H193" s="397">
        <f>'03. Dulieutaichinhlamsach_DD'!G174</f>
        <v/>
      </c>
      <c r="I193" s="397">
        <f>'03. Dulieutaichinhlamsach_DD'!H174</f>
        <v/>
      </c>
      <c r="J193" s="838" t="n"/>
    </row>
    <row r="194" customFormat="1" s="395">
      <c r="A194" s="396" t="inlineStr">
        <is>
          <t>2. Khả năng thanh toán nhanh (lần)</t>
        </is>
      </c>
      <c r="B194" s="141" t="inlineStr">
        <is>
          <t>lần</t>
        </is>
      </c>
      <c r="C194" s="397">
        <f>'03. Dulieutaichinhlamsach_DD'!D175</f>
        <v/>
      </c>
      <c r="D194" s="397">
        <f>'03. Dulieutaichinhlamsach_DD'!E175</f>
        <v/>
      </c>
      <c r="E194" s="397">
        <f>'03. Dulieutaichinhlamsach_DD'!F175</f>
        <v/>
      </c>
      <c r="F194" s="142">
        <f>E194-D194</f>
        <v/>
      </c>
      <c r="G194" s="142">
        <f>'03. Dulieutaichinhlamsach_DD'!P175</f>
        <v/>
      </c>
      <c r="H194" s="397">
        <f>'03. Dulieutaichinhlamsach_DD'!G175</f>
        <v/>
      </c>
      <c r="I194" s="397">
        <f>'03. Dulieutaichinhlamsach_DD'!H175</f>
        <v/>
      </c>
    </row>
    <row r="195" customFormat="1" s="395">
      <c r="A195" s="396" t="inlineStr">
        <is>
          <t>3. Khả năng thanh toán tức thời (lần)</t>
        </is>
      </c>
      <c r="B195" s="141" t="inlineStr">
        <is>
          <t>lần</t>
        </is>
      </c>
      <c r="C195" s="397">
        <f>'03. Dulieutaichinhlamsach_DD'!D176</f>
        <v/>
      </c>
      <c r="D195" s="397">
        <f>'03. Dulieutaichinhlamsach_DD'!E176</f>
        <v/>
      </c>
      <c r="E195" s="397">
        <f>'03. Dulieutaichinhlamsach_DD'!F176</f>
        <v/>
      </c>
      <c r="F195" s="142">
        <f>E195-D195</f>
        <v/>
      </c>
      <c r="G195" s="142">
        <f>'03. Dulieutaichinhlamsach_DD'!P176</f>
        <v/>
      </c>
      <c r="H195" s="397">
        <f>'03. Dulieutaichinhlamsach_DD'!G176</f>
        <v/>
      </c>
      <c r="I195" s="397">
        <f>'03. Dulieutaichinhlamsach_DD'!H176</f>
        <v/>
      </c>
    </row>
    <row r="196" customFormat="1" s="395">
      <c r="A196" s="398" t="inlineStr">
        <is>
          <t>Chỉ tiêu hoạt động</t>
        </is>
      </c>
      <c r="B196" s="143" t="n"/>
      <c r="C196" s="390" t="n"/>
      <c r="D196" s="390" t="n"/>
      <c r="E196" s="390" t="n"/>
      <c r="F196" s="142" t="n"/>
      <c r="G196" s="142" t="n"/>
      <c r="H196" s="391" t="n"/>
      <c r="I196" s="391" t="n"/>
      <c r="J196" s="393" t="n"/>
    </row>
    <row r="197" customFormat="1" s="395">
      <c r="A197" s="396" t="inlineStr">
        <is>
          <t>4. Vòng quay vốn lưu động (vòng)</t>
        </is>
      </c>
      <c r="B197" s="141" t="inlineStr">
        <is>
          <t>vòng</t>
        </is>
      </c>
      <c r="C197" s="397">
        <f>'03. Dulieutaichinhlamsach_DD'!D178</f>
        <v/>
      </c>
      <c r="D197" s="390">
        <f>'03. Dulieutaichinhlamsach_DD'!E178</f>
        <v/>
      </c>
      <c r="E197" s="397">
        <f>'03. Dulieutaichinhlamsach_DD'!F178</f>
        <v/>
      </c>
      <c r="F197" s="142">
        <f>E197-D197</f>
        <v/>
      </c>
      <c r="G197" s="142">
        <f>'03. Dulieutaichinhlamsach_DD'!P178</f>
        <v/>
      </c>
      <c r="H197" s="397">
        <f>'03. Dulieutaichinhlamsach_DD'!G178</f>
        <v/>
      </c>
      <c r="I197" s="397">
        <f>'03. Dulieutaichinhlamsach_DD'!H178</f>
        <v/>
      </c>
      <c r="J197" s="838" t="n"/>
    </row>
    <row r="198" customFormat="1" s="395">
      <c r="A198" s="396" t="inlineStr">
        <is>
          <t>5. Vòng quay hàng tồn kho (vòng)</t>
        </is>
      </c>
      <c r="B198" s="141" t="inlineStr">
        <is>
          <t>vòng</t>
        </is>
      </c>
      <c r="C198" s="397">
        <f>'03. Dulieutaichinhlamsach_DD'!D179</f>
        <v/>
      </c>
      <c r="D198" s="397">
        <f>'03. Dulieutaichinhlamsach_DD'!E179</f>
        <v/>
      </c>
      <c r="E198" s="397">
        <f>'03. Dulieutaichinhlamsach_DD'!F179</f>
        <v/>
      </c>
      <c r="F198" s="142">
        <f>E198-D198</f>
        <v/>
      </c>
      <c r="G198" s="142">
        <f>'03. Dulieutaichinhlamsach_DD'!P179</f>
        <v/>
      </c>
      <c r="H198" s="397">
        <f>'03. Dulieutaichinhlamsach_DD'!G179</f>
        <v/>
      </c>
      <c r="I198" s="397">
        <f>'03. Dulieutaichinhlamsach_DD'!H179</f>
        <v/>
      </c>
    </row>
    <row r="199" customFormat="1" s="395">
      <c r="A199" s="396" t="inlineStr">
        <is>
          <t>6. Vòng quay các khoản phải thu (vòng)</t>
        </is>
      </c>
      <c r="B199" s="141" t="inlineStr">
        <is>
          <t>vòng</t>
        </is>
      </c>
      <c r="C199" s="397">
        <f>'03. Dulieutaichinhlamsach_DD'!D180</f>
        <v/>
      </c>
      <c r="D199" s="390">
        <f>'03. Dulieutaichinhlamsach_DD'!E180</f>
        <v/>
      </c>
      <c r="E199" s="397">
        <f>'03. Dulieutaichinhlamsach_DD'!F180</f>
        <v/>
      </c>
      <c r="F199" s="142">
        <f>E199-D199</f>
        <v/>
      </c>
      <c r="G199" s="142">
        <f>'03. Dulieutaichinhlamsach_DD'!P180</f>
        <v/>
      </c>
      <c r="H199" s="397">
        <f>'03. Dulieutaichinhlamsach_DD'!G180</f>
        <v/>
      </c>
      <c r="I199" s="397">
        <f>'03. Dulieutaichinhlamsach_DD'!H180</f>
        <v/>
      </c>
    </row>
    <row r="200" customFormat="1" s="395">
      <c r="A200" s="396" t="inlineStr">
        <is>
          <t>7. Vòng quay khoản phải trả (Payables Turnover)</t>
        </is>
      </c>
      <c r="B200" s="141" t="inlineStr">
        <is>
          <t>vòng</t>
        </is>
      </c>
      <c r="C200" s="397">
        <f>'03. Dulieutaichinhlamsach_DD'!D181</f>
        <v/>
      </c>
      <c r="D200" s="397">
        <f>'03. Dulieutaichinhlamsach_DD'!E181</f>
        <v/>
      </c>
      <c r="E200" s="397">
        <f>'03. Dulieutaichinhlamsach_DD'!F181</f>
        <v/>
      </c>
      <c r="F200" s="142">
        <f>E200-D200</f>
        <v/>
      </c>
      <c r="G200" s="142" t="n"/>
      <c r="H200" s="397">
        <f>'03. Dulieutaichinhlamsach_DD'!G181</f>
        <v/>
      </c>
      <c r="I200" s="397">
        <f>'03. Dulieutaichinhlamsach_DD'!H181</f>
        <v/>
      </c>
      <c r="J200" s="393" t="n"/>
    </row>
    <row r="201" customFormat="1" s="395">
      <c r="A201" s="396" t="inlineStr">
        <is>
          <t>8. Hiệu suất sử dụng TSCĐ (lần)</t>
        </is>
      </c>
      <c r="B201" s="141" t="inlineStr">
        <is>
          <t>lần</t>
        </is>
      </c>
      <c r="C201" s="397">
        <f>'03. Dulieutaichinhlamsach_DD'!D182</f>
        <v/>
      </c>
      <c r="D201" s="390">
        <f>'03. Dulieutaichinhlamsach_DD'!E182</f>
        <v/>
      </c>
      <c r="E201" s="780">
        <f>'03. Dulieutaichinhlamsach_DD'!F182</f>
        <v/>
      </c>
      <c r="F201" s="142">
        <f>E201-D201</f>
        <v/>
      </c>
      <c r="G201" s="142">
        <f>'03. Dulieutaichinhlamsach_DD'!P182</f>
        <v/>
      </c>
      <c r="H201" s="397">
        <f>'03. Dulieutaichinhlamsach_DD'!G182</f>
        <v/>
      </c>
      <c r="I201" s="397">
        <f>'03. Dulieutaichinhlamsach_DD'!H182</f>
        <v/>
      </c>
      <c r="J201" s="393" t="n"/>
    </row>
    <row r="202" customFormat="1" s="395">
      <c r="A202" s="396" t="inlineStr">
        <is>
          <t>9. Vòng quay kinh doanh</t>
        </is>
      </c>
      <c r="B202" s="141" t="inlineStr">
        <is>
          <t>vòng</t>
        </is>
      </c>
      <c r="C202" s="397">
        <f>'03. Dulieutaichinhlamsach_DD'!D183</f>
        <v/>
      </c>
      <c r="D202" s="397">
        <f>'03. Dulieutaichinhlamsach_DD'!E183</f>
        <v/>
      </c>
      <c r="E202" s="397">
        <f>'03. Dulieutaichinhlamsach_DD'!F183</f>
        <v/>
      </c>
      <c r="F202" s="142">
        <f>E202-D202</f>
        <v/>
      </c>
      <c r="G202" s="142" t="n"/>
      <c r="H202" s="397">
        <f>'03. Dulieutaichinhlamsach_DD'!G183</f>
        <v/>
      </c>
      <c r="I202" s="397">
        <f>'03. Dulieutaichinhlamsach_DD'!H183</f>
        <v/>
      </c>
      <c r="J202" s="393" t="n"/>
    </row>
    <row r="203" customFormat="1" s="395">
      <c r="A203" s="396" t="inlineStr">
        <is>
          <t>10. Tiền và tương đương tiền/Tổng tài sản</t>
        </is>
      </c>
      <c r="B203" s="141" t="inlineStr">
        <is>
          <t>lần</t>
        </is>
      </c>
      <c r="C203" s="397">
        <f>'03. Dulieutaichinhlamsach_DD'!D184</f>
        <v/>
      </c>
      <c r="D203" s="397">
        <f>'03. Dulieutaichinhlamsach_DD'!E184</f>
        <v/>
      </c>
      <c r="E203" s="397">
        <f>'03. Dulieutaichinhlamsach_DD'!F184</f>
        <v/>
      </c>
      <c r="F203" s="142">
        <f>E203-D203</f>
        <v/>
      </c>
      <c r="G203" s="142" t="n"/>
      <c r="H203" s="397">
        <f>'03. Dulieutaichinhlamsach_DD'!G184</f>
        <v/>
      </c>
      <c r="I203" s="397">
        <f>'03. Dulieutaichinhlamsach_DD'!H184</f>
        <v/>
      </c>
      <c r="J203" s="393" t="n"/>
    </row>
    <row r="204" customFormat="1" s="395">
      <c r="A204" s="396" t="inlineStr">
        <is>
          <t>11. Phải thu khác/Tài sản ngắn hạn</t>
        </is>
      </c>
      <c r="B204" s="141" t="inlineStr">
        <is>
          <t>lần</t>
        </is>
      </c>
      <c r="C204" s="397">
        <f>'03. Dulieutaichinhlamsach_DD'!D185</f>
        <v/>
      </c>
      <c r="D204" s="397">
        <f>'03. Dulieutaichinhlamsach_DD'!E185</f>
        <v/>
      </c>
      <c r="E204" s="397">
        <f>'03. Dulieutaichinhlamsach_DD'!F185</f>
        <v/>
      </c>
      <c r="F204" s="142">
        <f>E204-D204</f>
        <v/>
      </c>
      <c r="G204" s="142" t="n"/>
      <c r="H204" s="397">
        <f>'03. Dulieutaichinhlamsach_DD'!G185</f>
        <v/>
      </c>
      <c r="I204" s="397">
        <f>'03. Dulieutaichinhlamsach_DD'!H185</f>
        <v/>
      </c>
      <c r="J204" s="393" t="n"/>
    </row>
    <row r="205" customFormat="1" s="395">
      <c r="A205" s="416" t="inlineStr">
        <is>
          <t>12. Số ngày thiếu tiền</t>
        </is>
      </c>
      <c r="B205" s="141" t="inlineStr">
        <is>
          <t>ngày</t>
        </is>
      </c>
      <c r="C205" s="397">
        <f>'03. Dulieutaichinhlamsach_DD'!D186</f>
        <v/>
      </c>
      <c r="D205" s="397">
        <f>'03. Dulieutaichinhlamsach_DD'!E186</f>
        <v/>
      </c>
      <c r="E205" s="397">
        <f>'03. Dulieutaichinhlamsach_DD'!F186</f>
        <v/>
      </c>
      <c r="F205" s="142">
        <f>E205-D205</f>
        <v/>
      </c>
      <c r="G205" s="142" t="n"/>
      <c r="H205" s="397">
        <f>'03. Dulieutaichinhlamsach_DD'!G186</f>
        <v/>
      </c>
      <c r="I205" s="397">
        <f>'03. Dulieutaichinhlamsach_DD'!H186</f>
        <v/>
      </c>
      <c r="J205" s="393" t="n"/>
    </row>
    <row r="206" customFormat="1" s="395">
      <c r="A206" s="415" t="inlineStr">
        <is>
          <t>13. Nhu cầu vốn 1 chu kỳ</t>
        </is>
      </c>
      <c r="B206" s="141" t="n"/>
      <c r="C206" s="397">
        <f>IF('03. Dulieutaichinhlamsach_DD'!D187=-99999,-99999,IF(TRIM('03. Dulieutaichinhlamsach_DD'!$G$2)="VND",'03. Dulieutaichinhlamsach_DD'!D187/10^6,'03. Dulieutaichinhlamsach_DD'!D187))</f>
        <v/>
      </c>
      <c r="D206" s="397">
        <f>IF('03. Dulieutaichinhlamsach_DD'!E187=-99999,-99999,IF(TRIM('03. Dulieutaichinhlamsach_DD'!$G$2)="VND",'03. Dulieutaichinhlamsach_DD'!E187/10^6,'03. Dulieutaichinhlamsach_DD'!E187))</f>
        <v/>
      </c>
      <c r="E206" s="397">
        <f>IF('03. Dulieutaichinhlamsach_DD'!F187=-99999,-99999,IF(TRIM('03. Dulieutaichinhlamsach_DD'!$G$2)="VND",'03. Dulieutaichinhlamsach_DD'!F187/10^6,'03. Dulieutaichinhlamsach_DD'!F187))</f>
        <v/>
      </c>
      <c r="F206" s="142">
        <f>E206-D206</f>
        <v/>
      </c>
      <c r="G206" s="142" t="n"/>
      <c r="H206" s="397">
        <f>IF('03. Dulieutaichinhlamsach_DD'!G187=-99999,-99999,IF(TRIM('03. Dulieutaichinhlamsach_DD'!$G$2)="VND",'03. Dulieutaichinhlamsach_DD'!G187/10^6,'03. Dulieutaichinhlamsach_DD'!G187))</f>
        <v/>
      </c>
      <c r="I206" s="397">
        <f>IF('03. Dulieutaichinhlamsach_DD'!H187=-99999,-99999,IF(TRIM('03. Dulieutaichinhlamsach_DD'!$G$2)="VND",'03. Dulieutaichinhlamsach_DD'!H187/10^6,'03. Dulieutaichinhlamsach_DD'!H187))</f>
        <v/>
      </c>
      <c r="J206" s="393" t="n"/>
    </row>
    <row r="207" ht="14.25" customFormat="1" customHeight="1" s="395">
      <c r="A207" s="416" t="inlineStr">
        <is>
          <t>14. Nhu cầu vốn 1 chu kì/Tiền và tương đương tiền</t>
        </is>
      </c>
      <c r="B207" s="141" t="n"/>
      <c r="C207" s="397">
        <f>'03. Dulieutaichinhlamsach_DD'!D188</f>
        <v/>
      </c>
      <c r="D207" s="397">
        <f>'03. Dulieutaichinhlamsach_DD'!E188</f>
        <v/>
      </c>
      <c r="E207" s="397">
        <f>'03. Dulieutaichinhlamsach_DD'!F188</f>
        <v/>
      </c>
      <c r="F207" s="142">
        <f>E207-D207</f>
        <v/>
      </c>
      <c r="G207" s="142" t="n"/>
      <c r="H207" s="397">
        <f>'03. Dulieutaichinhlamsach_DD'!G188</f>
        <v/>
      </c>
      <c r="I207" s="397">
        <f>'03. Dulieutaichinhlamsach_DD'!H188</f>
        <v/>
      </c>
      <c r="J207" s="393" t="n"/>
    </row>
    <row r="208" customFormat="1" s="395">
      <c r="A208" s="416" t="inlineStr">
        <is>
          <t>15. Nhu cầu vốn 1 chu kì / Nợ vay ngắn hạn</t>
        </is>
      </c>
      <c r="B208" s="141" t="n"/>
      <c r="C208" s="397">
        <f>'03. Dulieutaichinhlamsach_DD'!D189</f>
        <v/>
      </c>
      <c r="D208" s="397">
        <f>'03. Dulieutaichinhlamsach_DD'!E189</f>
        <v/>
      </c>
      <c r="E208" s="397">
        <f>'03. Dulieutaichinhlamsach_DD'!F189</f>
        <v/>
      </c>
      <c r="F208" s="142">
        <f>E208-D208</f>
        <v/>
      </c>
      <c r="G208" s="142" t="n"/>
      <c r="H208" s="397">
        <f>'03. Dulieutaichinhlamsach_DD'!G189</f>
        <v/>
      </c>
      <c r="I208" s="397">
        <f>'03. Dulieutaichinhlamsach_DD'!H189</f>
        <v/>
      </c>
      <c r="J208" s="393" t="n"/>
    </row>
    <row r="209" ht="30" customFormat="1" customHeight="1" s="395">
      <c r="A209" s="416" t="inlineStr">
        <is>
          <t>16. (Phải thu ngắn hạn - Phải thu khách hàng ngắn hạn)/Tài sản ngắn hạn</t>
        </is>
      </c>
      <c r="B209" s="141" t="inlineStr">
        <is>
          <t>lần</t>
        </is>
      </c>
      <c r="C209" s="397">
        <f>'03. Dulieutaichinhlamsach_DD'!D190</f>
        <v/>
      </c>
      <c r="D209" s="397">
        <f>'03. Dulieutaichinhlamsach_DD'!E190</f>
        <v/>
      </c>
      <c r="E209" s="397">
        <f>'03. Dulieutaichinhlamsach_DD'!F190</f>
        <v/>
      </c>
      <c r="F209" s="142">
        <f>E209-D209</f>
        <v/>
      </c>
      <c r="G209" s="142" t="n"/>
      <c r="H209" s="397">
        <f>'03. Dulieutaichinhlamsach_DD'!G190</f>
        <v/>
      </c>
      <c r="I209" s="397">
        <f>'03. Dulieutaichinhlamsach_DD'!H190</f>
        <v/>
      </c>
      <c r="J209" s="393" t="n"/>
    </row>
    <row r="210" ht="30" customFormat="1" customHeight="1" s="395">
      <c r="A210" s="416" t="inlineStr">
        <is>
          <t>17. (Phải thu ngắn hạn khác + Phải thu dài hạn khác)/Tổng tài sản</t>
        </is>
      </c>
      <c r="B210" s="141" t="inlineStr">
        <is>
          <t>lần</t>
        </is>
      </c>
      <c r="C210" s="397">
        <f>'03. Dulieutaichinhlamsach_DD'!D191</f>
        <v/>
      </c>
      <c r="D210" s="397">
        <f>'03. Dulieutaichinhlamsach_DD'!E191</f>
        <v/>
      </c>
      <c r="E210" s="397">
        <f>'03. Dulieutaichinhlamsach_DD'!F191</f>
        <v/>
      </c>
      <c r="F210" s="142">
        <f>E210-D210</f>
        <v/>
      </c>
      <c r="G210" s="142" t="n"/>
      <c r="H210" s="397">
        <f>'03. Dulieutaichinhlamsach_DD'!G191</f>
        <v/>
      </c>
      <c r="I210" s="397">
        <f>'03. Dulieutaichinhlamsach_DD'!H191</f>
        <v/>
      </c>
      <c r="J210" s="393" t="n"/>
    </row>
    <row r="211" customFormat="1" s="395">
      <c r="A211" s="398" t="inlineStr">
        <is>
          <t>Chỉ tiêu cân nợ</t>
        </is>
      </c>
      <c r="B211" s="143" t="n"/>
      <c r="C211" s="390" t="n"/>
      <c r="D211" s="390" t="n"/>
      <c r="E211" s="390" t="n"/>
      <c r="F211" s="142" t="n"/>
      <c r="G211" s="142" t="n"/>
      <c r="H211" s="391" t="n"/>
      <c r="I211" s="391" t="n"/>
      <c r="J211" s="393" t="n"/>
    </row>
    <row r="212" customFormat="1" s="395">
      <c r="A212" s="396" t="inlineStr">
        <is>
          <t>12. Tổng nợ phải trả/ Tổng tài sản (lần)</t>
        </is>
      </c>
      <c r="B212" s="143" t="inlineStr">
        <is>
          <t>%</t>
        </is>
      </c>
      <c r="C212" s="397">
        <f>'03. Dulieutaichinhlamsach_DD'!D193</f>
        <v/>
      </c>
      <c r="D212" s="397">
        <f>'03. Dulieutaichinhlamsach_DD'!E193</f>
        <v/>
      </c>
      <c r="E212" s="397">
        <f>'03. Dulieutaichinhlamsach_DD'!F193</f>
        <v/>
      </c>
      <c r="F212" s="144">
        <f>E212-D212</f>
        <v/>
      </c>
      <c r="G212" s="142">
        <f>'03. Dulieutaichinhlamsach_DD'!P193</f>
        <v/>
      </c>
      <c r="H212" s="397">
        <f>'03. Dulieutaichinhlamsach_DD'!G193</f>
        <v/>
      </c>
      <c r="I212" s="397">
        <f>'03. Dulieutaichinhlamsach_DD'!H193</f>
        <v/>
      </c>
      <c r="J212" s="393" t="n"/>
    </row>
    <row r="213" customFormat="1" s="395">
      <c r="A213" s="396" t="inlineStr">
        <is>
          <t>13. Nợ dài dạn/Vốn CSH (lần)</t>
        </is>
      </c>
      <c r="B213" s="143" t="inlineStr">
        <is>
          <t>%</t>
        </is>
      </c>
      <c r="C213" s="397">
        <f>'03. Dulieutaichinhlamsach_DD'!D194</f>
        <v/>
      </c>
      <c r="D213" s="397">
        <f>'03. Dulieutaichinhlamsach_DD'!E194</f>
        <v/>
      </c>
      <c r="E213" s="397">
        <f>'03. Dulieutaichinhlamsach_DD'!F194</f>
        <v/>
      </c>
      <c r="F213" s="144">
        <f>E213-D213</f>
        <v/>
      </c>
      <c r="G213" s="142">
        <f>'03. Dulieutaichinhlamsach_DD'!P194</f>
        <v/>
      </c>
      <c r="H213" s="397">
        <f>'03. Dulieutaichinhlamsach_DD'!G194</f>
        <v/>
      </c>
      <c r="I213" s="397">
        <f>'03. Dulieutaichinhlamsach_DD'!H194</f>
        <v/>
      </c>
      <c r="J213" s="393" t="n"/>
    </row>
    <row r="214" customFormat="1" s="395">
      <c r="A214" s="396" t="inlineStr">
        <is>
          <t>14. Tổng nợ/Vốn CSH (lần)</t>
        </is>
      </c>
      <c r="B214" s="143" t="inlineStr">
        <is>
          <t>%</t>
        </is>
      </c>
      <c r="C214" s="397">
        <f>'03. Dulieutaichinhlamsach_DD'!D195</f>
        <v/>
      </c>
      <c r="D214" s="397">
        <f>'03. Dulieutaichinhlamsach_DD'!E195</f>
        <v/>
      </c>
      <c r="E214" s="397">
        <f>'03. Dulieutaichinhlamsach_DD'!F195</f>
        <v/>
      </c>
      <c r="F214" s="144">
        <f>E214-D214</f>
        <v/>
      </c>
      <c r="G214" s="142">
        <f>'03. Dulieutaichinhlamsach_DD'!P195</f>
        <v/>
      </c>
      <c r="H214" s="397">
        <f>'03. Dulieutaichinhlamsach_DD'!G195</f>
        <v/>
      </c>
      <c r="I214" s="397">
        <f>'03. Dulieutaichinhlamsach_DD'!H195</f>
        <v/>
      </c>
      <c r="J214" s="393" t="n"/>
    </row>
    <row r="215" customFormat="1" s="395">
      <c r="A215" s="396" t="inlineStr">
        <is>
          <t>15. Khả năng thực hiện nghĩa vụ trả nợ ngắn hạn (lần)</t>
        </is>
      </c>
      <c r="B215" s="143" t="inlineStr">
        <is>
          <t>%</t>
        </is>
      </c>
      <c r="C215" s="397">
        <f>'03. Dulieutaichinhlamsach_DD'!D196</f>
        <v/>
      </c>
      <c r="D215" s="397">
        <f>'03. Dulieutaichinhlamsach_DD'!E196</f>
        <v/>
      </c>
      <c r="E215" s="397">
        <f>'03. Dulieutaichinhlamsach_DD'!F196</f>
        <v/>
      </c>
      <c r="F215" s="144">
        <f>E215-D215</f>
        <v/>
      </c>
      <c r="G215" s="142" t="n"/>
      <c r="H215" s="397">
        <f>'03. Dulieutaichinhlamsach_DD'!G196</f>
        <v/>
      </c>
      <c r="I215" s="397">
        <f>'03. Dulieutaichinhlamsach_DD'!H196</f>
        <v/>
      </c>
      <c r="J215" s="393" t="n"/>
    </row>
    <row r="216" ht="15.75" customFormat="1" customHeight="1" s="395" thickBot="1">
      <c r="A216" s="769" t="inlineStr">
        <is>
          <t>36. Tổng nợ vay/Vốn CSH</t>
        </is>
      </c>
      <c r="B216" s="143" t="n"/>
      <c r="C216" s="401">
        <f>'03. Dulieutaichinhlamsach_DD'!D197</f>
        <v/>
      </c>
      <c r="D216" s="401">
        <f>'03. Dulieutaichinhlamsach_DD'!E197</f>
        <v/>
      </c>
      <c r="E216" s="401">
        <f>'03. Dulieutaichinhlamsach_DD'!F197</f>
        <v/>
      </c>
      <c r="F216" s="144">
        <f>E216-D216</f>
        <v/>
      </c>
      <c r="G216" s="142" t="n"/>
      <c r="H216" s="401">
        <f>'03. Dulieutaichinhlamsach_DD'!G197</f>
        <v/>
      </c>
      <c r="I216" s="401">
        <f>'03. Dulieutaichinhlamsach_DD'!H197</f>
        <v/>
      </c>
      <c r="J216" s="393" t="n"/>
    </row>
    <row r="217" ht="15.75" customFormat="1" customHeight="1" s="395" thickTop="1">
      <c r="A217" s="398" t="inlineStr">
        <is>
          <t>Chỉ tiêu thu nhập</t>
        </is>
      </c>
      <c r="B217" s="141" t="n"/>
      <c r="C217" s="390" t="n"/>
      <c r="D217" s="390" t="n"/>
      <c r="E217" s="390" t="n"/>
      <c r="F217" s="142" t="n"/>
      <c r="G217" s="142" t="n"/>
      <c r="H217" s="392" t="n"/>
      <c r="I217" s="392" t="n"/>
      <c r="J217" s="393" t="n"/>
    </row>
    <row r="218" customFormat="1" s="395">
      <c r="A218" s="417" t="inlineStr">
        <is>
          <t>16. Lợi nhuận từ hoạt động kinh doanh</t>
        </is>
      </c>
      <c r="B218" s="414" t="inlineStr">
        <is>
          <t>Triệu VND</t>
        </is>
      </c>
      <c r="C218" s="390">
        <f>IF(TRIM('03. Dulieutaichinhlamsach_DD'!$G$2)="VND",'03. Dulieutaichinhlamsach_DD'!D199/10^6,'03. Dulieutaichinhlamsach_DD'!D199)</f>
        <v/>
      </c>
      <c r="D218" s="809">
        <f>IF(TRIM('03. Dulieutaichinhlamsach_DD'!$G$2)="VND",'03. Dulieutaichinhlamsach_DD'!E199/10^6,'03. Dulieutaichinhlamsach_DD'!E199)</f>
        <v/>
      </c>
      <c r="E218" s="809">
        <f>IF(TRIM('03. Dulieutaichinhlamsach_DD'!$G$2)="VND",'03. Dulieutaichinhlamsach_DD'!F199/10^6,'03. Dulieutaichinhlamsach_DD'!F199)</f>
        <v/>
      </c>
      <c r="F218" s="387">
        <f>E218-D218</f>
        <v/>
      </c>
      <c r="G218" s="142" t="n"/>
      <c r="H218" s="390">
        <f>IF(TRIM('03. Dulieutaichinhlamsach_DD'!$G$2)="VND",'03. Dulieutaichinhlamsach_DD'!G198/10^6,'03. Dulieutaichinhlamsach_DD'!G198)</f>
        <v/>
      </c>
      <c r="I218" s="390">
        <f>IF(TRIM('03. Dulieutaichinhlamsach_DD'!$G$2)="VND",'03. Dulieutaichinhlamsach_DD'!H198/10^6,'03. Dulieutaichinhlamsach_DD'!H198)</f>
        <v/>
      </c>
      <c r="J218" s="393" t="n"/>
    </row>
    <row r="219" customFormat="1" s="395">
      <c r="A219" s="417" t="inlineStr">
        <is>
          <t>17. Lợi nhuận gộp/Doanh thu thuần (lần)</t>
        </is>
      </c>
      <c r="B219" s="143" t="inlineStr">
        <is>
          <t>%</t>
        </is>
      </c>
      <c r="C219" s="788">
        <f>'03. Dulieutaichinhlamsach_DD'!D200</f>
        <v/>
      </c>
      <c r="D219" s="788">
        <f>'03. Dulieutaichinhlamsach_DD'!E200</f>
        <v/>
      </c>
      <c r="E219" s="788">
        <f>'03. Dulieutaichinhlamsach_DD'!F200</f>
        <v/>
      </c>
      <c r="F219" s="144">
        <f>E219-D219</f>
        <v/>
      </c>
      <c r="G219" s="142">
        <f>'03. Dulieutaichinhlamsach_DD'!P199</f>
        <v/>
      </c>
      <c r="H219" s="397">
        <f>'03. Dulieutaichinhlamsach_DD'!G199</f>
        <v/>
      </c>
      <c r="I219" s="397">
        <f>'03. Dulieutaichinhlamsach_DD'!H199</f>
        <v/>
      </c>
      <c r="J219" s="393" t="n"/>
    </row>
    <row r="220" customFormat="1" s="395">
      <c r="A220" s="396" t="inlineStr">
        <is>
          <t>18. Lợi nhuận từ hoạt động KD/Doanh thu thuần (lần)</t>
        </is>
      </c>
      <c r="B220" s="143" t="inlineStr">
        <is>
          <t>%</t>
        </is>
      </c>
      <c r="C220" s="788">
        <f>'03. Dulieutaichinhlamsach_DD'!D201</f>
        <v/>
      </c>
      <c r="D220" s="788">
        <f>'03. Dulieutaichinhlamsach_DD'!E201</f>
        <v/>
      </c>
      <c r="E220" s="810">
        <f>'03. Dulieutaichinhlamsach_DD'!F201</f>
        <v/>
      </c>
      <c r="F220" s="144">
        <f>E220-D220</f>
        <v/>
      </c>
      <c r="G220" s="142">
        <f>'03. Dulieutaichinhlamsach_DD'!P200</f>
        <v/>
      </c>
      <c r="H220" s="397">
        <f>'03. Dulieutaichinhlamsach_DD'!G200</f>
        <v/>
      </c>
      <c r="I220" s="397">
        <f>'03. Dulieutaichinhlamsach_DD'!H200</f>
        <v/>
      </c>
      <c r="J220" s="393" t="n"/>
    </row>
    <row r="221" customFormat="1" s="395">
      <c r="A221" s="738" t="inlineStr">
        <is>
          <t>19. Lợi nhuận sau thuế/Vốn CSH (lần)</t>
        </is>
      </c>
      <c r="B221" s="143" t="inlineStr">
        <is>
          <t>%</t>
        </is>
      </c>
      <c r="C221" s="788">
        <f>'03. Dulieutaichinhlamsach_DD'!D202</f>
        <v/>
      </c>
      <c r="D221" s="788">
        <f>'03. Dulieutaichinhlamsach_DD'!E202</f>
        <v/>
      </c>
      <c r="E221" s="810">
        <f>'03. Dulieutaichinhlamsach_DD'!F202</f>
        <v/>
      </c>
      <c r="F221" s="144">
        <f>E221-D221</f>
        <v/>
      </c>
      <c r="G221" s="142">
        <f>'03. Dulieutaichinhlamsach_DD'!P201</f>
        <v/>
      </c>
      <c r="H221" s="397">
        <f>'03. Dulieutaichinhlamsach_DD'!G201</f>
        <v/>
      </c>
      <c r="I221" s="397">
        <f>'03. Dulieutaichinhlamsach_DD'!H201</f>
        <v/>
      </c>
      <c r="J221" s="393" t="n"/>
    </row>
    <row r="222" customFormat="1" s="395">
      <c r="A222" s="396" t="inlineStr">
        <is>
          <t>20. Lợi nhuận sau thuế/Tổng tài sản bình quân (lần)</t>
        </is>
      </c>
      <c r="B222" s="143" t="inlineStr">
        <is>
          <t>%</t>
        </is>
      </c>
      <c r="C222" s="788">
        <f>'03. Dulieutaichinhlamsach_DD'!D203</f>
        <v/>
      </c>
      <c r="D222" s="788">
        <f>'03. Dulieutaichinhlamsach_DD'!E203</f>
        <v/>
      </c>
      <c r="E222" s="810">
        <f>'03. Dulieutaichinhlamsach_DD'!F203</f>
        <v/>
      </c>
      <c r="F222" s="144">
        <f>E222-D222</f>
        <v/>
      </c>
      <c r="G222" s="142">
        <f>'03. Dulieutaichinhlamsach_DD'!P202</f>
        <v/>
      </c>
      <c r="H222" s="397">
        <f>'03. Dulieutaichinhlamsach_DD'!G202</f>
        <v/>
      </c>
      <c r="I222" s="397">
        <f>'03. Dulieutaichinhlamsach_DD'!H202</f>
        <v/>
      </c>
      <c r="J222" s="393" t="n"/>
    </row>
    <row r="223" customFormat="1" s="395">
      <c r="A223" s="396" t="inlineStr">
        <is>
          <t>21. Lợi nhuận gộp/Tổng tài sản</t>
        </is>
      </c>
      <c r="B223" s="143" t="inlineStr">
        <is>
          <t>%</t>
        </is>
      </c>
      <c r="C223" s="788">
        <f>'03. Dulieutaichinhlamsach_DD'!D204</f>
        <v/>
      </c>
      <c r="D223" s="788">
        <f>'03. Dulieutaichinhlamsach_DD'!E204</f>
        <v/>
      </c>
      <c r="E223" s="810">
        <f>'03. Dulieutaichinhlamsach_DD'!F204</f>
        <v/>
      </c>
      <c r="F223" s="144">
        <f>E223-D223</f>
        <v/>
      </c>
      <c r="G223" s="142" t="n"/>
      <c r="H223" s="397">
        <f>'03. Dulieutaichinhlamsach_DD'!G203</f>
        <v/>
      </c>
      <c r="I223" s="397">
        <f>'03. Dulieutaichinhlamsach_DD'!H203</f>
        <v/>
      </c>
      <c r="J223" s="393" t="n"/>
    </row>
    <row r="224" customFormat="1" s="395">
      <c r="A224" s="396" t="inlineStr">
        <is>
          <t>22. EBIT/Chi phí lãi vay (lần)</t>
        </is>
      </c>
      <c r="B224" s="311" t="inlineStr">
        <is>
          <t>lần</t>
        </is>
      </c>
      <c r="C224" s="788">
        <f>'03. Dulieutaichinhlamsach_DD'!D205</f>
        <v/>
      </c>
      <c r="D224" s="788">
        <f>'03. Dulieutaichinhlamsach_DD'!E205</f>
        <v/>
      </c>
      <c r="E224" s="810">
        <f>'03. Dulieutaichinhlamsach_DD'!F205</f>
        <v/>
      </c>
      <c r="F224" s="312">
        <f>E224-D224</f>
        <v/>
      </c>
      <c r="G224" s="142">
        <f>'03. Dulieutaichinhlamsach_DD'!P204</f>
        <v/>
      </c>
      <c r="H224" s="397">
        <f>'03. Dulieutaichinhlamsach_DD'!G204</f>
        <v/>
      </c>
      <c r="I224" s="397">
        <f>'03. Dulieutaichinhlamsach_DD'!H204</f>
        <v/>
      </c>
      <c r="J224" s="393" t="n"/>
    </row>
    <row r="225" customFormat="1" s="395">
      <c r="A225" s="396" t="inlineStr">
        <is>
          <t>23. Doanh thu thuần/Nợ vay ngắn hạn</t>
        </is>
      </c>
      <c r="B225" s="311" t="inlineStr">
        <is>
          <t>lần</t>
        </is>
      </c>
      <c r="C225" s="788">
        <f>'03. Dulieutaichinhlamsach_DD'!D206</f>
        <v/>
      </c>
      <c r="D225" s="788">
        <f>'03. Dulieutaichinhlamsach_DD'!E206</f>
        <v/>
      </c>
      <c r="E225" s="810">
        <f>'03. Dulieutaichinhlamsach_DD'!F206</f>
        <v/>
      </c>
      <c r="F225" s="144">
        <f>E225-D225</f>
        <v/>
      </c>
      <c r="G225" s="142" t="n"/>
      <c r="H225" s="397">
        <f>'03. Dulieutaichinhlamsach_DD'!G205</f>
        <v/>
      </c>
      <c r="I225" s="397">
        <f>'03. Dulieutaichinhlamsach_DD'!H205</f>
        <v/>
      </c>
      <c r="J225" s="393" t="n"/>
    </row>
    <row r="226" customFormat="1" s="395">
      <c r="A226" s="396" t="inlineStr">
        <is>
          <t>24. Doanh thu thuần/Nợ phải trả</t>
        </is>
      </c>
      <c r="B226" s="311" t="inlineStr">
        <is>
          <t>lần</t>
        </is>
      </c>
      <c r="C226" s="788">
        <f>'03. Dulieutaichinhlamsach_DD'!D207</f>
        <v/>
      </c>
      <c r="D226" s="788">
        <f>'03. Dulieutaichinhlamsach_DD'!E207</f>
        <v/>
      </c>
      <c r="E226" s="810">
        <f>'03. Dulieutaichinhlamsach_DD'!F207</f>
        <v/>
      </c>
      <c r="F226" s="144">
        <f>E226-D226</f>
        <v/>
      </c>
      <c r="G226" s="142" t="n"/>
      <c r="H226" s="397">
        <f>'03. Dulieutaichinhlamsach_DD'!G206</f>
        <v/>
      </c>
      <c r="I226" s="397">
        <f>'03. Dulieutaichinhlamsach_DD'!H206</f>
        <v/>
      </c>
      <c r="J226" s="393" t="n"/>
    </row>
    <row r="227" ht="15.75" customFormat="1" customHeight="1" s="395" thickBot="1">
      <c r="A227" s="399" t="inlineStr">
        <is>
          <t>25. Doanh thu thuần/Tổng tài sản</t>
        </is>
      </c>
      <c r="B227" s="314" t="inlineStr">
        <is>
          <t>lần</t>
        </is>
      </c>
      <c r="C227" s="788">
        <f>'03. Dulieutaichinhlamsach_DD'!D208</f>
        <v/>
      </c>
      <c r="D227" s="788">
        <f>'03. Dulieutaichinhlamsach_DD'!E208</f>
        <v/>
      </c>
      <c r="E227" s="810">
        <f>'03. Dulieutaichinhlamsach_DD'!F208</f>
        <v/>
      </c>
      <c r="F227" s="315">
        <f>E227-D227</f>
        <v/>
      </c>
      <c r="G227" s="316" t="n"/>
      <c r="H227" s="397">
        <f>'03. Dulieutaichinhlamsach_DD'!G207</f>
        <v/>
      </c>
      <c r="I227" s="397">
        <f>'03. Dulieutaichinhlamsach_DD'!H207</f>
        <v/>
      </c>
      <c r="J227" s="393" t="n"/>
    </row>
    <row r="228" ht="16.5" customFormat="1" customHeight="1" s="395" thickBot="1" thickTop="1">
      <c r="A228" s="768" t="inlineStr">
        <is>
          <t>Tỷ số lợi nhuận gộp trên tổng nợ</t>
        </is>
      </c>
      <c r="B228" s="403" t="n"/>
      <c r="C228" s="788">
        <f>'03. Dulieutaichinhlamsach_DD'!D209</f>
        <v/>
      </c>
      <c r="D228" s="788">
        <f>'03. Dulieutaichinhlamsach_DD'!E209</f>
        <v/>
      </c>
      <c r="E228" s="810">
        <f>'03. Dulieutaichinhlamsach_DD'!F209</f>
        <v/>
      </c>
      <c r="F228" s="315">
        <f>E228-D228</f>
        <v/>
      </c>
      <c r="G228" s="316" t="n"/>
      <c r="H228" s="397">
        <f>'03. Dulieutaichinhlamsach_DD'!G208</f>
        <v/>
      </c>
      <c r="I228" s="397">
        <f>'03. Dulieutaichinhlamsach_DD'!H208</f>
        <v/>
      </c>
      <c r="J228" s="393" t="n"/>
    </row>
    <row r="229" ht="16.5" customFormat="1" customHeight="1" s="395" thickBot="1" thickTop="1">
      <c r="A229" s="768" t="inlineStr">
        <is>
          <t>Lợi nhuận gộp/Chi phí lãi vay</t>
        </is>
      </c>
      <c r="B229" s="403" t="n"/>
      <c r="C229" s="788">
        <f>'03. Dulieutaichinhlamsach_DD'!D210</f>
        <v/>
      </c>
      <c r="D229" s="788">
        <f>'03. Dulieutaichinhlamsach_DD'!E210</f>
        <v/>
      </c>
      <c r="E229" s="810">
        <f>'03. Dulieutaichinhlamsach_DD'!F210</f>
        <v/>
      </c>
      <c r="F229" s="315">
        <f>E229-D229</f>
        <v/>
      </c>
      <c r="G229" s="316" t="n"/>
      <c r="H229" s="397">
        <f>'03. Dulieutaichinhlamsach_DD'!G209</f>
        <v/>
      </c>
      <c r="I229" s="397">
        <f>'03. Dulieutaichinhlamsach_DD'!H209</f>
        <v/>
      </c>
      <c r="J229" s="393" t="n"/>
    </row>
    <row r="230" ht="16.5" customFormat="1" customHeight="1" s="395" thickBot="1" thickTop="1">
      <c r="A230" s="768" t="inlineStr">
        <is>
          <t>Tỷ số lợi nhuận sau thuế trên tổng nợ</t>
        </is>
      </c>
      <c r="B230" s="403" t="n"/>
      <c r="C230" s="788">
        <f>'03. Dulieutaichinhlamsach_DD'!D211</f>
        <v/>
      </c>
      <c r="D230" s="788">
        <f>'03. Dulieutaichinhlamsach_DD'!E211</f>
        <v/>
      </c>
      <c r="E230" s="810">
        <f>'03. Dulieutaichinhlamsach_DD'!F211</f>
        <v/>
      </c>
      <c r="F230" s="315">
        <f>E230-D230</f>
        <v/>
      </c>
      <c r="G230" s="316" t="n"/>
      <c r="H230" s="397">
        <f>'03. Dulieutaichinhlamsach_DD'!G210</f>
        <v/>
      </c>
      <c r="I230" s="397">
        <f>'03. Dulieutaichinhlamsach_DD'!H210</f>
        <v/>
      </c>
      <c r="J230" s="393" t="n"/>
    </row>
    <row r="231" ht="16.5" customFormat="1" customHeight="1" s="395" thickBot="1" thickTop="1">
      <c r="A231" s="768" t="inlineStr">
        <is>
          <t>EBIT/Tổng nguồn vốn</t>
        </is>
      </c>
      <c r="B231" s="403" t="n"/>
      <c r="C231" s="788">
        <f>'03. Dulieutaichinhlamsach_DD'!D212</f>
        <v/>
      </c>
      <c r="D231" s="788">
        <f>'03. Dulieutaichinhlamsach_DD'!E212</f>
        <v/>
      </c>
      <c r="E231" s="810">
        <f>'03. Dulieutaichinhlamsach_DD'!F212</f>
        <v/>
      </c>
      <c r="F231" s="315">
        <f>E231-D231</f>
        <v/>
      </c>
      <c r="G231" s="316" t="n"/>
      <c r="H231" s="397">
        <f>'03. Dulieutaichinhlamsach_DD'!G211</f>
        <v/>
      </c>
      <c r="I231" s="397">
        <f>'03. Dulieutaichinhlamsach_DD'!H211</f>
        <v/>
      </c>
      <c r="J231" s="393" t="n"/>
    </row>
    <row r="232" ht="15.75" customFormat="1" customHeight="1" s="395" thickTop="1">
      <c r="A232" s="402" t="n"/>
      <c r="B232" s="403" t="n"/>
      <c r="C232" s="401" t="n"/>
      <c r="D232" s="401" t="n"/>
      <c r="E232" s="401" t="n"/>
      <c r="F232" s="404" t="n"/>
      <c r="G232" s="405" t="n"/>
      <c r="H232" s="401" t="n"/>
      <c r="I232" s="401" t="n"/>
      <c r="J232" s="393" t="n"/>
    </row>
    <row r="233" ht="15.75" customHeight="1" s="782" thickBot="1">
      <c r="A233" s="145" t="n"/>
      <c r="B233" s="146" t="n"/>
      <c r="C233" s="146" t="n"/>
      <c r="D233" s="146" t="n"/>
      <c r="E233" s="393" t="n"/>
      <c r="F233" s="393" t="n"/>
      <c r="G233" s="393" t="n"/>
      <c r="H233" s="393" t="n"/>
      <c r="I233" s="401" t="n"/>
      <c r="J233" s="393" t="n"/>
    </row>
    <row r="234" ht="15.75" customHeight="1" s="782" thickTop="1">
      <c r="A234" s="147" t="inlineStr">
        <is>
          <t>Khả năng đảm bảo vốn kinh doanh</t>
        </is>
      </c>
      <c r="B234" s="148">
        <f>C191</f>
        <v/>
      </c>
      <c r="C234" s="148">
        <f>D191</f>
        <v/>
      </c>
      <c r="D234" s="148">
        <f>E191</f>
        <v/>
      </c>
      <c r="E234" s="149">
        <f>H191</f>
        <v/>
      </c>
      <c r="F234" s="150">
        <f>I191</f>
        <v/>
      </c>
      <c r="G234" s="393" t="n"/>
      <c r="H234" s="393" t="n"/>
      <c r="I234" s="393" t="n"/>
      <c r="J234" s="393" t="n"/>
    </row>
    <row r="235">
      <c r="A235" s="151" t="inlineStr">
        <is>
          <t>26. Nguồn vốn dài hạn</t>
        </is>
      </c>
      <c r="B235" s="152">
        <f>B236+B237</f>
        <v/>
      </c>
      <c r="C235" s="152">
        <f>C236+C237</f>
        <v/>
      </c>
      <c r="D235" s="152">
        <f>D236+D237</f>
        <v/>
      </c>
      <c r="E235" s="152">
        <f>E236+E237</f>
        <v/>
      </c>
      <c r="F235" s="153">
        <f>F236+F237</f>
        <v/>
      </c>
      <c r="G235" s="393" t="n"/>
      <c r="H235" s="393" t="n"/>
      <c r="I235" s="393" t="n"/>
      <c r="J235" s="393" t="n"/>
    </row>
    <row r="236">
      <c r="A236" s="154" t="inlineStr">
        <is>
          <t>- Vốn CSH</t>
        </is>
      </c>
      <c r="B236" s="155">
        <f>B110</f>
        <v/>
      </c>
      <c r="C236" s="155">
        <f>C110</f>
        <v/>
      </c>
      <c r="D236" s="155">
        <f>D110</f>
        <v/>
      </c>
      <c r="E236" s="155">
        <f>G110</f>
        <v/>
      </c>
      <c r="F236" s="156">
        <f>I110</f>
        <v/>
      </c>
      <c r="G236" s="393" t="n"/>
      <c r="H236" s="393" t="n"/>
      <c r="I236" s="393" t="n"/>
      <c r="J236" s="838" t="n"/>
    </row>
    <row r="237">
      <c r="A237" s="154" t="inlineStr">
        <is>
          <t>- Vay dài hạn</t>
        </is>
      </c>
      <c r="B237" s="155">
        <f>B98</f>
        <v/>
      </c>
      <c r="C237" s="155">
        <f>C98</f>
        <v/>
      </c>
      <c r="D237" s="155">
        <f>D98</f>
        <v/>
      </c>
      <c r="E237" s="155">
        <f>G98</f>
        <v/>
      </c>
      <c r="F237" s="156">
        <f>I98</f>
        <v/>
      </c>
      <c r="G237" s="393" t="n"/>
      <c r="H237" s="393" t="n"/>
      <c r="I237" s="393" t="n"/>
    </row>
    <row r="238">
      <c r="A238" s="157" t="inlineStr">
        <is>
          <t>27. Tài sản cố định và đầu tư tài chính dài hạn</t>
        </is>
      </c>
      <c r="B238" s="158">
        <f>B47</f>
        <v/>
      </c>
      <c r="C238" s="158">
        <f>C47</f>
        <v/>
      </c>
      <c r="D238" s="158">
        <f>D47</f>
        <v/>
      </c>
      <c r="E238" s="158">
        <f>G47</f>
        <v/>
      </c>
      <c r="F238" s="159">
        <f>I47</f>
        <v/>
      </c>
      <c r="G238" s="393" t="n"/>
      <c r="H238" s="393" t="n"/>
      <c r="I238" s="393" t="n"/>
    </row>
    <row r="239" ht="15.75" customHeight="1" s="782" thickBot="1">
      <c r="A239" s="384" t="inlineStr">
        <is>
          <t>28. Vốn Lưu động thường xuyên</t>
        </is>
      </c>
      <c r="B239" s="160">
        <f>B235-B238</f>
        <v/>
      </c>
      <c r="C239" s="160">
        <f>C235-C238</f>
        <v/>
      </c>
      <c r="D239" s="160">
        <f>D235-D238</f>
        <v/>
      </c>
      <c r="E239" s="160">
        <f>E235-E238</f>
        <v/>
      </c>
      <c r="F239" s="161">
        <f>F235-F238</f>
        <v/>
      </c>
      <c r="G239" s="393" t="n"/>
      <c r="H239" s="393" t="n"/>
      <c r="I239" s="393" t="n"/>
      <c r="J239" s="393" t="n"/>
    </row>
    <row r="240" ht="15.75" customHeight="1" s="782" thickTop="1">
      <c r="A240" s="162" t="n"/>
      <c r="B240" s="163" t="n"/>
      <c r="C240" s="163" t="n"/>
      <c r="D240" s="164" t="n"/>
      <c r="E240" s="393" t="n"/>
      <c r="F240" s="393" t="n"/>
      <c r="G240" s="393" t="n"/>
      <c r="H240" s="393" t="n"/>
      <c r="I240" s="393" t="n"/>
      <c r="J240" s="393" t="n"/>
    </row>
    <row r="241">
      <c r="A241" s="839" t="inlineStr">
        <is>
          <t>DÒNG TIỀN DOANH NGHIỆP THEO PHƯƠNG PHÁP TRỰC TIẾP</t>
        </is>
      </c>
      <c r="H241" s="393" t="n"/>
      <c r="I241" s="393" t="n"/>
      <c r="J241" s="393" t="n"/>
    </row>
    <row r="242" ht="15.75" customHeight="1" s="782" thickBot="1">
      <c r="A242" s="393" t="n"/>
      <c r="B242" s="165" t="n"/>
      <c r="C242" s="393" t="n"/>
      <c r="D242" s="393" t="n"/>
      <c r="E242" s="393" t="n"/>
      <c r="F242" s="393" t="n"/>
      <c r="G242" s="393" t="n"/>
      <c r="H242" s="393" t="n"/>
      <c r="I242" s="393" t="n"/>
      <c r="J242" s="393" t="n"/>
    </row>
    <row r="243" ht="15.75" customHeight="1" s="782" thickTop="1">
      <c r="A243" s="166" t="inlineStr">
        <is>
          <t>Dòng tiền</t>
        </is>
      </c>
      <c r="B243" s="167" t="n"/>
      <c r="C243" s="168">
        <f>C234</f>
        <v/>
      </c>
      <c r="D243" s="168">
        <f>D234</f>
        <v/>
      </c>
      <c r="E243" s="169">
        <f>E234</f>
        <v/>
      </c>
      <c r="F243" s="170">
        <f>F234</f>
        <v/>
      </c>
      <c r="G243" s="370" t="n"/>
      <c r="H243" s="917" t="n"/>
      <c r="I243" s="393" t="n"/>
      <c r="J243" s="393" t="n"/>
    </row>
    <row r="244">
      <c r="A244" s="171" t="inlineStr">
        <is>
          <t>Doanh thu</t>
        </is>
      </c>
      <c r="B244" s="172" t="inlineStr">
        <is>
          <t>(+)</t>
        </is>
      </c>
      <c r="C244" s="173">
        <f>C128</f>
        <v/>
      </c>
      <c r="D244" s="173">
        <f>D128</f>
        <v/>
      </c>
      <c r="E244" s="173">
        <f>G128</f>
        <v/>
      </c>
      <c r="F244" s="174">
        <f>I128</f>
        <v/>
      </c>
      <c r="G244" s="372" t="n"/>
      <c r="H244" s="918" t="n"/>
      <c r="I244" s="393" t="n"/>
      <c r="J244" s="393" t="n"/>
    </row>
    <row r="245">
      <c r="A245" s="175" t="inlineStr">
        <is>
          <t>Các khoản giảm trừ không tính thuế</t>
        </is>
      </c>
      <c r="B245" s="176" t="inlineStr">
        <is>
          <t>(-)</t>
        </is>
      </c>
      <c r="C245" s="177">
        <f>-C129+C133</f>
        <v/>
      </c>
      <c r="D245" s="177">
        <f>-D129+D133</f>
        <v/>
      </c>
      <c r="E245" s="177">
        <f>-G129+G133</f>
        <v/>
      </c>
      <c r="F245" s="178">
        <f>-I129+I133</f>
        <v/>
      </c>
      <c r="G245" s="372" t="n"/>
      <c r="H245" s="918" t="n"/>
      <c r="I245" s="393" t="n"/>
      <c r="J245" s="393" t="n"/>
    </row>
    <row r="246">
      <c r="A246" s="919" t="inlineStr">
        <is>
          <t>Biến đổi Các khoản Phải thu từ người mua</t>
        </is>
      </c>
      <c r="B246" s="176" t="inlineStr">
        <is>
          <t>(-)</t>
        </is>
      </c>
      <c r="C246" s="177">
        <f>-(C23-B23)-(C49-B49)</f>
        <v/>
      </c>
      <c r="D246" s="177">
        <f>-(D23-C23)-(D49-C49)</f>
        <v/>
      </c>
      <c r="E246" s="177">
        <f>-(G23-D23)-(G49-D49)</f>
        <v/>
      </c>
      <c r="F246" s="178">
        <f>-(I23-D23)-(I49-D49)</f>
        <v/>
      </c>
      <c r="G246" s="374" t="n"/>
      <c r="H246" s="918" t="n"/>
      <c r="I246" s="393" t="n"/>
      <c r="J246" s="393" t="n"/>
    </row>
    <row r="247">
      <c r="A247" s="180" t="inlineStr">
        <is>
          <t>Dòng tiền thu từ bán hàng</t>
        </is>
      </c>
      <c r="B247" s="181" t="inlineStr">
        <is>
          <t>Sum(100:102)</t>
        </is>
      </c>
      <c r="C247" s="182">
        <f>SUM(C244:C246)</f>
        <v/>
      </c>
      <c r="D247" s="182">
        <f>SUM(D244:D246)</f>
        <v/>
      </c>
      <c r="E247" s="182">
        <f>SUM(E244:E246)</f>
        <v/>
      </c>
      <c r="F247" s="192">
        <f>SUM(F244:F246)</f>
        <v/>
      </c>
      <c r="G247" s="374" t="n"/>
      <c r="H247" s="918" t="n"/>
      <c r="I247" s="393" t="n"/>
      <c r="J247" s="393" t="n"/>
    </row>
    <row r="248">
      <c r="A248" s="175" t="inlineStr">
        <is>
          <t>Giá vốn hàng bán không tính khấu hao</t>
        </is>
      </c>
      <c r="B248" s="176" t="inlineStr">
        <is>
          <t>(-)</t>
        </is>
      </c>
      <c r="C248" s="177">
        <f>-(C135-C136)</f>
        <v/>
      </c>
      <c r="D248" s="177">
        <f>-(D135-D136)</f>
        <v/>
      </c>
      <c r="E248" s="177">
        <f>-(G135-G136)</f>
        <v/>
      </c>
      <c r="F248" s="178">
        <f>-(I135-I136)</f>
        <v/>
      </c>
      <c r="G248" s="374" t="n"/>
      <c r="H248" s="918" t="n"/>
      <c r="I248" s="393" t="n"/>
      <c r="J248" s="393" t="n"/>
    </row>
    <row r="249">
      <c r="A249" s="175" t="inlineStr">
        <is>
          <t>Biến đổi Hàng tồn kho</t>
        </is>
      </c>
      <c r="B249" s="176" t="inlineStr">
        <is>
          <t xml:space="preserve"> (-)</t>
        </is>
      </c>
      <c r="C249" s="183">
        <f>-(C29-B29)</f>
        <v/>
      </c>
      <c r="D249" s="183">
        <f>-(D29-C29)</f>
        <v/>
      </c>
      <c r="E249" s="183">
        <f>-(G29-D29)</f>
        <v/>
      </c>
      <c r="F249" s="184">
        <f>-(I29-D29)</f>
        <v/>
      </c>
      <c r="G249" s="374" t="n"/>
      <c r="H249" s="918" t="n"/>
      <c r="I249" s="393" t="n"/>
      <c r="J249" s="393" t="n"/>
    </row>
    <row r="250">
      <c r="A250" s="175" t="inlineStr">
        <is>
          <t>Biến đổi Các khoản phải trả người bán</t>
        </is>
      </c>
      <c r="B250" s="176" t="inlineStr">
        <is>
          <t>(+)</t>
        </is>
      </c>
      <c r="C250" s="177">
        <f>(C86-B86)+(C99-B99)</f>
        <v/>
      </c>
      <c r="D250" s="177">
        <f>(D86-C86)+(D99-C99)</f>
        <v/>
      </c>
      <c r="E250" s="177">
        <f>(G86-D86)+(G99-D99)</f>
        <v/>
      </c>
      <c r="F250" s="178">
        <f>(I86-D86)+(I99-D99)</f>
        <v/>
      </c>
      <c r="G250" s="374" t="n"/>
      <c r="H250" s="918" t="n"/>
      <c r="I250" s="393" t="n"/>
      <c r="J250" s="393" t="n"/>
    </row>
    <row r="251">
      <c r="A251" s="185" t="inlineStr">
        <is>
          <t>Chi phí sản xuất bằng Dòng tiền</t>
        </is>
      </c>
      <c r="B251" s="186" t="inlineStr">
        <is>
          <t>Sum(111,112,113)</t>
        </is>
      </c>
      <c r="C251" s="182">
        <f>SUM(C248:C250)</f>
        <v/>
      </c>
      <c r="D251" s="182">
        <f>SUM(D248:D250)</f>
        <v/>
      </c>
      <c r="E251" s="182">
        <f>SUM(E248:E250)</f>
        <v/>
      </c>
      <c r="F251" s="192">
        <f>SUM(F248:F250)</f>
        <v/>
      </c>
      <c r="G251" s="374" t="n"/>
      <c r="H251" s="918" t="n"/>
      <c r="I251" s="393" t="n"/>
      <c r="J251" s="393" t="n"/>
    </row>
    <row r="252">
      <c r="A252" s="187" t="inlineStr">
        <is>
          <t>Dòng tiền Lợi nhuận gộp</t>
        </is>
      </c>
      <c r="B252" s="188" t="inlineStr">
        <is>
          <t>Sum(110,120)</t>
        </is>
      </c>
      <c r="C252" s="189">
        <f>SUM(C247,C251)</f>
        <v/>
      </c>
      <c r="D252" s="189">
        <f>SUM(D247,D251)</f>
        <v/>
      </c>
      <c r="E252" s="189">
        <f>SUM(E247,E251)</f>
        <v/>
      </c>
      <c r="F252" s="190">
        <f>SUM(F247,F251)</f>
        <v/>
      </c>
      <c r="G252" s="374" t="n"/>
      <c r="H252" s="918" t="n"/>
      <c r="I252" s="393" t="n"/>
      <c r="J252" s="393" t="n"/>
    </row>
    <row r="253">
      <c r="A253" s="175" t="inlineStr">
        <is>
          <t>Chi phí bán hàng và quản lý không tính KH</t>
        </is>
      </c>
      <c r="B253" s="176" t="inlineStr">
        <is>
          <t>(-)</t>
        </is>
      </c>
      <c r="C253" s="177">
        <f>-(C143-C144)-(C141-C142)</f>
        <v/>
      </c>
      <c r="D253" s="177">
        <f>-(D143-D144)-(D141-D142)</f>
        <v/>
      </c>
      <c r="E253" s="177">
        <f>-(G143-G144)-(G141-G142)</f>
        <v/>
      </c>
      <c r="F253" s="178">
        <f>-(I143-I144)-(I141-I142)</f>
        <v/>
      </c>
      <c r="G253" s="374" t="n"/>
      <c r="H253" s="918" t="n"/>
      <c r="I253" s="393" t="n"/>
      <c r="J253" s="393" t="n"/>
    </row>
    <row r="254">
      <c r="A254" s="191" t="inlineStr">
        <is>
          <t>Biến đổi Các khoản trả trước và ký quỹ</t>
        </is>
      </c>
      <c r="B254" s="176" t="inlineStr">
        <is>
          <t>(-)</t>
        </is>
      </c>
      <c r="C254" s="177">
        <f>-(C24-B24)-(C42-B42)-(C75-B75)</f>
        <v/>
      </c>
      <c r="D254" s="177">
        <f>-(D24-C24)-(D42-C42)-(D75-C75)</f>
        <v/>
      </c>
      <c r="E254" s="177">
        <f>-(G24-D24)-(G42-D42)-(G75-D75)</f>
        <v/>
      </c>
      <c r="F254" s="178">
        <f>-(I24-D24)-(I42-D42)-(I75-D75)</f>
        <v/>
      </c>
      <c r="G254" s="374" t="n"/>
      <c r="H254" s="918" t="n"/>
      <c r="I254" s="393" t="n"/>
      <c r="J254" s="393" t="n"/>
    </row>
    <row r="255">
      <c r="A255" s="175" t="inlineStr">
        <is>
          <t>Biến đổi Người mua trả tiền trước</t>
        </is>
      </c>
      <c r="B255" s="176" t="inlineStr">
        <is>
          <t>(+)</t>
        </is>
      </c>
      <c r="C255" s="177">
        <f>C87-B87</f>
        <v/>
      </c>
      <c r="D255" s="177">
        <f>D87-C87</f>
        <v/>
      </c>
      <c r="E255" s="177">
        <f>G87-D87</f>
        <v/>
      </c>
      <c r="F255" s="178">
        <f>I87-D87</f>
        <v/>
      </c>
      <c r="G255" s="374" t="n"/>
      <c r="H255" s="918" t="n"/>
      <c r="I255" s="393" t="n"/>
      <c r="J255" s="393" t="n"/>
    </row>
    <row r="256">
      <c r="A256" s="180" t="inlineStr">
        <is>
          <t>Dòng tiền Chi phí hoạt động</t>
        </is>
      </c>
      <c r="B256" s="186" t="inlineStr">
        <is>
          <t>Sum(131,132,133)</t>
        </is>
      </c>
      <c r="C256" s="182">
        <f>SUM(C253:C255)</f>
        <v/>
      </c>
      <c r="D256" s="182">
        <f>SUM(D253:D255)</f>
        <v/>
      </c>
      <c r="E256" s="182">
        <f>SUM(E253:E255)</f>
        <v/>
      </c>
      <c r="F256" s="192">
        <f>SUM(F253:F255)</f>
        <v/>
      </c>
      <c r="G256" s="374" t="n"/>
      <c r="H256" s="918" t="n"/>
      <c r="I256" s="393" t="n"/>
      <c r="J256" s="393" t="n"/>
    </row>
    <row r="257">
      <c r="A257" s="187" t="inlineStr">
        <is>
          <t>Dòng tiền thuần từ hoạt động</t>
        </is>
      </c>
      <c r="B257" s="188" t="inlineStr">
        <is>
          <t>Sum(130,140)</t>
        </is>
      </c>
      <c r="C257" s="189">
        <f>SUM(C252,C256)</f>
        <v/>
      </c>
      <c r="D257" s="189">
        <f>SUM(D252,D256)</f>
        <v/>
      </c>
      <c r="E257" s="189">
        <f>SUM(E252,E256)</f>
        <v/>
      </c>
      <c r="F257" s="190">
        <f>SUM(F252,F256)</f>
        <v/>
      </c>
      <c r="G257" s="375" t="n"/>
      <c r="H257" s="918" t="n"/>
      <c r="I257" s="393" t="n"/>
      <c r="J257" s="393" t="n"/>
    </row>
    <row r="258">
      <c r="A258" s="175" t="inlineStr">
        <is>
          <t>Thu nhập từ hoạt động tài chính</t>
        </is>
      </c>
      <c r="B258" s="176" t="inlineStr">
        <is>
          <t>(+)</t>
        </is>
      </c>
      <c r="C258" s="177">
        <f>C138</f>
        <v/>
      </c>
      <c r="D258" s="177">
        <f>D138</f>
        <v/>
      </c>
      <c r="E258" s="177">
        <f>G138</f>
        <v/>
      </c>
      <c r="F258" s="178">
        <f>I138</f>
        <v/>
      </c>
      <c r="G258" s="374" t="n"/>
      <c r="H258" s="918" t="n"/>
      <c r="I258" s="393" t="n"/>
      <c r="J258" s="393" t="n"/>
    </row>
    <row r="259">
      <c r="A259" s="175" t="inlineStr">
        <is>
          <t>Thu nhập từ hoạt động khác</t>
        </is>
      </c>
      <c r="B259" s="176" t="inlineStr">
        <is>
          <t>(+)</t>
        </is>
      </c>
      <c r="C259" s="177">
        <f>C148</f>
        <v/>
      </c>
      <c r="D259" s="177">
        <f>D148</f>
        <v/>
      </c>
      <c r="E259" s="177">
        <f>G148</f>
        <v/>
      </c>
      <c r="F259" s="178">
        <f>I148</f>
        <v/>
      </c>
      <c r="G259" s="374" t="n"/>
      <c r="H259" s="918" t="n"/>
      <c r="I259" s="393" t="n"/>
      <c r="J259" s="393" t="n"/>
    </row>
    <row r="260">
      <c r="A260" s="191" t="inlineStr">
        <is>
          <t>Biến đổi Các khoản phải thu khác</t>
        </is>
      </c>
      <c r="B260" s="176" t="inlineStr">
        <is>
          <t>(-)</t>
        </is>
      </c>
      <c r="C260" s="177">
        <f>-(C25+C26+C27+C28-B25-B26-B27-B28)</f>
        <v/>
      </c>
      <c r="D260" s="177">
        <f>-(D25+D26+D27+D28-C25-C26-C27-C28)</f>
        <v/>
      </c>
      <c r="E260" s="177">
        <f>-(G25+G26+G27+G28-D25-D26-D27-D28)</f>
        <v/>
      </c>
      <c r="F260" s="178">
        <f>-(I25+I26+I27+I28-D25-D26-D27-D28)</f>
        <v/>
      </c>
      <c r="G260" s="374" t="n"/>
      <c r="H260" s="918" t="n"/>
      <c r="I260" s="393" t="n"/>
      <c r="J260" s="393" t="n"/>
    </row>
    <row r="261">
      <c r="A261" s="191" t="inlineStr">
        <is>
          <t>Biến đổi Tài sản có ngắn hạn khác</t>
        </is>
      </c>
      <c r="B261" s="176" t="inlineStr">
        <is>
          <t>(-)</t>
        </is>
      </c>
      <c r="C261" s="177">
        <f>-(C45-B45)</f>
        <v/>
      </c>
      <c r="D261" s="177">
        <f>-(D45-C45)</f>
        <v/>
      </c>
      <c r="E261" s="177">
        <f>-(G45-D45)</f>
        <v/>
      </c>
      <c r="F261" s="178">
        <f>-(I45-D45)</f>
        <v/>
      </c>
      <c r="G261" s="374" t="n"/>
      <c r="H261" s="918" t="n"/>
      <c r="I261" s="393" t="n"/>
      <c r="J261" s="393" t="n"/>
    </row>
    <row r="262">
      <c r="A262" s="191" t="inlineStr">
        <is>
          <t>Biến đổi Các khoản phải trả khác</t>
        </is>
      </c>
      <c r="B262" s="176" t="inlineStr">
        <is>
          <t>(+)</t>
        </is>
      </c>
      <c r="C262" s="177">
        <f>C89+C90+C91+C92-B89-B90-B91-B92</f>
        <v/>
      </c>
      <c r="D262" s="177">
        <f>D89+D90+D91+D92-C89-C90-C91-C92</f>
        <v/>
      </c>
      <c r="E262" s="177">
        <f>G89+G90+G91+G92-D89-D90-D91-D92</f>
        <v/>
      </c>
      <c r="F262" s="178">
        <f>I89+I90+I91+I92-D89-D90-D91-D92</f>
        <v/>
      </c>
      <c r="G262" s="374" t="n"/>
      <c r="H262" s="918" t="n"/>
      <c r="I262" s="393" t="n"/>
      <c r="J262" s="393" t="n"/>
    </row>
    <row r="263">
      <c r="A263" s="191" t="inlineStr">
        <is>
          <t>Biến đổi Tài sản nợ ngắn hạn khác</t>
        </is>
      </c>
      <c r="B263" s="176" t="inlineStr">
        <is>
          <t>(+)</t>
        </is>
      </c>
      <c r="C263" s="177">
        <f>C93+C94-B93-B94</f>
        <v/>
      </c>
      <c r="D263" s="177">
        <f>D93+D94-C93-C94</f>
        <v/>
      </c>
      <c r="E263" s="177">
        <f>G93+G94-D93-D94</f>
        <v/>
      </c>
      <c r="F263" s="178">
        <f>I93+I94-D93-D94</f>
        <v/>
      </c>
      <c r="G263" s="374" t="n"/>
      <c r="H263" s="918" t="n"/>
      <c r="I263" s="393" t="n"/>
      <c r="J263" s="393" t="n"/>
    </row>
    <row r="264">
      <c r="A264" s="191" t="inlineStr">
        <is>
          <t>Biến đổi Tài sản có  khác</t>
        </is>
      </c>
      <c r="B264" s="176" t="inlineStr">
        <is>
          <t>(-)</t>
        </is>
      </c>
      <c r="C264" s="177">
        <f>-(C50+C51+C52+C53+C78-B50-B51-B52-B53-B78)</f>
        <v/>
      </c>
      <c r="D264" s="177">
        <f>-(D50+D51+D52+D53+D78-C50-C51-C52-C53-C78)</f>
        <v/>
      </c>
      <c r="E264" s="177">
        <f>-(G50+G51+G52+G53+G78-D50-D51-D52-D53-D78)</f>
        <v/>
      </c>
      <c r="F264" s="178">
        <f>-(I50+I51+I52+I53+I78-D50-D51-D52-D53-D78)</f>
        <v/>
      </c>
      <c r="G264" s="374" t="n"/>
      <c r="H264" s="918" t="n"/>
      <c r="I264" s="393" t="n"/>
      <c r="J264" s="393" t="n"/>
    </row>
    <row r="265">
      <c r="A265" s="191" t="inlineStr">
        <is>
          <t>Biến đổi Tài sản nợ khác</t>
        </is>
      </c>
      <c r="B265" s="176" t="inlineStr">
        <is>
          <t>(+)</t>
        </is>
      </c>
      <c r="C265" s="177">
        <f>C100+C101+C105+C106-B100-B101-B105-B106</f>
        <v/>
      </c>
      <c r="D265" s="177">
        <f>D100+D101+D105+D106-C100-C101-C105-C106</f>
        <v/>
      </c>
      <c r="E265" s="177">
        <f>G100+G101+G105+G106-D100-D101-D105-D106</f>
        <v/>
      </c>
      <c r="F265" s="178">
        <f>I100+I101+I105+I106-D100-D101-D105-D106</f>
        <v/>
      </c>
      <c r="G265" s="374" t="n"/>
      <c r="H265" s="918" t="n"/>
      <c r="I265" s="393" t="n"/>
      <c r="J265" s="393" t="n"/>
    </row>
    <row r="266">
      <c r="A266" s="193" t="inlineStr">
        <is>
          <t>Biến đổi từ các hoạt động bất thường</t>
        </is>
      </c>
      <c r="B266" s="194" t="inlineStr">
        <is>
          <t>Sum(151:158)</t>
        </is>
      </c>
      <c r="C266" s="195">
        <f>SUM(C258:C265)</f>
        <v/>
      </c>
      <c r="D266" s="195">
        <f>SUM(D258:D265)</f>
        <v/>
      </c>
      <c r="E266" s="195">
        <f>SUM(E258:E265)</f>
        <v/>
      </c>
      <c r="F266" s="196">
        <f>SUM(F258:F265)</f>
        <v/>
      </c>
      <c r="G266" s="375" t="n"/>
      <c r="H266" s="918" t="n"/>
      <c r="I266" s="393" t="n"/>
      <c r="J266" s="393" t="n"/>
    </row>
    <row r="267">
      <c r="A267" s="175" t="inlineStr">
        <is>
          <t>Thuế phải trả năm nay</t>
        </is>
      </c>
      <c r="B267" s="176" t="inlineStr">
        <is>
          <t>(-)</t>
        </is>
      </c>
      <c r="C267" s="177">
        <f>-(C150-C151)-C133</f>
        <v/>
      </c>
      <c r="D267" s="177">
        <f>-(D150-D151)-D133</f>
        <v/>
      </c>
      <c r="E267" s="177">
        <f>-(G150-G151)-G133</f>
        <v/>
      </c>
      <c r="F267" s="197">
        <f>-(I150-I151)-I133</f>
        <v/>
      </c>
      <c r="G267" s="374" t="n"/>
      <c r="H267" s="918" t="n"/>
      <c r="I267" s="393" t="n"/>
      <c r="J267" s="393" t="n"/>
    </row>
    <row r="268">
      <c r="A268" s="175" t="inlineStr">
        <is>
          <t>Biến đổi thuế hoàn lại phải thu</t>
        </is>
      </c>
      <c r="B268" s="176" t="inlineStr">
        <is>
          <t>(-)</t>
        </is>
      </c>
      <c r="C268" s="177">
        <f>-(C43+C44-B43-B44)</f>
        <v/>
      </c>
      <c r="D268" s="177">
        <f>-(D43+D44-C43-C44)</f>
        <v/>
      </c>
      <c r="E268" s="177">
        <f>-(G43+G44-D43-D44)</f>
        <v/>
      </c>
      <c r="F268" s="178">
        <f>-(I43+I44-D43-D44)</f>
        <v/>
      </c>
      <c r="G268" s="374" t="n"/>
      <c r="H268" s="918" t="n"/>
      <c r="I268" s="393" t="n"/>
      <c r="J268" s="393" t="n"/>
    </row>
    <row r="269">
      <c r="A269" s="175" t="inlineStr">
        <is>
          <t>Biến đổi thuế hoàn lại Ngân sách nợ</t>
        </is>
      </c>
      <c r="B269" s="176" t="inlineStr">
        <is>
          <t>(-)</t>
        </is>
      </c>
      <c r="C269" s="177">
        <f>-(C76-B76)</f>
        <v/>
      </c>
      <c r="D269" s="177">
        <f>-(D76-C76)</f>
        <v/>
      </c>
      <c r="E269" s="177">
        <f>-(G76-D76)</f>
        <v/>
      </c>
      <c r="F269" s="178">
        <f>-(I76-D76)</f>
        <v/>
      </c>
      <c r="G269" s="374" t="n"/>
      <c r="H269" s="918" t="n"/>
      <c r="I269" s="393" t="n"/>
      <c r="J269" s="393" t="n"/>
    </row>
    <row r="270">
      <c r="A270" s="175" t="inlineStr">
        <is>
          <t>Biến đổi thuế còn phải nộp ngân sách</t>
        </is>
      </c>
      <c r="B270" s="176" t="inlineStr">
        <is>
          <t>(+)</t>
        </is>
      </c>
      <c r="C270" s="177">
        <f>C88-B88</f>
        <v/>
      </c>
      <c r="D270" s="177">
        <f>D88-C88</f>
        <v/>
      </c>
      <c r="E270" s="177">
        <f>G88-D88</f>
        <v/>
      </c>
      <c r="F270" s="178">
        <f>I88-D88</f>
        <v/>
      </c>
      <c r="G270" s="374" t="n"/>
      <c r="H270" s="918" t="n"/>
      <c r="I270" s="393" t="n"/>
      <c r="J270" s="393" t="n"/>
    </row>
    <row r="271">
      <c r="A271" s="175" t="inlineStr">
        <is>
          <t>Biến đổi thuế nợ ngân sách phải trả</t>
        </is>
      </c>
      <c r="B271" s="176" t="inlineStr">
        <is>
          <t>(+)</t>
        </is>
      </c>
      <c r="C271" s="177">
        <f>C104-B104</f>
        <v/>
      </c>
      <c r="D271" s="177">
        <f>D104-C104</f>
        <v/>
      </c>
      <c r="E271" s="177">
        <f>G104-D104</f>
        <v/>
      </c>
      <c r="F271" s="178">
        <f>I104-D104</f>
        <v/>
      </c>
      <c r="G271" s="374" t="n"/>
      <c r="H271" s="918" t="n"/>
      <c r="I271" s="393" t="n"/>
      <c r="J271" s="393" t="n"/>
    </row>
    <row r="272">
      <c r="A272" s="185" t="inlineStr">
        <is>
          <t>Dòng tiền thuế đã nộp trong kỳ</t>
        </is>
      </c>
      <c r="B272" s="181" t="inlineStr">
        <is>
          <t>Sum(161:165)</t>
        </is>
      </c>
      <c r="C272" s="182">
        <f>SUM(C267:C271)</f>
        <v/>
      </c>
      <c r="D272" s="182">
        <f>SUM(D267:D271)</f>
        <v/>
      </c>
      <c r="E272" s="182">
        <f>SUM(E267:E271)</f>
        <v/>
      </c>
      <c r="F272" s="192">
        <f>SUM(F267:F271)</f>
        <v/>
      </c>
      <c r="G272" s="374" t="n"/>
      <c r="H272" s="918" t="n"/>
      <c r="I272" s="393" t="n"/>
      <c r="J272" s="393" t="n"/>
    </row>
    <row r="273">
      <c r="A273" s="198" t="inlineStr">
        <is>
          <t>Dòng tiền thuần sau HĐKD</t>
        </is>
      </c>
      <c r="B273" s="199" t="inlineStr">
        <is>
          <t>Sum(150,160,170)</t>
        </is>
      </c>
      <c r="C273" s="189">
        <f>SUM(C257,C266,C272)</f>
        <v/>
      </c>
      <c r="D273" s="189">
        <f>SUM(D257,D266,D272)</f>
        <v/>
      </c>
      <c r="E273" s="189">
        <f>SUM(E257,E266,E272)</f>
        <v/>
      </c>
      <c r="F273" s="190">
        <f>SUM(F257,F266,F272)</f>
        <v/>
      </c>
      <c r="G273" s="376" t="n"/>
      <c r="H273" s="918" t="n"/>
      <c r="I273" s="393" t="n"/>
      <c r="J273" s="393" t="n"/>
    </row>
    <row r="274">
      <c r="A274" s="175" t="inlineStr">
        <is>
          <t>Dòng tiền chi phí trả lãi vay</t>
        </is>
      </c>
      <c r="B274" s="176" t="inlineStr">
        <is>
          <t>(-)</t>
        </is>
      </c>
      <c r="C274" s="177">
        <f>-C140</f>
        <v/>
      </c>
      <c r="D274" s="177">
        <f>-D140</f>
        <v/>
      </c>
      <c r="E274" s="177">
        <f>-G140</f>
        <v/>
      </c>
      <c r="F274" s="178">
        <f>-I140</f>
        <v/>
      </c>
      <c r="G274" s="374" t="n"/>
      <c r="H274" s="918" t="n"/>
      <c r="I274" s="393" t="n"/>
      <c r="J274" s="393" t="n"/>
    </row>
    <row r="275">
      <c r="A275" s="175" t="inlineStr">
        <is>
          <t>Chi phí tài chính khác</t>
        </is>
      </c>
      <c r="B275" s="176" t="inlineStr">
        <is>
          <t>(-)</t>
        </is>
      </c>
      <c r="C275" s="177">
        <f>-(C139-C140)</f>
        <v/>
      </c>
      <c r="D275" s="177">
        <f>-(D139-D140)</f>
        <v/>
      </c>
      <c r="E275" s="177">
        <f>-(G139-G140)</f>
        <v/>
      </c>
      <c r="F275" s="178">
        <f>-(I139-I140)</f>
        <v/>
      </c>
      <c r="G275" s="374" t="n"/>
      <c r="H275" s="918" t="n"/>
      <c r="I275" s="393" t="n"/>
      <c r="J275" s="393" t="n"/>
    </row>
    <row r="276">
      <c r="A276" s="175" t="inlineStr">
        <is>
          <t xml:space="preserve"> Lợi tức phải trả/ nộp cấp trên hoặc trích quỹ</t>
        </is>
      </c>
      <c r="B276" s="176" t="inlineStr">
        <is>
          <t>(-)</t>
        </is>
      </c>
      <c r="C276" s="200">
        <f>IF(C152="","",(C121-B121)-C152)</f>
        <v/>
      </c>
      <c r="D276" s="200">
        <f>(D121-C121)-D152</f>
        <v/>
      </c>
      <c r="E276" s="200">
        <f>(G121-D121)-G152</f>
        <v/>
      </c>
      <c r="F276" s="201">
        <f>(I121-D121)-I152</f>
        <v/>
      </c>
      <c r="G276" s="374" t="n"/>
      <c r="H276" s="918" t="n"/>
      <c r="I276" s="393" t="n"/>
      <c r="J276" s="393" t="n"/>
    </row>
    <row r="277">
      <c r="A277" s="185" t="inlineStr">
        <is>
          <t>Dòng tiền chi phí trong hoạt động tài chính</t>
        </is>
      </c>
      <c r="B277" s="181" t="inlineStr">
        <is>
          <t>Sum(181,182)</t>
        </is>
      </c>
      <c r="C277" s="182">
        <f>IF(C276="","",SUM(C274:C276))</f>
        <v/>
      </c>
      <c r="D277" s="182">
        <f>SUM(D274:D276)</f>
        <v/>
      </c>
      <c r="E277" s="182">
        <f>SUM(E274:E276)</f>
        <v/>
      </c>
      <c r="F277" s="192">
        <f>SUM(F274:F276)</f>
        <v/>
      </c>
      <c r="G277" s="375" t="n"/>
      <c r="H277" s="921" t="n"/>
      <c r="I277" s="393" t="n"/>
      <c r="J277" s="393" t="n"/>
    </row>
    <row r="278">
      <c r="A278" s="198" t="inlineStr">
        <is>
          <t>Dòng tiền lợi nhuận ròng</t>
        </is>
      </c>
      <c r="B278" s="199" t="inlineStr">
        <is>
          <t>Sum(180,190)</t>
        </is>
      </c>
      <c r="C278" s="189">
        <f>SUM(C273,C277)</f>
        <v/>
      </c>
      <c r="D278" s="189">
        <f>SUM(D273,D277)</f>
        <v/>
      </c>
      <c r="E278" s="189">
        <f>SUM(E273,E277)</f>
        <v/>
      </c>
      <c r="F278" s="190">
        <f>SUM(F273,F277)</f>
        <v/>
      </c>
      <c r="G278" s="378" t="n"/>
      <c r="H278" s="918" t="n"/>
      <c r="I278" s="368" t="n"/>
      <c r="J278" s="368" t="n"/>
    </row>
    <row r="279">
      <c r="A279" s="175" t="inlineStr">
        <is>
          <t>Vay dài hạn đến hạn phải trả</t>
        </is>
      </c>
      <c r="B279" s="176" t="inlineStr">
        <is>
          <t>(-)</t>
        </is>
      </c>
      <c r="C279" s="202" t="n"/>
      <c r="D279" s="202" t="n"/>
      <c r="E279" s="202" t="n"/>
      <c r="F279" s="203" t="n"/>
      <c r="G279" s="374" t="n"/>
      <c r="H279" s="918" t="n"/>
      <c r="I279" s="393" t="n"/>
      <c r="J279" s="393" t="n"/>
    </row>
    <row r="280">
      <c r="A280" s="191" t="inlineStr">
        <is>
          <t>Thuê mua tài chính đến hạn phải trả</t>
        </is>
      </c>
      <c r="B280" s="176" t="inlineStr">
        <is>
          <t>(-)</t>
        </is>
      </c>
      <c r="C280" s="177" t="n"/>
      <c r="D280" s="177" t="n"/>
      <c r="E280" s="177" t="n"/>
      <c r="F280" s="178" t="n"/>
      <c r="G280" s="374" t="n"/>
      <c r="H280" s="918" t="n"/>
      <c r="I280" s="393" t="n"/>
      <c r="J280" s="393" t="n"/>
    </row>
    <row r="281">
      <c r="A281" s="175" t="inlineStr">
        <is>
          <t>Nợ dài hạn đến hạn phải trả khác</t>
        </is>
      </c>
      <c r="B281" s="176" t="inlineStr">
        <is>
          <t>(-)</t>
        </is>
      </c>
      <c r="C281" s="177" t="n"/>
      <c r="D281" s="177" t="n"/>
      <c r="E281" s="177" t="n"/>
      <c r="F281" s="178" t="n"/>
      <c r="G281" s="374" t="n"/>
      <c r="H281" s="918" t="n"/>
      <c r="I281" s="393" t="n"/>
      <c r="J281" s="393" t="n"/>
    </row>
    <row r="282">
      <c r="A282" s="185" t="inlineStr">
        <is>
          <t>Dòng tiền trả gốc vay theo kế hoạch</t>
        </is>
      </c>
      <c r="B282" s="186" t="inlineStr">
        <is>
          <t>Sum(201,202,203)</t>
        </is>
      </c>
      <c r="C282" s="177">
        <f>SUM(C280:C281)</f>
        <v/>
      </c>
      <c r="D282" s="177">
        <f>SUM(D280:D281)</f>
        <v/>
      </c>
      <c r="E282" s="177">
        <f>SUM(E280:E281)</f>
        <v/>
      </c>
      <c r="F282" s="178">
        <f>SUM(F280:F281)</f>
        <v/>
      </c>
      <c r="G282" s="374" t="n"/>
      <c r="H282" s="918" t="n"/>
      <c r="I282" s="393" t="n"/>
      <c r="J282" s="393" t="n"/>
    </row>
    <row r="283">
      <c r="A283" s="204" t="inlineStr">
        <is>
          <t>Dòng tiền thuần sau trả gốc</t>
        </is>
      </c>
      <c r="B283" s="205" t="inlineStr">
        <is>
          <t>Sum(200,210)</t>
        </is>
      </c>
      <c r="C283" s="202">
        <f>SUM(C278,C282)</f>
        <v/>
      </c>
      <c r="D283" s="202">
        <f>SUM(D278,D282)</f>
        <v/>
      </c>
      <c r="E283" s="202">
        <f>SUM(E278,E282)</f>
        <v/>
      </c>
      <c r="F283" s="203">
        <f>SUM(F278,F282)</f>
        <v/>
      </c>
      <c r="G283" s="374" t="n"/>
      <c r="H283" s="918" t="n"/>
      <c r="I283" s="393" t="n"/>
      <c r="J283" s="393" t="n"/>
    </row>
    <row r="284">
      <c r="A284" s="175" t="inlineStr">
        <is>
          <t>Biến đổi TSCĐ hữu hình  thuần</t>
        </is>
      </c>
      <c r="B284" s="176" t="inlineStr">
        <is>
          <t>(-)</t>
        </is>
      </c>
      <c r="C284" s="177">
        <f>-(C55-B55)-(C65-B65)</f>
        <v/>
      </c>
      <c r="D284" s="177">
        <f>-(D55-C55)-(D65-C65)</f>
        <v/>
      </c>
      <c r="E284" s="177">
        <f>-(G55-D55)-(G65-D65)</f>
        <v/>
      </c>
      <c r="F284" s="178">
        <f>-(I55-D55)-(I65-D65)</f>
        <v/>
      </c>
      <c r="G284" s="374" t="n"/>
      <c r="H284" s="918" t="n"/>
      <c r="I284" s="393" t="n"/>
      <c r="J284" s="393" t="n"/>
    </row>
    <row r="285">
      <c r="A285" s="175" t="inlineStr">
        <is>
          <t>Biến đổi TS thuê tài chính thuần</t>
        </is>
      </c>
      <c r="B285" s="176" t="inlineStr">
        <is>
          <t>(-)</t>
        </is>
      </c>
      <c r="C285" s="177">
        <f>-(C58-B58)</f>
        <v/>
      </c>
      <c r="D285" s="177">
        <f>-(D58-C58)</f>
        <v/>
      </c>
      <c r="E285" s="177">
        <f>-(G58-D58)</f>
        <v/>
      </c>
      <c r="F285" s="178">
        <f>-(I58-D58)</f>
        <v/>
      </c>
      <c r="G285" s="374" t="n"/>
      <c r="H285" s="918" t="n"/>
      <c r="I285" s="393" t="n"/>
      <c r="J285" s="393" t="n"/>
    </row>
    <row r="286">
      <c r="A286" s="175" t="inlineStr">
        <is>
          <t>Biến đổi TSCĐ vô hình thuần</t>
        </is>
      </c>
      <c r="B286" s="176" t="inlineStr">
        <is>
          <t>(-)</t>
        </is>
      </c>
      <c r="C286" s="177">
        <f>-(C61-B61)</f>
        <v/>
      </c>
      <c r="D286" s="177">
        <f>-(D61-C61)</f>
        <v/>
      </c>
      <c r="E286" s="177">
        <f>-(G61-D61)</f>
        <v/>
      </c>
      <c r="F286" s="178">
        <f>-(I61-D61)</f>
        <v/>
      </c>
      <c r="G286" s="374" t="n"/>
      <c r="H286" s="918" t="n"/>
      <c r="I286" s="393" t="n"/>
      <c r="J286" s="393" t="n"/>
    </row>
    <row r="287">
      <c r="A287" s="175" t="inlineStr">
        <is>
          <t>Tổng khấu hao</t>
        </is>
      </c>
      <c r="B287" s="176" t="inlineStr">
        <is>
          <t>(-)</t>
        </is>
      </c>
      <c r="C287" s="177">
        <f>-(C136+C142+C144)</f>
        <v/>
      </c>
      <c r="D287" s="177">
        <f>-(D136+D142+D144)</f>
        <v/>
      </c>
      <c r="E287" s="177">
        <f>-(G136+G142+G144)</f>
        <v/>
      </c>
      <c r="F287" s="178">
        <f>-(I136+I142+I144)</f>
        <v/>
      </c>
      <c r="G287" s="374" t="n"/>
      <c r="H287" s="918" t="n"/>
      <c r="I287" s="393" t="n"/>
      <c r="J287" s="393" t="n"/>
    </row>
    <row r="288">
      <c r="A288" s="175" t="inlineStr">
        <is>
          <t>Biến đổi Xây dựng cơ bản dở dang</t>
        </is>
      </c>
      <c r="B288" s="176" t="inlineStr">
        <is>
          <t>(-)</t>
        </is>
      </c>
      <c r="C288" s="177">
        <f>-(C64-B64)</f>
        <v/>
      </c>
      <c r="D288" s="177">
        <f>-(D64-C64)</f>
        <v/>
      </c>
      <c r="E288" s="177">
        <f>-(G64-D64)</f>
        <v/>
      </c>
      <c r="F288" s="178">
        <f>-(I64-D64)</f>
        <v/>
      </c>
      <c r="G288" s="374" t="n"/>
      <c r="H288" s="918" t="n"/>
      <c r="I288" s="393" t="n"/>
      <c r="J288" s="393" t="n"/>
    </row>
    <row r="289">
      <c r="A289" s="185" t="inlineStr">
        <is>
          <t>Chi phí vốn thuần</t>
        </is>
      </c>
      <c r="B289" s="181" t="inlineStr">
        <is>
          <t>Sum(221:225)</t>
        </is>
      </c>
      <c r="C289" s="182">
        <f>SUM(C284:C288)</f>
        <v/>
      </c>
      <c r="D289" s="182">
        <f>SUM(D284:D288)</f>
        <v/>
      </c>
      <c r="E289" s="182">
        <f>SUM(E284:E288)</f>
        <v/>
      </c>
      <c r="F289" s="192">
        <f>SUM(F284:F288)</f>
        <v/>
      </c>
      <c r="G289" s="375" t="n"/>
      <c r="H289" s="921" t="n"/>
      <c r="I289" s="393" t="n"/>
      <c r="J289" s="393" t="n"/>
    </row>
    <row r="290">
      <c r="A290" s="175" t="inlineStr">
        <is>
          <t>Biến đổi Hoạt động đầu tư</t>
        </is>
      </c>
      <c r="B290" s="176" t="inlineStr">
        <is>
          <t>(-)</t>
        </is>
      </c>
      <c r="C290" s="177">
        <f>-(C68-B68)</f>
        <v/>
      </c>
      <c r="D290" s="177">
        <f>-(D68-C68)</f>
        <v/>
      </c>
      <c r="E290" s="177">
        <f>-(G68-D68)</f>
        <v/>
      </c>
      <c r="F290" s="178">
        <f>-(I68-D68)</f>
        <v/>
      </c>
      <c r="G290" s="374" t="n"/>
      <c r="H290" s="918" t="n"/>
      <c r="I290" s="368" t="n"/>
      <c r="J290" s="368" t="n"/>
    </row>
    <row r="291">
      <c r="A291" s="193" t="inlineStr">
        <is>
          <t>Tổng Dòng tiền chi phí tài sản vốn và đầu tư</t>
        </is>
      </c>
      <c r="B291" s="194" t="inlineStr">
        <is>
          <t>Sum(230,240)</t>
        </is>
      </c>
      <c r="C291" s="195">
        <f>SUM(C289:C290)</f>
        <v/>
      </c>
      <c r="D291" s="195">
        <f>SUM(D289:D290)</f>
        <v/>
      </c>
      <c r="E291" s="195">
        <f>SUM(E289:E290)</f>
        <v/>
      </c>
      <c r="F291" s="196">
        <f>SUM(F289:F290)</f>
        <v/>
      </c>
      <c r="G291" s="379" t="n"/>
      <c r="H291" s="918" t="n"/>
      <c r="I291" s="393" t="n"/>
      <c r="J291" s="393" t="n"/>
    </row>
    <row r="292">
      <c r="A292" s="187" t="inlineStr">
        <is>
          <t>Nhu cầu vốn tài trợ</t>
        </is>
      </c>
      <c r="B292" s="199" t="inlineStr">
        <is>
          <t>Sum(220,250)</t>
        </is>
      </c>
      <c r="C292" s="189">
        <f>SUM(C283,C291)</f>
        <v/>
      </c>
      <c r="D292" s="189">
        <f>SUM(D283,D291)</f>
        <v/>
      </c>
      <c r="E292" s="189">
        <f>SUM(E283,E291)</f>
        <v/>
      </c>
      <c r="F292" s="190">
        <f>SUM(F283,F291)</f>
        <v/>
      </c>
      <c r="G292" s="375" t="n"/>
      <c r="H292" s="918" t="n"/>
      <c r="I292" s="393" t="n"/>
      <c r="J292" s="393" t="n"/>
    </row>
    <row r="293">
      <c r="A293" s="175" t="inlineStr">
        <is>
          <t>Biến đổi vay ngắn hạn</t>
        </is>
      </c>
      <c r="B293" s="176" t="inlineStr">
        <is>
          <t>(+)</t>
        </is>
      </c>
      <c r="C293" s="177">
        <f>C84-B84</f>
        <v/>
      </c>
      <c r="D293" s="177">
        <f>D84-C84</f>
        <v/>
      </c>
      <c r="E293" s="177">
        <f>G84-D84</f>
        <v/>
      </c>
      <c r="F293" s="178">
        <f>I84-D84</f>
        <v/>
      </c>
      <c r="G293" s="374" t="n"/>
      <c r="H293" s="918" t="n"/>
      <c r="I293" s="393" t="n"/>
      <c r="J293" s="393" t="n"/>
    </row>
    <row r="294">
      <c r="A294" s="206" t="inlineStr">
        <is>
          <t>Biến đổi vay trung và dài hạn</t>
        </is>
      </c>
      <c r="B294" s="176" t="inlineStr">
        <is>
          <t>(+)</t>
        </is>
      </c>
      <c r="C294" s="177">
        <f>C102-B102</f>
        <v/>
      </c>
      <c r="D294" s="177">
        <f>D102-C102</f>
        <v/>
      </c>
      <c r="E294" s="177">
        <f>G102-D102</f>
        <v/>
      </c>
      <c r="F294" s="178">
        <f>I102-D102</f>
        <v/>
      </c>
      <c r="G294" s="374" t="n"/>
      <c r="H294" s="918" t="n"/>
      <c r="I294" s="393" t="n"/>
      <c r="J294" s="393" t="n"/>
    </row>
    <row r="295">
      <c r="A295" s="191" t="inlineStr">
        <is>
          <t>Biến đổi Vốn góp và quỹ</t>
        </is>
      </c>
      <c r="B295" s="176" t="inlineStr">
        <is>
          <t>(+)</t>
        </is>
      </c>
      <c r="C295" s="177">
        <f>C110-B110-(C121-B121)</f>
        <v/>
      </c>
      <c r="D295" s="177">
        <f>D110-C110-(D121-C121)</f>
        <v/>
      </c>
      <c r="E295" s="177">
        <f>G110-D110-(G121-D121)</f>
        <v/>
      </c>
      <c r="F295" s="178">
        <f>I110-D110-(I121-D121)</f>
        <v/>
      </c>
      <c r="G295" s="374" t="n"/>
      <c r="H295" s="918" t="n"/>
      <c r="I295" s="393" t="n"/>
      <c r="J295" s="393" t="n"/>
    </row>
    <row r="296">
      <c r="A296" s="180" t="inlineStr">
        <is>
          <t>Tổng số Dòng tiền tài trợ</t>
        </is>
      </c>
      <c r="B296" s="181" t="inlineStr">
        <is>
          <t>Sum(261:262)</t>
        </is>
      </c>
      <c r="C296" s="182">
        <f>SUM(C293:C295)</f>
        <v/>
      </c>
      <c r="D296" s="182">
        <f>SUM(D293:D295)</f>
        <v/>
      </c>
      <c r="E296" s="182">
        <f>SUM(E293:E295)</f>
        <v/>
      </c>
      <c r="F296" s="192">
        <f>SUM(F293:F295)</f>
        <v/>
      </c>
      <c r="G296" s="375" t="n"/>
      <c r="H296" s="921" t="n"/>
      <c r="I296" s="393" t="n"/>
      <c r="J296" s="393" t="n"/>
    </row>
    <row r="297">
      <c r="A297" s="198" t="inlineStr">
        <is>
          <t>Biến đổi Dòng tiền theo tính toán</t>
        </is>
      </c>
      <c r="B297" s="199" t="inlineStr">
        <is>
          <t>Sum(260,270)</t>
        </is>
      </c>
      <c r="C297" s="189">
        <f>SUM(C292,C296)</f>
        <v/>
      </c>
      <c r="D297" s="189">
        <f>SUM(D292,D296)</f>
        <v/>
      </c>
      <c r="E297" s="189">
        <f>SUM(E292,E296)</f>
        <v/>
      </c>
      <c r="F297" s="190">
        <f>SUM(F292,F296)</f>
        <v/>
      </c>
      <c r="G297" s="375" t="n"/>
      <c r="H297" s="918" t="n"/>
      <c r="I297" s="368" t="n"/>
      <c r="J297" s="368" t="n"/>
    </row>
    <row r="298">
      <c r="A298" s="175" t="inlineStr">
        <is>
          <t>Biến đổi Dòng tiền mặt</t>
        </is>
      </c>
      <c r="B298" s="176" t="inlineStr">
        <is>
          <t>(+)</t>
        </is>
      </c>
      <c r="C298" s="177">
        <f>C11-B11</f>
        <v/>
      </c>
      <c r="D298" s="177">
        <f>D11-C11</f>
        <v/>
      </c>
      <c r="E298" s="177">
        <f>G11-D11</f>
        <v/>
      </c>
      <c r="F298" s="178">
        <f>I11-D11</f>
        <v/>
      </c>
      <c r="G298" s="374" t="n"/>
      <c r="H298" s="918" t="n"/>
      <c r="I298" s="393" t="n"/>
      <c r="J298" s="393" t="n"/>
    </row>
    <row r="299">
      <c r="A299" s="175" t="inlineStr">
        <is>
          <t>Biến đổi Đầu tư chứng khoán ngắn hạn</t>
        </is>
      </c>
      <c r="B299" s="176" t="inlineStr">
        <is>
          <t>(+)</t>
        </is>
      </c>
      <c r="C299" s="177">
        <f>C17-B17</f>
        <v/>
      </c>
      <c r="D299" s="177">
        <f>D17-C17</f>
        <v/>
      </c>
      <c r="E299" s="177">
        <f>G17-D17</f>
        <v/>
      </c>
      <c r="F299" s="178">
        <f>I17-D17</f>
        <v/>
      </c>
      <c r="G299" s="374" t="n"/>
      <c r="H299" s="918" t="n"/>
      <c r="I299" s="393" t="n"/>
      <c r="J299" s="393" t="n"/>
    </row>
    <row r="300">
      <c r="A300" s="185" t="inlineStr">
        <is>
          <t>Biến đổi Dòng tiền thực tế</t>
        </is>
      </c>
      <c r="B300" s="181" t="inlineStr">
        <is>
          <t>Sum(281:282)</t>
        </is>
      </c>
      <c r="C300" s="182">
        <f>SUM(C298:C299)</f>
        <v/>
      </c>
      <c r="D300" s="182">
        <f>SUM(D298:D299)</f>
        <v/>
      </c>
      <c r="E300" s="182">
        <f>SUM(E298:E299)</f>
        <v/>
      </c>
      <c r="F300" s="192">
        <f>SUM(F298:F299)</f>
        <v/>
      </c>
      <c r="G300" s="375" t="n"/>
      <c r="H300" s="921" t="n"/>
      <c r="I300" s="393" t="n"/>
      <c r="J300" s="393" t="n"/>
    </row>
    <row r="301" ht="15.75" customHeight="1" s="782" thickBot="1">
      <c r="A301" s="207" t="inlineStr">
        <is>
          <t>Chênh lệch =Biến đổi theo tính toán - Biến đổi thực tế</t>
        </is>
      </c>
      <c r="B301" s="208" t="inlineStr">
        <is>
          <t>280-290</t>
        </is>
      </c>
      <c r="C301" s="209">
        <f>C297-C300</f>
        <v/>
      </c>
      <c r="D301" s="209">
        <f>D297-D300</f>
        <v/>
      </c>
      <c r="E301" s="209">
        <f>E297-E300</f>
        <v/>
      </c>
      <c r="F301" s="210">
        <f>F297-F300</f>
        <v/>
      </c>
      <c r="G301" s="380" t="n"/>
      <c r="H301" s="918" t="n"/>
      <c r="I301" s="368" t="n"/>
      <c r="J301" s="368" t="n"/>
    </row>
    <row r="302" ht="15.75" customHeight="1" s="782" thickTop="1">
      <c r="A302" s="393" t="n"/>
      <c r="B302" s="393" t="n"/>
      <c r="C302" s="393" t="n"/>
      <c r="D302" s="393" t="n"/>
      <c r="E302" s="393" t="n"/>
      <c r="F302" s="393" t="n"/>
      <c r="G302" s="393" t="n"/>
      <c r="H302" s="393" t="n"/>
      <c r="I302" s="393" t="n"/>
      <c r="J302" s="393" t="n"/>
    </row>
    <row r="303" ht="15.75" customHeight="1" s="782" thickBot="1">
      <c r="A303" s="393" t="n"/>
      <c r="B303" s="393" t="n"/>
      <c r="C303" s="393" t="n"/>
      <c r="D303" s="393" t="n"/>
      <c r="E303" s="393" t="n"/>
      <c r="F303" s="393" t="n"/>
      <c r="G303" s="393" t="n"/>
      <c r="H303" s="393" t="n"/>
      <c r="I303" s="393" t="n"/>
      <c r="J303" s="393" t="n"/>
    </row>
    <row r="304" ht="15.75" customHeight="1" s="782" thickTop="1">
      <c r="A304" s="166" t="inlineStr">
        <is>
          <t>Dòng tiền</t>
        </is>
      </c>
      <c r="B304" s="211" t="n"/>
      <c r="C304" s="212">
        <f>C243</f>
        <v/>
      </c>
      <c r="D304" s="212">
        <f>D243</f>
        <v/>
      </c>
      <c r="E304" s="169">
        <f>E243</f>
        <v/>
      </c>
      <c r="F304" s="213">
        <f>F243</f>
        <v/>
      </c>
      <c r="G304" s="393" t="n"/>
      <c r="H304" s="393" t="n"/>
      <c r="I304" s="393" t="n"/>
      <c r="J304" s="393" t="n"/>
    </row>
    <row r="305">
      <c r="A305" s="171" t="inlineStr">
        <is>
          <t>Chi phí khấu hao</t>
        </is>
      </c>
      <c r="B305" s="172" t="inlineStr">
        <is>
          <t>(+)</t>
        </is>
      </c>
      <c r="C305" s="173">
        <f>C136</f>
        <v/>
      </c>
      <c r="D305" s="173">
        <f>D136</f>
        <v/>
      </c>
      <c r="E305" s="173">
        <f>G136</f>
        <v/>
      </c>
      <c r="F305" s="174">
        <f>I136</f>
        <v/>
      </c>
      <c r="G305" s="393" t="n"/>
      <c r="H305" s="918" t="n"/>
      <c r="I305" s="393" t="n"/>
      <c r="J305" s="393" t="n"/>
    </row>
    <row r="306">
      <c r="A306" s="175" t="inlineStr">
        <is>
          <t>Lợi nhuận gộp</t>
        </is>
      </c>
      <c r="B306" s="176" t="inlineStr">
        <is>
          <t>(+)</t>
        </is>
      </c>
      <c r="C306" s="177">
        <f>C137</f>
        <v/>
      </c>
      <c r="D306" s="177">
        <f>D137</f>
        <v/>
      </c>
      <c r="E306" s="177">
        <f>G137</f>
        <v/>
      </c>
      <c r="F306" s="178">
        <f>I137</f>
        <v/>
      </c>
      <c r="G306" s="393" t="n"/>
      <c r="H306" s="918" t="n"/>
      <c r="I306" s="393" t="n"/>
      <c r="J306" s="393" t="n"/>
    </row>
    <row r="307">
      <c r="A307" s="919" t="inlineStr">
        <is>
          <t>Biến đổi Các khoản Phải thu từ người mua</t>
        </is>
      </c>
      <c r="B307" s="176" t="inlineStr">
        <is>
          <t>(-)</t>
        </is>
      </c>
      <c r="C307" s="177">
        <f>-(C23-B23)-(C49-B49)</f>
        <v/>
      </c>
      <c r="D307" s="177">
        <f>-(D23-C23)-(D49-C49)</f>
        <v/>
      </c>
      <c r="E307" s="177">
        <f>-(G23-D23)-(G49-D49)</f>
        <v/>
      </c>
      <c r="F307" s="178">
        <f>-(I23-D23)-(I49-D49)</f>
        <v/>
      </c>
      <c r="G307" s="393" t="n"/>
      <c r="H307" s="918" t="n"/>
      <c r="I307" s="393" t="n"/>
      <c r="J307" s="393" t="n"/>
    </row>
    <row r="308">
      <c r="A308" s="175" t="inlineStr">
        <is>
          <t>Biến đổi Hàng tồn kho</t>
        </is>
      </c>
      <c r="B308" s="176" t="inlineStr">
        <is>
          <t>(-)</t>
        </is>
      </c>
      <c r="C308" s="183">
        <f>-(C29-B29)</f>
        <v/>
      </c>
      <c r="D308" s="183">
        <f>-(D29-C29)</f>
        <v/>
      </c>
      <c r="E308" s="183">
        <f>-(G29-D29)</f>
        <v/>
      </c>
      <c r="F308" s="184">
        <f>-(I29-D29)</f>
        <v/>
      </c>
      <c r="G308" s="393" t="n"/>
      <c r="H308" s="918" t="n"/>
      <c r="I308" s="393" t="n"/>
      <c r="J308" s="393" t="n"/>
    </row>
    <row r="309">
      <c r="A309" s="175" t="inlineStr">
        <is>
          <t>Biến đổi Các khoản phải trả người bán</t>
        </is>
      </c>
      <c r="B309" s="176" t="inlineStr">
        <is>
          <t>(+)</t>
        </is>
      </c>
      <c r="C309" s="177">
        <f>(C86-B86)+(C99-B99)</f>
        <v/>
      </c>
      <c r="D309" s="177">
        <f>(D86-C86)+(D99-C99)</f>
        <v/>
      </c>
      <c r="E309" s="177">
        <f>(G86-D86)+(G99-D99)</f>
        <v/>
      </c>
      <c r="F309" s="178">
        <f>(I86-E86)+(I99-E99)</f>
        <v/>
      </c>
      <c r="G309" s="393" t="n"/>
      <c r="H309" s="918" t="n"/>
      <c r="I309" s="393" t="n"/>
      <c r="J309" s="393" t="n"/>
    </row>
    <row r="310">
      <c r="A310" s="198" t="inlineStr">
        <is>
          <t>Dòng tiền từ hoạt động bán hàng và cung cấp dịch vụ</t>
        </is>
      </c>
      <c r="B310" s="199" t="n"/>
      <c r="C310" s="214">
        <f>SUM(C305:C309)</f>
        <v/>
      </c>
      <c r="D310" s="214">
        <f>SUM(D305:D309)</f>
        <v/>
      </c>
      <c r="E310" s="214">
        <f>SUM(E305:E309)</f>
        <v/>
      </c>
      <c r="F310" s="215">
        <f>SUM(F305:F309)</f>
        <v/>
      </c>
      <c r="G310" s="393" t="n"/>
      <c r="H310" s="918" t="n"/>
      <c r="I310" s="393" t="n"/>
      <c r="J310" s="393" t="n"/>
    </row>
    <row r="311">
      <c r="A311" s="191" t="inlineStr">
        <is>
          <t>Dòng tiền Chi phí hoạt động</t>
        </is>
      </c>
      <c r="B311" s="176" t="n"/>
      <c r="C311" s="177">
        <f>C256</f>
        <v/>
      </c>
      <c r="D311" s="177">
        <f>D256</f>
        <v/>
      </c>
      <c r="E311" s="177">
        <f>E256</f>
        <v/>
      </c>
      <c r="F311" s="178">
        <f>F256</f>
        <v/>
      </c>
      <c r="G311" s="393" t="n"/>
      <c r="H311" s="918" t="n"/>
      <c r="I311" s="393" t="n"/>
      <c r="J311" s="393" t="n"/>
    </row>
    <row r="312">
      <c r="A312" s="187" t="inlineStr">
        <is>
          <t>Dòng tiền thuần từ hoạt động</t>
        </is>
      </c>
      <c r="B312" s="176" t="n"/>
      <c r="C312" s="189">
        <f>SUM(C310:C311)</f>
        <v/>
      </c>
      <c r="D312" s="189">
        <f>SUM(D310:D311)</f>
        <v/>
      </c>
      <c r="E312" s="189">
        <f>SUM(E310:E311)</f>
        <v/>
      </c>
      <c r="F312" s="190">
        <f>SUM(F310:F311)</f>
        <v/>
      </c>
      <c r="G312" s="393" t="n"/>
      <c r="H312" s="918" t="n"/>
      <c r="I312" s="393" t="n"/>
      <c r="J312" s="393" t="n"/>
    </row>
    <row r="313">
      <c r="A313" s="216" t="inlineStr">
        <is>
          <t>Biến đổi từ các hoạt động bất thường</t>
        </is>
      </c>
      <c r="B313" s="176" t="n"/>
      <c r="C313" s="217">
        <f>C266</f>
        <v/>
      </c>
      <c r="D313" s="217">
        <f>D266</f>
        <v/>
      </c>
      <c r="E313" s="217">
        <f>E266</f>
        <v/>
      </c>
      <c r="F313" s="218">
        <f>F266</f>
        <v/>
      </c>
      <c r="G313" s="393" t="n"/>
      <c r="H313" s="918" t="n"/>
      <c r="I313" s="393" t="n"/>
      <c r="J313" s="393" t="n"/>
    </row>
    <row r="314">
      <c r="A314" s="175" t="inlineStr">
        <is>
          <t>Dòng tiền thuế đã nộp trong kỳ</t>
        </is>
      </c>
      <c r="B314" s="176" t="n"/>
      <c r="C314" s="217">
        <f>C272</f>
        <v/>
      </c>
      <c r="D314" s="217">
        <f>D272</f>
        <v/>
      </c>
      <c r="E314" s="217">
        <f>E272</f>
        <v/>
      </c>
      <c r="F314" s="218">
        <f>F272</f>
        <v/>
      </c>
      <c r="G314" s="393" t="n"/>
      <c r="H314" s="918" t="n"/>
      <c r="I314" s="393" t="n"/>
      <c r="J314" s="393" t="n"/>
    </row>
    <row r="315">
      <c r="A315" s="175" t="inlineStr">
        <is>
          <t>Dòng tiền chi phí trong hoạt động tài chính</t>
        </is>
      </c>
      <c r="B315" s="176" t="n"/>
      <c r="C315" s="217">
        <f>C277</f>
        <v/>
      </c>
      <c r="D315" s="217">
        <f>D277</f>
        <v/>
      </c>
      <c r="E315" s="217">
        <f>E277</f>
        <v/>
      </c>
      <c r="F315" s="218">
        <f>F277</f>
        <v/>
      </c>
      <c r="G315" s="393" t="n"/>
      <c r="H315" s="918" t="n"/>
      <c r="I315" s="393" t="n"/>
      <c r="J315" s="393" t="n"/>
    </row>
    <row r="316">
      <c r="A316" s="198" t="inlineStr">
        <is>
          <t>Dòng tiền lợi nhuận ròng</t>
        </is>
      </c>
      <c r="B316" s="181" t="n"/>
      <c r="C316" s="189">
        <f>SUM(C312:C315)</f>
        <v/>
      </c>
      <c r="D316" s="189">
        <f>SUM(D312:D315)</f>
        <v/>
      </c>
      <c r="E316" s="189">
        <f>SUM(E312:E315)</f>
        <v/>
      </c>
      <c r="F316" s="190">
        <f>SUM(F312:F315)</f>
        <v/>
      </c>
      <c r="G316" s="393" t="n"/>
      <c r="H316" s="918" t="n"/>
      <c r="I316" s="393" t="n"/>
      <c r="J316" s="393" t="n"/>
    </row>
    <row r="317">
      <c r="A317" s="216" t="inlineStr">
        <is>
          <t>Dòng tiền chi phí tài sản vốn và đầu tư</t>
        </is>
      </c>
      <c r="B317" s="219" t="n"/>
      <c r="C317" s="220" t="n">
        <v>0</v>
      </c>
      <c r="D317" s="220" t="n">
        <v>0</v>
      </c>
      <c r="E317" s="220" t="n">
        <v>0</v>
      </c>
      <c r="F317" s="221" t="n">
        <v>0</v>
      </c>
      <c r="G317" s="393" t="n"/>
      <c r="H317" s="918" t="n"/>
      <c r="I317" s="393" t="n"/>
      <c r="J317" s="393" t="n"/>
    </row>
    <row r="318">
      <c r="A318" s="191" t="inlineStr">
        <is>
          <t>Dòng tiền tài trợ</t>
        </is>
      </c>
      <c r="B318" s="176" t="n"/>
      <c r="C318" s="217">
        <f>C296</f>
        <v/>
      </c>
      <c r="D318" s="217">
        <f>D296</f>
        <v/>
      </c>
      <c r="E318" s="217">
        <f>E296</f>
        <v/>
      </c>
      <c r="F318" s="218">
        <f>F296</f>
        <v/>
      </c>
      <c r="G318" s="393" t="n"/>
      <c r="H318" s="918" t="n"/>
      <c r="I318" s="393" t="n"/>
      <c r="J318" s="393" t="n"/>
    </row>
    <row r="319" ht="15.75" customHeight="1" s="782" thickBot="1">
      <c r="A319" s="222" t="inlineStr">
        <is>
          <t>Biến đổi Dòng tiền theo tính toán</t>
        </is>
      </c>
      <c r="B319" s="223" t="n"/>
      <c r="C319" s="224">
        <f>SUM(C316:C318)</f>
        <v/>
      </c>
      <c r="D319" s="224">
        <f>SUM(D316:D318)</f>
        <v/>
      </c>
      <c r="E319" s="224">
        <f>SUM(E316:E318)</f>
        <v/>
      </c>
      <c r="F319" s="225">
        <f>SUM(F316:F318)</f>
        <v/>
      </c>
      <c r="G319" s="393" t="n"/>
      <c r="H319" s="918" t="n"/>
      <c r="I319" s="393" t="n"/>
      <c r="J319" s="393" t="n"/>
    </row>
    <row r="320" ht="16.5" customHeight="1" s="782" thickBot="1" thickTop="1">
      <c r="A320" s="393" t="n"/>
      <c r="B320" s="393" t="n"/>
      <c r="C320" s="393" t="n"/>
      <c r="D320" s="393" t="n"/>
      <c r="E320" s="393" t="n"/>
      <c r="F320" s="393" t="n"/>
      <c r="G320" s="393" t="n"/>
      <c r="H320" s="393" t="n"/>
      <c r="I320" s="393" t="n"/>
      <c r="J320" s="393" t="n"/>
    </row>
    <row r="321" ht="15.75" customHeight="1" s="782" thickTop="1">
      <c r="A321" s="226" t="inlineStr">
        <is>
          <t>CÁC CHỈ SỐ PHÂN TÍCH DÒNG TIỀN</t>
        </is>
      </c>
      <c r="B321" s="227" t="n"/>
      <c r="C321" s="227">
        <f>C304</f>
        <v/>
      </c>
      <c r="D321" s="227">
        <f>D304</f>
        <v/>
      </c>
      <c r="E321" s="227">
        <f>E304</f>
        <v/>
      </c>
      <c r="F321" s="228">
        <f>F304</f>
        <v/>
      </c>
      <c r="G321" s="381" t="n"/>
      <c r="H321" s="393" t="n"/>
      <c r="I321" s="393" t="n"/>
      <c r="J321" s="393" t="n"/>
    </row>
    <row r="322" ht="38.25" customHeight="1" s="782">
      <c r="A322" s="229" t="inlineStr">
        <is>
          <t>Hệ số khả năng trả nợ gốc trung, dài hạn = (LN thuần sau thuế trong kỳ + khấu hao trong kỳ)/ Vốn vay đầu tư trung dài hạn</t>
        </is>
      </c>
      <c r="B322" s="230" t="n"/>
      <c r="C322" s="231">
        <f>IF(C152="","",(C152+C136+C142+C144)/(C102))</f>
        <v/>
      </c>
      <c r="D322" s="231">
        <f>(D152+D136+D142+D144)/(D102)</f>
        <v/>
      </c>
      <c r="E322" s="231">
        <f>(G152+G136+G142+G144)/(G102)</f>
        <v/>
      </c>
      <c r="F322" s="232">
        <f>(I152+I136+I142+I144)/(I102)</f>
        <v/>
      </c>
      <c r="G322" s="382" t="n"/>
      <c r="H322" s="383" t="n"/>
      <c r="I322" s="393" t="n"/>
      <c r="J322" s="393" t="n"/>
    </row>
    <row r="323">
      <c r="A323" s="233" t="inlineStr">
        <is>
          <t>Hệ số khả năng trả lãi = EBIT / Chi phí trả lãi hàng năm</t>
        </is>
      </c>
      <c r="B323" s="234" t="n"/>
      <c r="C323" s="235">
        <f>IF(C149="","",(C149+C140)/C140)</f>
        <v/>
      </c>
      <c r="D323" s="235">
        <f>(D149+D140)/D140</f>
        <v/>
      </c>
      <c r="E323" s="235">
        <f>(G149+G140)/G140</f>
        <v/>
      </c>
      <c r="F323" s="238">
        <f>(I149+I140)/I140</f>
        <v/>
      </c>
      <c r="G323" s="382" t="n"/>
      <c r="H323" s="383" t="n"/>
      <c r="I323" s="393" t="n"/>
      <c r="J323" s="393" t="n"/>
    </row>
    <row r="324" ht="25.5" customHeight="1" s="782">
      <c r="A324" s="233" t="inlineStr">
        <is>
          <t>Hệ số dòng tiền = Tiền phát sinh từ HDKD / LN sau thuế và lãi</t>
        </is>
      </c>
      <c r="B324" s="234" t="n"/>
      <c r="C324" s="236">
        <f>IF(C152="","",C273/C152)</f>
        <v/>
      </c>
      <c r="D324" s="236">
        <f>D273/D152</f>
        <v/>
      </c>
      <c r="E324" s="236">
        <f>E273/G152</f>
        <v/>
      </c>
      <c r="F324" s="237">
        <f>F273/I152</f>
        <v/>
      </c>
      <c r="G324" s="382" t="n"/>
      <c r="H324" s="383" t="n"/>
      <c r="I324" s="393" t="n"/>
      <c r="J324" s="393" t="n"/>
    </row>
    <row r="325" ht="38.25" customHeight="1" s="782">
      <c r="A325" s="233" t="inlineStr">
        <is>
          <t>Hệ số dòng tiền được dùng để tái đầu tư = (Biến đổi TSCD hữu hình + biến đổi từ TSLD thuần) / (LN sau thuần sau thuế + khấu hao)</t>
        </is>
      </c>
      <c r="B325" s="234" t="n"/>
      <c r="C325" s="235">
        <f>IF(C152="","",(C284+((C10-C83)-(B10-B83)))/(C152+C136+C142+C144))</f>
        <v/>
      </c>
      <c r="D325" s="235">
        <f>(D284+((D10-D83)-(C10-C83)))/(D152+D136+D142+D144)</f>
        <v/>
      </c>
      <c r="E325" s="235">
        <f>(E284+((G10-G83)-(D10-D83)))/(G152+G136+G142+G144)</f>
        <v/>
      </c>
      <c r="F325" s="238">
        <f>(F284+((I10-I83)-(D10-D83)))/(I152+I136+I142+I144)</f>
        <v/>
      </c>
      <c r="G325" s="382" t="n"/>
      <c r="H325" s="383" t="n"/>
      <c r="I325" s="393" t="n"/>
      <c r="J325" s="369" t="n"/>
    </row>
    <row r="326" ht="15.75" customHeight="1" s="782" thickBot="1">
      <c r="A326" s="239" t="inlineStr">
        <is>
          <t>Luồng tiền từ hoạt động kinh doanh/ nợ ngắn hạn</t>
        </is>
      </c>
      <c r="B326" s="240" t="n"/>
      <c r="C326" s="241">
        <f>C257/C83</f>
        <v/>
      </c>
      <c r="D326" s="241">
        <f>D257/D83</f>
        <v/>
      </c>
      <c r="E326" s="241">
        <f>E257/G83</f>
        <v/>
      </c>
      <c r="F326" s="242">
        <f>F257/I83</f>
        <v/>
      </c>
      <c r="G326" s="382" t="n"/>
      <c r="H326" s="383" t="n"/>
      <c r="I326" s="393" t="n"/>
      <c r="J326" s="393" t="n"/>
    </row>
    <row r="327" ht="16.5" customHeight="1" s="782" thickBot="1" thickTop="1">
      <c r="A327" s="393" t="n"/>
      <c r="B327" s="393" t="n"/>
      <c r="C327" s="393" t="n"/>
      <c r="D327" s="393" t="n"/>
      <c r="E327" s="393" t="n"/>
      <c r="F327" s="393" t="n"/>
      <c r="G327" s="393" t="n"/>
      <c r="H327" s="393" t="n"/>
      <c r="I327" s="393" t="n"/>
      <c r="J327" s="393" t="n"/>
    </row>
    <row r="328" ht="26.25" customHeight="1" s="782" thickTop="1">
      <c r="A328" s="226" t="inlineStr">
        <is>
          <t>CÁC CHỈ SỐ TÀI CHÍNH CHO CSC (THÔNG TIN THAM KHẢO)</t>
        </is>
      </c>
      <c r="B328" s="243">
        <f>B7</f>
        <v/>
      </c>
      <c r="C328" s="243">
        <f>C7</f>
        <v/>
      </c>
      <c r="D328" s="243">
        <f>D7</f>
        <v/>
      </c>
      <c r="E328" s="244">
        <f>G7</f>
        <v/>
      </c>
      <c r="F328" s="244">
        <f>F321</f>
        <v/>
      </c>
      <c r="G328" s="393" t="n"/>
      <c r="H328" s="393" t="n"/>
      <c r="I328" s="393" t="n"/>
      <c r="J328" s="393" t="n"/>
    </row>
    <row r="329">
      <c r="A329" s="246" t="inlineStr">
        <is>
          <t>Lợi nhuận trước chi phí tài chính và thuế (EBIT)</t>
        </is>
      </c>
      <c r="B329" s="247">
        <f>$B$149+$B$139</f>
        <v/>
      </c>
      <c r="C329" s="247">
        <f>IF(C149="","",C149+C139)</f>
        <v/>
      </c>
      <c r="D329" s="247">
        <f>D149+D139</f>
        <v/>
      </c>
      <c r="E329" s="247">
        <f>$G$149+$G$139</f>
        <v/>
      </c>
      <c r="F329" s="248">
        <f>$I$149+$I$139</f>
        <v/>
      </c>
      <c r="G329" s="393" t="n"/>
      <c r="H329" s="393" t="n"/>
      <c r="I329" s="393" t="n"/>
      <c r="J329" s="245" t="inlineStr">
        <is>
          <t>Hướng dẫn:</t>
        </is>
      </c>
    </row>
    <row r="330">
      <c r="A330" s="246" t="inlineStr">
        <is>
          <t>Khấu hao</t>
        </is>
      </c>
      <c r="B330" s="247">
        <f>ABS(SUM($B$57,$B$60,$B$63,B67)-SUM($A$57,$A$60,$A$63,A67))</f>
        <v/>
      </c>
      <c r="C330" s="247">
        <f>ABS(SUM(C57,C60,C63,C67)-SUM(B57,B60,B63,B67))</f>
        <v/>
      </c>
      <c r="D330" s="247">
        <f>ABS(SUM(D57,D60,D63,D67)-SUM(C57,C60,C63,C67))</f>
        <v/>
      </c>
      <c r="E330" s="247">
        <f>ABS(SUM(G57,G60,G63,G67)-SUM(D57,D60,D63,D67))</f>
        <v/>
      </c>
      <c r="F330" s="249">
        <f>ABS(SUM(I$57,I$60,I$63)-SUM($G$57,$G$60,$G$63))</f>
        <v/>
      </c>
      <c r="G330" s="393" t="n"/>
      <c r="H330" s="393" t="n"/>
      <c r="I330" s="393" t="n"/>
      <c r="J330" s="829" t="inlineStr">
        <is>
          <t xml:space="preserve">Các chỉ số tại cột B, C,D,E từ dòng 274 đến 279 tại bảng "Các chỉ số tài chính cho CSC (Thông tin tham khảo)" là các chỉ số được tự động tính toán dựa trên dữ liệu thông tin từ báo cáo tài chính của Khách hàng và các thông tin này chỉ mang tính chất tham khảo hỗ trợ CA làm căn cứ ước tính các chỉ số của KH. </t>
        </is>
      </c>
    </row>
    <row r="331">
      <c r="A331" s="246" t="inlineStr">
        <is>
          <t>Chi phí tài chính</t>
        </is>
      </c>
      <c r="B331" s="247">
        <f>$B$139</f>
        <v/>
      </c>
      <c r="C331" s="247">
        <f>C139</f>
        <v/>
      </c>
      <c r="D331" s="247">
        <f>D139</f>
        <v/>
      </c>
      <c r="E331" s="247">
        <f>$G$139</f>
        <v/>
      </c>
      <c r="F331" s="247">
        <f>$I$139</f>
        <v/>
      </c>
      <c r="G331" s="393" t="n"/>
      <c r="H331" s="393" t="n"/>
      <c r="I331" s="393" t="n"/>
    </row>
    <row r="332">
      <c r="A332" s="246" t="inlineStr">
        <is>
          <t>Nợ dài hạn đến hạn trả trong năm tài chính gần nhất</t>
        </is>
      </c>
      <c r="B332" s="251">
        <f>IF($B$98=0,0,IF($B$98&gt;$A$98,$B$98/5,MIN($B$98,$A$98-$B$98)))</f>
        <v/>
      </c>
      <c r="C332" s="251">
        <f>IF(C98=0,0,IF(C98&gt;B98,C98/5,MIN(C98,B98-C98)))</f>
        <v/>
      </c>
      <c r="D332" s="251">
        <f>IF(D98=0,0,IF(D98&gt;C98,D98/5,MIN(D98,C98-D98)))</f>
        <v/>
      </c>
      <c r="E332" s="251">
        <f>IF($G$98=0,0,IF($G$98&gt;$D$98,$G$98/5,MIN($G$98,$D$98-$G$98)))</f>
        <v/>
      </c>
      <c r="F332" s="249">
        <f>IF($I$98=0,0,IF($I$98&gt;$G$98,$I$98/5,MIN($I$98,$G$98-$I$98)))</f>
        <v/>
      </c>
      <c r="G332" s="393" t="n"/>
      <c r="H332" s="393" t="n"/>
      <c r="I332" s="393" t="n"/>
    </row>
    <row r="333">
      <c r="A333" s="246" t="inlineStr">
        <is>
          <t>DSCR</t>
        </is>
      </c>
      <c r="B333" s="251">
        <f>($B$329+$B$330)/($B$331+$B$332)</f>
        <v/>
      </c>
      <c r="C333" s="251">
        <f>IF(C329="","",(C$329+C$330)/(C$331+C$332))</f>
        <v/>
      </c>
      <c r="D333" s="247">
        <f>(D$329+D$330)/(D$331+D$332)</f>
        <v/>
      </c>
      <c r="E333" s="252">
        <f>($E$329+$E$330)/($E$331+$E$332)</f>
        <v/>
      </c>
      <c r="F333" s="251">
        <f>($F$329+$F$330)/($F$331+$F$332)</f>
        <v/>
      </c>
      <c r="G333" s="393" t="n"/>
      <c r="H333" s="393" t="n"/>
      <c r="I333" s="393" t="n"/>
    </row>
    <row r="334">
      <c r="A334" s="246" t="inlineStr">
        <is>
          <t>Operating profit</t>
        </is>
      </c>
      <c r="B334" s="247">
        <f>$B$134-$B$135-$B$141-$B$143</f>
        <v/>
      </c>
      <c r="C334" s="247">
        <f>IF(C134="","",C134-C135-C141-C143)</f>
        <v/>
      </c>
      <c r="D334" s="247">
        <f>D134-D135-D141-D143</f>
        <v/>
      </c>
      <c r="E334" s="247">
        <f>$G$134-$G$135-$G$141-$G$143</f>
        <v/>
      </c>
      <c r="F334" s="247">
        <f>$I$134-$I$135-$I$141-$I$143</f>
        <v/>
      </c>
      <c r="G334" s="393" t="n"/>
      <c r="H334" s="393" t="n"/>
      <c r="I334" s="393" t="n"/>
    </row>
    <row r="335">
      <c r="A335" s="393" t="n"/>
      <c r="B335" s="254" t="n"/>
      <c r="C335" s="393" t="n"/>
      <c r="D335" s="393" t="n"/>
      <c r="E335" s="393" t="n"/>
      <c r="F335" s="393" t="n"/>
      <c r="G335" s="393" t="n"/>
      <c r="H335" s="393" t="n"/>
      <c r="I335" s="393" t="n"/>
    </row>
    <row r="336">
      <c r="I336" s="393" t="n"/>
    </row>
  </sheetData>
  <sheetProtection selectLockedCells="0" selectUnlockedCells="0" algorithmName="SHA-512" sheet="1" objects="1" insertRows="1" insertHyperlinks="1" autoFilter="1" scenarios="1" formatColumns="1" deleteColumns="1" insertColumns="1" pivotTables="1" deleteRows="1" formatCells="1" saltValue="IK9II43hDpFm8L0uYXaaig==" formatRows="1" sort="1" spinCount="100000" hashValue="Bpe3Hf/6uC1thTYui/YyDMRIk1nS3rlvwSdP4TAQR3mzn7xrhuaZ9fQOVqZnPXMmXV3D288/cmeKkCbtmnxb4A=="/>
  <mergeCells count="27">
    <mergeCell ref="A5:J5"/>
    <mergeCell ref="A157:A158"/>
    <mergeCell ref="G155:H155"/>
    <mergeCell ref="J236:J238"/>
    <mergeCell ref="J112:J113"/>
    <mergeCell ref="A4:J4"/>
    <mergeCell ref="J193:J195"/>
    <mergeCell ref="D7:F7"/>
    <mergeCell ref="J29:J30"/>
    <mergeCell ref="J330:J336"/>
    <mergeCell ref="G7:H7"/>
    <mergeCell ref="I156:J156"/>
    <mergeCell ref="B157:B158"/>
    <mergeCell ref="E157:E158"/>
    <mergeCell ref="G127:H127"/>
    <mergeCell ref="A241:G241"/>
    <mergeCell ref="I155:J155"/>
    <mergeCell ref="J47:J48"/>
    <mergeCell ref="F190:G190"/>
    <mergeCell ref="D127:E127"/>
    <mergeCell ref="F170:G170"/>
    <mergeCell ref="D157:D158"/>
    <mergeCell ref="F157:F158"/>
    <mergeCell ref="J8:J9"/>
    <mergeCell ref="J128:J130"/>
    <mergeCell ref="C157:C158"/>
    <mergeCell ref="J197:J199"/>
  </mergeCells>
  <dataValidations disablePrompts="1" count="1">
    <dataValidation sqref="D328" showDropDown="0" showInputMessage="1" showErrorMessage="1" allowBlank="1" promptTitle="Hướng dẫn" prompt="Số liệu năm tài chính gần nhất. Số liệu chỉ mang tính chất tham khảo"/>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I335"/>
  <sheetViews>
    <sheetView tabSelected="1" workbookViewId="0">
      <selection activeCell="A1" sqref="A1:XFD1048576"/>
    </sheetView>
  </sheetViews>
  <sheetFormatPr baseColWidth="8" defaultRowHeight="15"/>
  <cols>
    <col width="12" bestFit="1" customWidth="1" style="782" min="3" max="3"/>
    <col width="12.7109375" bestFit="1" customWidth="1" style="782" min="4" max="6"/>
  </cols>
  <sheetData>
    <row r="1">
      <c r="A1" t="inlineStr">
        <is>
          <t>code</t>
        </is>
      </c>
      <c r="B1" t="inlineStr">
        <is>
          <t>name</t>
        </is>
      </c>
      <c r="C1" t="n">
        <v>2023</v>
      </c>
      <c r="D1" t="n">
        <v>2024</v>
      </c>
      <c r="E1" t="n">
        <v>2025</v>
      </c>
      <c r="F1" t="n">
        <v>46022</v>
      </c>
    </row>
    <row r="2">
      <c r="A2" t="inlineStr">
        <is>
          <t>BS001</t>
        </is>
      </c>
      <c r="B2" t="inlineStr">
        <is>
          <t>TỔNG TÀI SẢN</t>
        </is>
      </c>
      <c r="C2" t="n">
        <v>19947.691024</v>
      </c>
      <c r="D2" t="n">
        <v>61168.346639</v>
      </c>
      <c r="E2" t="n">
        <v>147804.996599</v>
      </c>
      <c r="F2" t="n">
        <v>0</v>
      </c>
    </row>
    <row r="3">
      <c r="A3" t="inlineStr">
        <is>
          <t>BS002</t>
        </is>
      </c>
      <c r="B3" t="inlineStr">
        <is>
          <t>A. Tài sản ngắn hạn</t>
        </is>
      </c>
      <c r="C3" t="n">
        <v>17052.781498</v>
      </c>
      <c r="D3" t="n">
        <v>55632.277984</v>
      </c>
      <c r="E3" t="n">
        <v>144032.419095</v>
      </c>
      <c r="F3" t="n">
        <v>0</v>
      </c>
    </row>
    <row r="4">
      <c r="A4" t="inlineStr">
        <is>
          <t>BS003</t>
        </is>
      </c>
      <c r="B4" t="inlineStr">
        <is>
          <t>I. Tiền và các khoản tương đương tiền</t>
        </is>
      </c>
      <c r="C4" t="n">
        <v>5906.481705</v>
      </c>
      <c r="D4" t="n">
        <v>3391.437136</v>
      </c>
      <c r="E4" t="n">
        <v>1931.416104</v>
      </c>
      <c r="F4" t="n">
        <v>0</v>
      </c>
    </row>
    <row r="5">
      <c r="A5" t="inlineStr">
        <is>
          <t>BS022</t>
        </is>
      </c>
      <c r="B5" t="inlineStr">
        <is>
          <t>1. Tiền mặt</t>
        </is>
      </c>
      <c r="C5" t="n">
        <v>0</v>
      </c>
      <c r="D5" t="n">
        <v>0</v>
      </c>
      <c r="E5" t="n">
        <v>0</v>
      </c>
      <c r="F5" t="n">
        <v>0</v>
      </c>
    </row>
    <row r="6">
      <c r="A6" t="inlineStr">
        <is>
          <t>BS023</t>
        </is>
      </c>
      <c r="B6" t="inlineStr">
        <is>
          <t>2. Tiền gửi ngân hàng</t>
        </is>
      </c>
      <c r="C6" t="n">
        <v>0</v>
      </c>
      <c r="D6" t="n">
        <v>0</v>
      </c>
      <c r="E6" t="n">
        <v>0</v>
      </c>
      <c r="F6" t="n">
        <v>0</v>
      </c>
    </row>
    <row r="7">
      <c r="A7" t="inlineStr">
        <is>
          <t>BS024</t>
        </is>
      </c>
      <c r="B7" t="inlineStr">
        <is>
          <t>3. Tiền đang chuyển</t>
        </is>
      </c>
      <c r="C7" t="n">
        <v>0</v>
      </c>
      <c r="D7" t="n">
        <v>0</v>
      </c>
      <c r="E7" t="n">
        <v>0</v>
      </c>
      <c r="F7" t="n">
        <v>0</v>
      </c>
    </row>
    <row r="8">
      <c r="A8" t="inlineStr">
        <is>
          <t>BS025</t>
        </is>
      </c>
      <c r="B8" t="inlineStr">
        <is>
          <t>4. Tiền (trong trường hợp Báo cáo không có 3 thông tin trên)</t>
        </is>
      </c>
      <c r="C8" t="n">
        <v>5906.481705</v>
      </c>
      <c r="D8" t="n">
        <v>3391.437136</v>
      </c>
      <c r="E8" t="n">
        <v>1931.416104</v>
      </c>
      <c r="F8" t="n">
        <v>0</v>
      </c>
    </row>
    <row r="9">
      <c r="A9" t="inlineStr">
        <is>
          <t>BS026</t>
        </is>
      </c>
      <c r="B9" t="inlineStr">
        <is>
          <t>5. Các khoản tương đương tiền</t>
        </is>
      </c>
      <c r="C9" t="n">
        <v>0</v>
      </c>
      <c r="D9" t="n">
        <v>0</v>
      </c>
      <c r="E9" t="n">
        <v>0</v>
      </c>
      <c r="F9" t="n">
        <v>0</v>
      </c>
    </row>
    <row r="10">
      <c r="A10" t="inlineStr">
        <is>
          <t>BS119</t>
        </is>
      </c>
      <c r="B10" t="inlineStr">
        <is>
          <t>II. Đầu tư tài chính</t>
        </is>
      </c>
      <c r="C10" t="n">
        <v>-99999</v>
      </c>
      <c r="D10" t="n">
        <v>-99999</v>
      </c>
      <c r="E10" t="n">
        <v>-99999</v>
      </c>
      <c r="F10" t="n">
        <v>-99999</v>
      </c>
    </row>
    <row r="11">
      <c r="A11" t="inlineStr">
        <is>
          <t>BS120</t>
        </is>
      </c>
      <c r="B11" t="inlineStr">
        <is>
          <t>1. Chứng khoán kinh doanh</t>
        </is>
      </c>
      <c r="C11" t="n">
        <v>-99999</v>
      </c>
      <c r="D11" t="n">
        <v>-99999</v>
      </c>
      <c r="E11" t="n">
        <v>-99999</v>
      </c>
      <c r="F11" t="n">
        <v>-99999</v>
      </c>
    </row>
    <row r="12">
      <c r="A12" t="inlineStr">
        <is>
          <t>BS121</t>
        </is>
      </c>
      <c r="B12" t="inlineStr">
        <is>
          <t>2. Đầu tư nắm giữ đến ngày đáo hạn</t>
        </is>
      </c>
      <c r="C12" t="n">
        <v>-99999</v>
      </c>
      <c r="D12" t="n">
        <v>-99999</v>
      </c>
      <c r="E12" t="n">
        <v>-99999</v>
      </c>
      <c r="F12" t="n">
        <v>-99999</v>
      </c>
    </row>
    <row r="13">
      <c r="A13" t="inlineStr">
        <is>
          <t>BS122</t>
        </is>
      </c>
      <c r="B13" t="inlineStr">
        <is>
          <t>3. Đầu tư góp vốn vào đơn vị khác</t>
        </is>
      </c>
      <c r="C13" t="n">
        <v>-99999</v>
      </c>
      <c r="D13" t="n">
        <v>-99999</v>
      </c>
      <c r="E13" t="n">
        <v>-99999</v>
      </c>
      <c r="F13" t="n">
        <v>-99999</v>
      </c>
    </row>
    <row r="14">
      <c r="A14" t="inlineStr">
        <is>
          <t>BS123</t>
        </is>
      </c>
      <c r="B14" t="inlineStr">
        <is>
          <t>4. Dự phòng tổn thất đầu tư tài chính (*)</t>
        </is>
      </c>
      <c r="C14" t="n">
        <v>-99999</v>
      </c>
      <c r="D14" t="n">
        <v>-99999</v>
      </c>
      <c r="E14" t="n">
        <v>-99999</v>
      </c>
      <c r="F14" t="n">
        <v>-99999</v>
      </c>
    </row>
    <row r="15">
      <c r="A15" t="inlineStr">
        <is>
          <t>BS004</t>
        </is>
      </c>
      <c r="B15" t="inlineStr">
        <is>
          <t>II. Các khoản đầu tư tài chính ngắn hạn</t>
        </is>
      </c>
      <c r="C15" t="n">
        <v>0</v>
      </c>
      <c r="D15" t="n">
        <v>2376.983</v>
      </c>
      <c r="E15" t="n">
        <v>1554</v>
      </c>
      <c r="F15" t="n">
        <v>0</v>
      </c>
    </row>
    <row r="16">
      <c r="A16" t="inlineStr">
        <is>
          <t>BS027</t>
        </is>
      </c>
      <c r="B16" t="inlineStr">
        <is>
          <t>1. Chứng khoán đầu tư ngắn hạn</t>
        </is>
      </c>
      <c r="C16" t="n">
        <v>0</v>
      </c>
      <c r="D16" t="n">
        <v>2376.983</v>
      </c>
      <c r="E16" t="n">
        <v>1554</v>
      </c>
      <c r="F16" t="n">
        <v>0</v>
      </c>
    </row>
    <row r="17">
      <c r="A17" t="inlineStr">
        <is>
          <t>BS028</t>
        </is>
      </c>
      <c r="B17" t="inlineStr">
        <is>
          <t>2. Đầu tư ngắn hạn khác</t>
        </is>
      </c>
      <c r="C17" t="n">
        <v>0</v>
      </c>
      <c r="D17" t="n">
        <v>0</v>
      </c>
      <c r="E17" t="n">
        <v>0</v>
      </c>
      <c r="F17" t="n">
        <v>0</v>
      </c>
    </row>
    <row r="18">
      <c r="A18" t="inlineStr">
        <is>
          <t>BS029</t>
        </is>
      </c>
      <c r="B18" t="inlineStr">
        <is>
          <t>3. Dự phòng giảm giá đầu tư ngắn hạn</t>
        </is>
      </c>
      <c r="C18" t="n">
        <v>0</v>
      </c>
      <c r="D18" t="n">
        <v>0</v>
      </c>
      <c r="E18" t="n">
        <v>0</v>
      </c>
      <c r="F18" t="n">
        <v>0</v>
      </c>
    </row>
    <row r="19">
      <c r="A19" t="inlineStr">
        <is>
          <t>BS030</t>
        </is>
      </c>
      <c r="B19" t="inlineStr">
        <is>
          <t>4. Đầu tư tài chính ngắn hạn (trong trường hợp báo cáo không có thông tin)</t>
        </is>
      </c>
      <c r="C19" t="n">
        <v>0</v>
      </c>
      <c r="D19" t="n">
        <v>0</v>
      </c>
      <c r="E19" t="n">
        <v>0</v>
      </c>
      <c r="F19" t="n">
        <v>0</v>
      </c>
    </row>
    <row r="20">
      <c r="A20" t="inlineStr">
        <is>
          <t>BS124</t>
        </is>
      </c>
      <c r="B20" t="inlineStr">
        <is>
          <t>III. Các khoản phải thu</t>
        </is>
      </c>
      <c r="C20" t="n">
        <v>-99999</v>
      </c>
      <c r="D20" t="n">
        <v>-99999</v>
      </c>
      <c r="E20" t="n">
        <v>-99999</v>
      </c>
      <c r="F20" t="n">
        <v>-99999</v>
      </c>
    </row>
    <row r="21">
      <c r="A21" t="inlineStr">
        <is>
          <t>BS125</t>
        </is>
      </c>
      <c r="B21" t="inlineStr">
        <is>
          <t>1. Phải thu của khách hàng</t>
        </is>
      </c>
      <c r="C21" t="n">
        <v>-99999</v>
      </c>
      <c r="D21" t="n">
        <v>-99999</v>
      </c>
      <c r="E21" t="n">
        <v>-99999</v>
      </c>
      <c r="F21" t="n">
        <v>-99999</v>
      </c>
    </row>
    <row r="22">
      <c r="A22" t="inlineStr">
        <is>
          <t>BS126</t>
        </is>
      </c>
      <c r="B22" t="inlineStr">
        <is>
          <t>2. Trả trước cho người bán</t>
        </is>
      </c>
      <c r="C22" t="n">
        <v>-99999</v>
      </c>
      <c r="D22" t="n">
        <v>-99999</v>
      </c>
      <c r="E22" t="n">
        <v>-99999</v>
      </c>
      <c r="F22" t="n">
        <v>-99999</v>
      </c>
    </row>
    <row r="23">
      <c r="A23" t="inlineStr">
        <is>
          <t>BS127</t>
        </is>
      </c>
      <c r="B23" t="inlineStr">
        <is>
          <t>3. Vốn kinh doanh ở đơn vị trực thuộc</t>
        </is>
      </c>
      <c r="C23" t="n">
        <v>-99999</v>
      </c>
      <c r="D23" t="n">
        <v>-99999</v>
      </c>
      <c r="E23" t="n">
        <v>-99999</v>
      </c>
      <c r="F23" t="n">
        <v>-99999</v>
      </c>
    </row>
    <row r="24">
      <c r="A24" t="inlineStr">
        <is>
          <t>BS128</t>
        </is>
      </c>
      <c r="B24" t="inlineStr">
        <is>
          <t>4. Phải thu khác</t>
        </is>
      </c>
      <c r="C24" t="n">
        <v>-99999</v>
      </c>
      <c r="D24" t="n">
        <v>-99999</v>
      </c>
      <c r="E24" t="n">
        <v>-99999</v>
      </c>
      <c r="F24" t="n">
        <v>-99999</v>
      </c>
    </row>
    <row r="25">
      <c r="A25" t="inlineStr">
        <is>
          <t>BS129</t>
        </is>
      </c>
      <c r="B25" t="inlineStr">
        <is>
          <t>5. Tài sản thiếu chờ xử lý</t>
        </is>
      </c>
      <c r="C25" t="n">
        <v>-99999</v>
      </c>
      <c r="D25" t="n">
        <v>-99999</v>
      </c>
      <c r="E25" t="n">
        <v>-99999</v>
      </c>
      <c r="F25" t="n">
        <v>-99999</v>
      </c>
    </row>
    <row r="26">
      <c r="A26" t="inlineStr">
        <is>
          <t>BS130</t>
        </is>
      </c>
      <c r="B26" t="inlineStr">
        <is>
          <t>6. Dự phòng phải thu khó đòi (*)</t>
        </is>
      </c>
      <c r="C26" t="n">
        <v>-99999</v>
      </c>
      <c r="D26" t="n">
        <v>-99999</v>
      </c>
      <c r="E26" t="n">
        <v>-99999</v>
      </c>
      <c r="F26" t="n">
        <v>-99999</v>
      </c>
    </row>
    <row r="27">
      <c r="A27" t="inlineStr">
        <is>
          <t>BS005</t>
        </is>
      </c>
      <c r="B27" t="inlineStr">
        <is>
          <t>III. Các khoản phải thu ngắn hạn</t>
        </is>
      </c>
      <c r="C27" t="n">
        <v>4866.112344</v>
      </c>
      <c r="D27" t="n">
        <v>42648.346647</v>
      </c>
      <c r="E27" t="n">
        <v>125963.633899</v>
      </c>
      <c r="F27" t="n">
        <v>0</v>
      </c>
    </row>
    <row r="28">
      <c r="A28" t="inlineStr">
        <is>
          <t>BS031</t>
        </is>
      </c>
      <c r="B28" t="inlineStr">
        <is>
          <t>1. Phải thu khách hàng</t>
        </is>
      </c>
      <c r="C28" t="n">
        <v>3934.341244</v>
      </c>
      <c r="D28" t="n">
        <v>6534.405546</v>
      </c>
      <c r="E28" t="n">
        <v>60075.246323</v>
      </c>
      <c r="F28" t="n">
        <v>0</v>
      </c>
    </row>
    <row r="29">
      <c r="A29" t="inlineStr">
        <is>
          <t>BS032</t>
        </is>
      </c>
      <c r="B29" t="inlineStr">
        <is>
          <t>2. Trả trước cho người bán</t>
        </is>
      </c>
      <c r="C29" t="n">
        <v>926.7711</v>
      </c>
      <c r="D29" t="n">
        <v>19024.451267</v>
      </c>
      <c r="E29" t="n">
        <v>29725.842988</v>
      </c>
      <c r="F29" t="n">
        <v>0</v>
      </c>
    </row>
    <row r="30">
      <c r="A30" t="inlineStr">
        <is>
          <t>BS033</t>
        </is>
      </c>
      <c r="B30" t="inlineStr">
        <is>
          <t>3. Phải thu nội bộ ngắn hạn</t>
        </is>
      </c>
      <c r="C30" t="n">
        <v>0</v>
      </c>
      <c r="D30" t="n">
        <v>0</v>
      </c>
      <c r="E30" t="n">
        <v>6150</v>
      </c>
      <c r="F30" t="n">
        <v>0</v>
      </c>
    </row>
    <row r="31">
      <c r="A31" t="inlineStr">
        <is>
          <t>BS034</t>
        </is>
      </c>
      <c r="B31" t="inlineStr">
        <is>
          <t>4. Phải thu theo tiến độ kế hoạch hợp đồng xây dựng</t>
        </is>
      </c>
      <c r="C31" t="n">
        <v>0</v>
      </c>
      <c r="D31" t="n">
        <v>0</v>
      </c>
      <c r="E31" t="n">
        <v>0</v>
      </c>
      <c r="F31" t="n">
        <v>0</v>
      </c>
    </row>
    <row r="32">
      <c r="A32" t="inlineStr">
        <is>
          <t>BS035</t>
        </is>
      </c>
      <c r="B32" t="inlineStr">
        <is>
          <t>5. Các khoản phải thu khác</t>
        </is>
      </c>
      <c r="C32" t="n">
        <v>5</v>
      </c>
      <c r="D32" t="n">
        <v>17089.489834</v>
      </c>
      <c r="E32" t="n">
        <v>32205.108687</v>
      </c>
      <c r="F32" t="n">
        <v>0</v>
      </c>
    </row>
    <row r="33">
      <c r="A33" t="inlineStr">
        <is>
          <t>BS036</t>
        </is>
      </c>
      <c r="B33" t="inlineStr">
        <is>
          <t>6. Dự phòng phải thu ngắn hạn khó đòi</t>
        </is>
      </c>
      <c r="C33" t="n">
        <v>0</v>
      </c>
      <c r="D33" t="n">
        <v>0</v>
      </c>
      <c r="E33" t="n">
        <v>-2192.564099</v>
      </c>
      <c r="F33" t="n">
        <v>0</v>
      </c>
    </row>
    <row r="34">
      <c r="A34" t="inlineStr">
        <is>
          <t>BS006</t>
        </is>
      </c>
      <c r="B34" t="inlineStr">
        <is>
          <t>IV. Hàng tồn kho</t>
        </is>
      </c>
      <c r="C34" t="n">
        <v>3531.140741</v>
      </c>
      <c r="D34" t="n">
        <v>6071.337045</v>
      </c>
      <c r="E34" t="n">
        <v>1471.492473</v>
      </c>
      <c r="F34" t="n">
        <v>0</v>
      </c>
    </row>
    <row r="35">
      <c r="A35" t="inlineStr">
        <is>
          <t>BS037</t>
        </is>
      </c>
      <c r="B35" t="inlineStr">
        <is>
          <t>1. Hàng mua đang đi đường</t>
        </is>
      </c>
      <c r="C35" t="n">
        <v>0</v>
      </c>
      <c r="D35" t="n">
        <v>0</v>
      </c>
      <c r="E35" t="n">
        <v>0</v>
      </c>
      <c r="F35" t="n">
        <v>0</v>
      </c>
    </row>
    <row r="36">
      <c r="A36" t="inlineStr">
        <is>
          <t>BS038</t>
        </is>
      </c>
      <c r="B36" t="inlineStr">
        <is>
          <t>2. Nguyên liệu, vật liệu</t>
        </is>
      </c>
      <c r="C36" t="n">
        <v>0</v>
      </c>
      <c r="D36" t="n">
        <v>0</v>
      </c>
      <c r="E36" t="n">
        <v>0</v>
      </c>
      <c r="F36" t="n">
        <v>0</v>
      </c>
    </row>
    <row r="37">
      <c r="A37" t="inlineStr">
        <is>
          <t>BS039</t>
        </is>
      </c>
      <c r="B37" t="inlineStr">
        <is>
          <t>3. Công cụ, dụng cụ</t>
        </is>
      </c>
      <c r="C37" t="n">
        <v>0</v>
      </c>
      <c r="D37" t="n">
        <v>0</v>
      </c>
      <c r="E37" t="n">
        <v>0</v>
      </c>
      <c r="F37" t="n">
        <v>0</v>
      </c>
    </row>
    <row r="38">
      <c r="A38" t="inlineStr">
        <is>
          <t>BS040</t>
        </is>
      </c>
      <c r="B38" t="inlineStr">
        <is>
          <t>4. Chi phí SX, KD dở dang</t>
        </is>
      </c>
      <c r="C38" t="n">
        <v>0</v>
      </c>
      <c r="D38" t="n">
        <v>0</v>
      </c>
      <c r="E38" t="n">
        <v>0</v>
      </c>
      <c r="F38" t="n">
        <v>0</v>
      </c>
    </row>
    <row r="39">
      <c r="A39" t="inlineStr">
        <is>
          <t>BS041</t>
        </is>
      </c>
      <c r="B39" t="inlineStr">
        <is>
          <t>5. Thành phẩm</t>
        </is>
      </c>
      <c r="C39" t="n">
        <v>0</v>
      </c>
      <c r="D39" t="n">
        <v>0</v>
      </c>
      <c r="E39" t="n">
        <v>0</v>
      </c>
      <c r="F39" t="n">
        <v>0</v>
      </c>
    </row>
    <row r="40">
      <c r="A40" t="inlineStr">
        <is>
          <t>BS042</t>
        </is>
      </c>
      <c r="B40" t="inlineStr">
        <is>
          <t>6. Hàng hóa</t>
        </is>
      </c>
      <c r="C40" t="n">
        <v>0</v>
      </c>
      <c r="D40" t="n">
        <v>0</v>
      </c>
      <c r="E40" t="n">
        <v>0</v>
      </c>
      <c r="F40" t="n">
        <v>0</v>
      </c>
    </row>
    <row r="41">
      <c r="A41" t="inlineStr">
        <is>
          <t>BS043</t>
        </is>
      </c>
      <c r="B41" t="inlineStr">
        <is>
          <t>7. Hàng gửi đi bán</t>
        </is>
      </c>
      <c r="C41" t="n">
        <v>0</v>
      </c>
      <c r="D41" t="n">
        <v>0</v>
      </c>
      <c r="E41" t="n">
        <v>0</v>
      </c>
      <c r="F41" t="n">
        <v>0</v>
      </c>
    </row>
    <row r="42">
      <c r="A42" t="inlineStr">
        <is>
          <t>BS044</t>
        </is>
      </c>
      <c r="B42" t="inlineStr">
        <is>
          <t>8. Hàng hóa kho bảo thuế</t>
        </is>
      </c>
      <c r="C42" t="n">
        <v>0</v>
      </c>
      <c r="D42" t="n">
        <v>0</v>
      </c>
      <c r="E42" t="n">
        <v>0</v>
      </c>
      <c r="F42" t="n">
        <v>0</v>
      </c>
    </row>
    <row r="43">
      <c r="A43" t="inlineStr">
        <is>
          <t>BS045</t>
        </is>
      </c>
      <c r="B43" t="inlineStr">
        <is>
          <t>9. Hàng hóa bất động sản</t>
        </is>
      </c>
      <c r="C43" t="n">
        <v>0</v>
      </c>
      <c r="D43" t="n">
        <v>0</v>
      </c>
      <c r="E43" t="n">
        <v>0</v>
      </c>
      <c r="F43" t="n">
        <v>0</v>
      </c>
    </row>
    <row r="44">
      <c r="A44" t="inlineStr">
        <is>
          <t>BS046</t>
        </is>
      </c>
      <c r="B44" t="inlineStr">
        <is>
          <t>10. Dự phòng giảm giá hàng tồn kho</t>
        </is>
      </c>
      <c r="C44" t="n">
        <v>0</v>
      </c>
      <c r="D44" t="n">
        <v>0</v>
      </c>
      <c r="E44" t="n">
        <v>0</v>
      </c>
      <c r="F44" t="n">
        <v>0</v>
      </c>
    </row>
    <row r="45">
      <c r="A45" t="inlineStr">
        <is>
          <t>BS047</t>
        </is>
      </c>
      <c r="B45" t="inlineStr">
        <is>
          <t>11. Hàng tồn kho (trong trường hợp báo cáo không có thông tin chi tiết)</t>
        </is>
      </c>
      <c r="C45" t="n">
        <v>3531.140741</v>
      </c>
      <c r="D45" t="n">
        <v>6071.337045</v>
      </c>
      <c r="E45" t="n">
        <v>1471.492473</v>
      </c>
      <c r="F45" t="n">
        <v>0</v>
      </c>
    </row>
    <row r="46">
      <c r="A46" t="inlineStr">
        <is>
          <t>BS007</t>
        </is>
      </c>
      <c r="B46" t="inlineStr">
        <is>
          <t xml:space="preserve">V. Tài sản ngắn hạn khác </t>
        </is>
      </c>
      <c r="C46" t="n">
        <v>2749.046708</v>
      </c>
      <c r="D46" t="n">
        <v>1144.174156</v>
      </c>
      <c r="E46" t="n">
        <v>13111.876619</v>
      </c>
      <c r="F46" t="n">
        <v>0</v>
      </c>
    </row>
    <row r="47">
      <c r="A47" t="inlineStr">
        <is>
          <t>BS048</t>
        </is>
      </c>
      <c r="B47" t="inlineStr">
        <is>
          <t>1. Chi phí trả trước ngắn hạn</t>
        </is>
      </c>
      <c r="C47" t="n">
        <v>0</v>
      </c>
      <c r="D47" t="n">
        <v>0</v>
      </c>
      <c r="E47" t="n">
        <v>593.497916</v>
      </c>
      <c r="F47" t="n">
        <v>0</v>
      </c>
    </row>
    <row r="48">
      <c r="A48" t="inlineStr">
        <is>
          <t>BS049</t>
        </is>
      </c>
      <c r="B48" t="inlineStr">
        <is>
          <t>2. Thuế GTGT được khấu trừ</t>
        </is>
      </c>
      <c r="C48" t="n">
        <v>2749.046708</v>
      </c>
      <c r="D48" t="n">
        <v>1144.174156</v>
      </c>
      <c r="E48" t="n">
        <v>12518.378703</v>
      </c>
      <c r="F48" t="n">
        <v>0</v>
      </c>
    </row>
    <row r="49">
      <c r="A49" t="inlineStr">
        <is>
          <t>BS050</t>
        </is>
      </c>
      <c r="B49" t="inlineStr">
        <is>
          <t>3. Thuế và các khoản khác phải thu Nhà nước</t>
        </is>
      </c>
      <c r="C49" t="n">
        <v>0</v>
      </c>
      <c r="D49" t="n">
        <v>0</v>
      </c>
      <c r="E49" t="n">
        <v>0</v>
      </c>
      <c r="F49" t="n">
        <v>0</v>
      </c>
    </row>
    <row r="50">
      <c r="A50" t="inlineStr">
        <is>
          <t>BS051</t>
        </is>
      </c>
      <c r="B50" t="inlineStr">
        <is>
          <t>4. Giao dịch mua bán lại trái phiếu chính phủ</t>
        </is>
      </c>
      <c r="C50" t="n">
        <v>0</v>
      </c>
      <c r="D50" t="n">
        <v>0</v>
      </c>
      <c r="E50" t="n">
        <v>0</v>
      </c>
      <c r="F50" t="n">
        <v>0</v>
      </c>
    </row>
    <row r="51">
      <c r="A51" t="inlineStr">
        <is>
          <t>BS052</t>
        </is>
      </c>
      <c r="B51" t="inlineStr">
        <is>
          <t>5. Tài sản ngắn hạn khác</t>
        </is>
      </c>
      <c r="C51" t="n">
        <v>0</v>
      </c>
      <c r="D51" t="n">
        <v>0</v>
      </c>
      <c r="E51" t="n">
        <v>0</v>
      </c>
      <c r="F51" t="n">
        <v>0</v>
      </c>
    </row>
    <row r="52">
      <c r="A52" t="inlineStr">
        <is>
          <t>BS008</t>
        </is>
      </c>
      <c r="B52" t="inlineStr">
        <is>
          <t>B. TÀI SẢN DÀI HẠN</t>
        </is>
      </c>
      <c r="C52" t="n">
        <v>2894.909526</v>
      </c>
      <c r="D52" t="n">
        <v>5536.068655</v>
      </c>
      <c r="E52" t="n">
        <v>3772.577504</v>
      </c>
      <c r="F52" t="n">
        <v>0</v>
      </c>
    </row>
    <row r="53">
      <c r="A53" t="inlineStr">
        <is>
          <t>BS009</t>
        </is>
      </c>
      <c r="B53" t="inlineStr">
        <is>
          <t>I. Các khoản phải thu dài hạn</t>
        </is>
      </c>
      <c r="C53" t="n">
        <v>57.3432</v>
      </c>
      <c r="D53" t="n">
        <v>57.3432</v>
      </c>
      <c r="E53" t="n">
        <v>100</v>
      </c>
      <c r="F53" t="n">
        <v>0</v>
      </c>
    </row>
    <row r="54">
      <c r="A54" t="inlineStr">
        <is>
          <t>BS053</t>
        </is>
      </c>
      <c r="B54" t="inlineStr">
        <is>
          <t>1. Phải thu dài hạn của khách hàng</t>
        </is>
      </c>
      <c r="C54" t="n">
        <v>0</v>
      </c>
      <c r="D54" t="n">
        <v>0</v>
      </c>
      <c r="E54" t="n">
        <v>0</v>
      </c>
      <c r="F54" t="n">
        <v>0</v>
      </c>
    </row>
    <row r="55">
      <c r="A55" t="inlineStr">
        <is>
          <t>BS054</t>
        </is>
      </c>
      <c r="B55" t="inlineStr">
        <is>
          <t>2. Vốn kinh doanh ở đơn vị trực thuộc</t>
        </is>
      </c>
      <c r="C55" t="n">
        <v>0</v>
      </c>
      <c r="D55" t="n">
        <v>0</v>
      </c>
      <c r="E55" t="n">
        <v>0</v>
      </c>
      <c r="F55" t="n">
        <v>0</v>
      </c>
    </row>
    <row r="56">
      <c r="A56" t="inlineStr">
        <is>
          <t>BS055</t>
        </is>
      </c>
      <c r="B56" t="inlineStr">
        <is>
          <t>3. Phải thu dài hạn nội bộ</t>
        </is>
      </c>
      <c r="C56" t="n">
        <v>0</v>
      </c>
      <c r="D56" t="n">
        <v>0</v>
      </c>
      <c r="E56" t="n">
        <v>0</v>
      </c>
      <c r="F56" t="n">
        <v>0</v>
      </c>
    </row>
    <row r="57">
      <c r="A57" t="inlineStr">
        <is>
          <t>BS056</t>
        </is>
      </c>
      <c r="B57" t="inlineStr">
        <is>
          <t>4. Phải thu dài hạn khác</t>
        </is>
      </c>
      <c r="C57" t="n">
        <v>57.3432</v>
      </c>
      <c r="D57" t="n">
        <v>57.3432</v>
      </c>
      <c r="E57" t="n">
        <v>100</v>
      </c>
      <c r="F57" t="n">
        <v>0</v>
      </c>
    </row>
    <row r="58">
      <c r="A58" t="inlineStr">
        <is>
          <t>BS057</t>
        </is>
      </c>
      <c r="B58" t="inlineStr">
        <is>
          <t>5. Dự phòng phải thu dài hạn khó đòi</t>
        </is>
      </c>
      <c r="C58" t="n">
        <v>0</v>
      </c>
      <c r="D58" t="n">
        <v>0</v>
      </c>
      <c r="E58" t="n">
        <v>0</v>
      </c>
      <c r="F58" t="n">
        <v>0</v>
      </c>
    </row>
    <row r="59">
      <c r="A59" t="inlineStr">
        <is>
          <t>BS010</t>
        </is>
      </c>
      <c r="B59" t="inlineStr">
        <is>
          <t>II. Tài sản cố định</t>
        </is>
      </c>
      <c r="C59" t="n">
        <v>2337.566326</v>
      </c>
      <c r="D59" t="n">
        <v>4978.725455</v>
      </c>
      <c r="E59" t="n">
        <v>3672.577504</v>
      </c>
      <c r="F59" t="n">
        <v>0</v>
      </c>
    </row>
    <row r="60">
      <c r="A60" t="inlineStr">
        <is>
          <t>BS058</t>
        </is>
      </c>
      <c r="B60" t="inlineStr">
        <is>
          <t>1. Tài sản cố định hữu hình</t>
        </is>
      </c>
      <c r="C60" t="n">
        <v>2337.566326</v>
      </c>
      <c r="D60" t="n">
        <v>2522.475455</v>
      </c>
      <c r="E60" t="n">
        <v>3672.577504</v>
      </c>
      <c r="F60" t="n">
        <v>0</v>
      </c>
    </row>
    <row r="61">
      <c r="A61" t="inlineStr">
        <is>
          <t>BS059</t>
        </is>
      </c>
      <c r="B61" t="inlineStr">
        <is>
          <t>- Nguyên giá</t>
        </is>
      </c>
      <c r="C61" t="n">
        <v>2934.932762</v>
      </c>
      <c r="D61" t="n">
        <v>3630.874053</v>
      </c>
      <c r="E61" t="n">
        <v>4945.02885</v>
      </c>
      <c r="F61" t="n">
        <v>0</v>
      </c>
    </row>
    <row r="62">
      <c r="A62" t="inlineStr">
        <is>
          <t>BS060</t>
        </is>
      </c>
      <c r="B62" t="inlineStr">
        <is>
          <t>- Giá trị hao mòn lũy kế</t>
        </is>
      </c>
      <c r="C62" t="n">
        <v>-597.366436</v>
      </c>
      <c r="D62" t="n">
        <v>-1108.398598</v>
      </c>
      <c r="E62" t="n">
        <v>-1272.451346</v>
      </c>
      <c r="F62" t="n">
        <v>0</v>
      </c>
    </row>
    <row r="63">
      <c r="A63" t="inlineStr">
        <is>
          <t>BS061</t>
        </is>
      </c>
      <c r="B63" t="inlineStr">
        <is>
          <t>2. Tài sản cố định thuê tài chính</t>
        </is>
      </c>
      <c r="C63" t="n">
        <v>0</v>
      </c>
      <c r="D63" t="n">
        <v>0</v>
      </c>
      <c r="E63" t="n">
        <v>0</v>
      </c>
      <c r="F63" t="n">
        <v>0</v>
      </c>
    </row>
    <row r="64">
      <c r="A64" t="inlineStr">
        <is>
          <t>BS062</t>
        </is>
      </c>
      <c r="B64" t="inlineStr">
        <is>
          <t>- Nguyên giá</t>
        </is>
      </c>
      <c r="C64" t="n">
        <v>0</v>
      </c>
      <c r="D64" t="n">
        <v>0</v>
      </c>
      <c r="E64" t="n">
        <v>0</v>
      </c>
      <c r="F64" t="n">
        <v>0</v>
      </c>
    </row>
    <row r="65">
      <c r="A65" t="inlineStr">
        <is>
          <t>BS063</t>
        </is>
      </c>
      <c r="B65" t="inlineStr">
        <is>
          <t>- Giá trị hao mòn lũy kế</t>
        </is>
      </c>
      <c r="C65" t="n">
        <v>0</v>
      </c>
      <c r="D65" t="n">
        <v>0</v>
      </c>
      <c r="E65" t="n">
        <v>0</v>
      </c>
      <c r="F65" t="n">
        <v>0</v>
      </c>
    </row>
    <row r="66">
      <c r="A66" t="inlineStr">
        <is>
          <t>BS064</t>
        </is>
      </c>
      <c r="B66" t="inlineStr">
        <is>
          <t>3. Tài sản cố định vô hình</t>
        </is>
      </c>
      <c r="C66" t="n">
        <v>0</v>
      </c>
      <c r="D66" t="n">
        <v>0</v>
      </c>
      <c r="E66" t="n">
        <v>0</v>
      </c>
      <c r="F66" t="n">
        <v>0</v>
      </c>
    </row>
    <row r="67">
      <c r="A67" t="inlineStr">
        <is>
          <t>BS065</t>
        </is>
      </c>
      <c r="B67" t="inlineStr">
        <is>
          <t>- Nguyên giá</t>
        </is>
      </c>
      <c r="C67" t="n">
        <v>0</v>
      </c>
      <c r="D67" t="n">
        <v>0</v>
      </c>
      <c r="E67" t="n">
        <v>0</v>
      </c>
      <c r="F67" t="n">
        <v>0</v>
      </c>
    </row>
    <row r="68">
      <c r="A68" t="inlineStr">
        <is>
          <t>BS066</t>
        </is>
      </c>
      <c r="B68" t="inlineStr">
        <is>
          <t>- Giá trị hao mòn lũy kế</t>
        </is>
      </c>
      <c r="C68" t="n">
        <v>0</v>
      </c>
      <c r="D68" t="n">
        <v>0</v>
      </c>
      <c r="E68" t="n">
        <v>0</v>
      </c>
      <c r="F68" t="n">
        <v>0</v>
      </c>
    </row>
    <row r="69">
      <c r="A69" t="inlineStr">
        <is>
          <t>BS067</t>
        </is>
      </c>
      <c r="B69" t="inlineStr">
        <is>
          <t>4. Chi phí xây dựng cơ bản dở dang</t>
        </is>
      </c>
      <c r="C69" t="n">
        <v>0</v>
      </c>
      <c r="D69" t="n">
        <v>2456.25</v>
      </c>
      <c r="E69" t="n">
        <v>0</v>
      </c>
      <c r="F69" t="n">
        <v>0</v>
      </c>
    </row>
    <row r="70">
      <c r="A70" t="inlineStr">
        <is>
          <t>BS011</t>
        </is>
      </c>
      <c r="B70" t="inlineStr">
        <is>
          <t>III. Bất động sản đầu tư</t>
        </is>
      </c>
      <c r="C70" t="n">
        <v>0</v>
      </c>
      <c r="D70" t="n">
        <v>0</v>
      </c>
      <c r="E70" t="n">
        <v>0</v>
      </c>
      <c r="F70" t="n">
        <v>0</v>
      </c>
    </row>
    <row r="71">
      <c r="A71" t="inlineStr">
        <is>
          <t>BS068</t>
        </is>
      </c>
      <c r="B71" t="inlineStr">
        <is>
          <t>- Nguyên giá</t>
        </is>
      </c>
      <c r="C71" t="n">
        <v>0</v>
      </c>
      <c r="D71" t="n">
        <v>0</v>
      </c>
      <c r="E71" t="n">
        <v>0</v>
      </c>
      <c r="F71" t="n">
        <v>0</v>
      </c>
    </row>
    <row r="72">
      <c r="A72" t="inlineStr">
        <is>
          <t>BS069</t>
        </is>
      </c>
      <c r="B72" t="inlineStr">
        <is>
          <t>- Giá trị hao mòn lũy kế</t>
        </is>
      </c>
      <c r="C72" t="n">
        <v>0</v>
      </c>
      <c r="D72" t="n">
        <v>0</v>
      </c>
      <c r="E72" t="n">
        <v>0</v>
      </c>
      <c r="F72" t="n">
        <v>0</v>
      </c>
    </row>
    <row r="73">
      <c r="A73" t="inlineStr">
        <is>
          <t>BS012</t>
        </is>
      </c>
      <c r="B73" t="inlineStr">
        <is>
          <t>IV. Các khoản đầu tư tài chính dài hạn</t>
        </is>
      </c>
      <c r="C73" t="n">
        <v>500</v>
      </c>
      <c r="D73" t="n">
        <v>500</v>
      </c>
      <c r="E73" t="n">
        <v>0</v>
      </c>
      <c r="F73" t="n">
        <v>0</v>
      </c>
    </row>
    <row r="74">
      <c r="A74" t="inlineStr">
        <is>
          <t>BS070</t>
        </is>
      </c>
      <c r="B74" t="inlineStr">
        <is>
          <t>1. Đầu tư vào công ty con</t>
        </is>
      </c>
      <c r="C74" t="n">
        <v>0</v>
      </c>
      <c r="D74" t="n">
        <v>0</v>
      </c>
      <c r="E74" t="n">
        <v>0</v>
      </c>
      <c r="F74" t="n">
        <v>0</v>
      </c>
    </row>
    <row r="75">
      <c r="A75" t="inlineStr">
        <is>
          <t>BS071</t>
        </is>
      </c>
      <c r="B75" t="inlineStr">
        <is>
          <t>2. Đầu tư vào công ty liên kết, liên doanh</t>
        </is>
      </c>
      <c r="C75" t="n">
        <v>500</v>
      </c>
      <c r="D75" t="n">
        <v>500</v>
      </c>
      <c r="E75" t="n">
        <v>0</v>
      </c>
      <c r="F75" t="n">
        <v>0</v>
      </c>
    </row>
    <row r="76">
      <c r="A76" t="inlineStr">
        <is>
          <t>BS072</t>
        </is>
      </c>
      <c r="B76" t="inlineStr">
        <is>
          <t>3. Đầu tư dài hạn khác</t>
        </is>
      </c>
      <c r="C76" t="n">
        <v>0</v>
      </c>
      <c r="D76" t="n">
        <v>0</v>
      </c>
      <c r="E76" t="n">
        <v>0</v>
      </c>
      <c r="F76" t="n">
        <v>0</v>
      </c>
    </row>
    <row r="77">
      <c r="A77" t="inlineStr">
        <is>
          <t>BS073</t>
        </is>
      </c>
      <c r="B77" t="inlineStr">
        <is>
          <t>4. Dự phòng giảm giá đầu tư tài chính dài hạn</t>
        </is>
      </c>
      <c r="C77" t="n">
        <v>0</v>
      </c>
      <c r="D77" t="n">
        <v>0</v>
      </c>
      <c r="E77" t="n">
        <v>0</v>
      </c>
      <c r="F77" t="n">
        <v>0</v>
      </c>
    </row>
    <row r="78">
      <c r="A78" t="inlineStr">
        <is>
          <t>BS074</t>
        </is>
      </c>
      <c r="B78" t="inlineStr">
        <is>
          <t>5. Đầu tư tài chính dài hạn (trong trường hợp báo cáo không có thông tin)</t>
        </is>
      </c>
      <c r="C78" t="n">
        <v>0</v>
      </c>
      <c r="D78" t="n">
        <v>0</v>
      </c>
      <c r="E78" t="n">
        <v>0</v>
      </c>
      <c r="F78" t="n">
        <v>0</v>
      </c>
    </row>
    <row r="79">
      <c r="A79" t="inlineStr">
        <is>
          <t>BS131</t>
        </is>
      </c>
      <c r="B79" t="inlineStr">
        <is>
          <t>VIII. Tài sản khác</t>
        </is>
      </c>
      <c r="C79" t="n">
        <v>-99999</v>
      </c>
      <c r="D79" t="n">
        <v>-99999</v>
      </c>
      <c r="E79" t="n">
        <v>-99999</v>
      </c>
      <c r="F79" t="n">
        <v>-99999</v>
      </c>
    </row>
    <row r="80">
      <c r="A80" t="inlineStr">
        <is>
          <t>BS132</t>
        </is>
      </c>
      <c r="B80" t="inlineStr">
        <is>
          <t>1. Thuế GTGT được khấu trừ</t>
        </is>
      </c>
      <c r="C80" t="n">
        <v>-99999</v>
      </c>
      <c r="D80" t="n">
        <v>-99999</v>
      </c>
      <c r="E80" t="n">
        <v>-99999</v>
      </c>
      <c r="F80" t="n">
        <v>-99999</v>
      </c>
    </row>
    <row r="81">
      <c r="A81" t="inlineStr">
        <is>
          <t>BS133</t>
        </is>
      </c>
      <c r="B81" t="inlineStr">
        <is>
          <t>2. Tài sản khác</t>
        </is>
      </c>
      <c r="C81" t="n">
        <v>-99999</v>
      </c>
      <c r="D81" t="n">
        <v>-99999</v>
      </c>
      <c r="E81" t="n">
        <v>-99999</v>
      </c>
      <c r="F81" t="n">
        <v>-99999</v>
      </c>
    </row>
    <row r="82">
      <c r="A82" t="inlineStr">
        <is>
          <t>BS013</t>
        </is>
      </c>
      <c r="B82" t="inlineStr">
        <is>
          <t>V. Tài sản dài hạn khác</t>
        </is>
      </c>
      <c r="C82" t="n">
        <v>0</v>
      </c>
      <c r="D82" t="n">
        <v>0</v>
      </c>
      <c r="E82" t="n">
        <v>0</v>
      </c>
      <c r="F82" t="n">
        <v>0</v>
      </c>
    </row>
    <row r="83">
      <c r="A83" t="inlineStr">
        <is>
          <t>BS075</t>
        </is>
      </c>
      <c r="B83" t="inlineStr">
        <is>
          <t>1. Chi phí trả trước dài hạn</t>
        </is>
      </c>
      <c r="C83" t="n">
        <v>0</v>
      </c>
      <c r="D83" t="n">
        <v>0</v>
      </c>
      <c r="E83" t="n">
        <v>0</v>
      </c>
      <c r="F83" t="n">
        <v>0</v>
      </c>
    </row>
    <row r="84">
      <c r="A84" t="inlineStr">
        <is>
          <t>BS076</t>
        </is>
      </c>
      <c r="B84" t="inlineStr">
        <is>
          <t>2. Tài sản thuế thu nhập hoãn lại</t>
        </is>
      </c>
      <c r="C84" t="n">
        <v>0</v>
      </c>
      <c r="D84" t="n">
        <v>0</v>
      </c>
      <c r="E84" t="n">
        <v>0</v>
      </c>
      <c r="F84" t="n">
        <v>0</v>
      </c>
    </row>
    <row r="85">
      <c r="A85" t="inlineStr">
        <is>
          <t>BS077</t>
        </is>
      </c>
      <c r="B85" t="inlineStr">
        <is>
          <t>3. Phải thu dài hạn</t>
        </is>
      </c>
      <c r="C85" t="n">
        <v>0</v>
      </c>
      <c r="D85" t="n">
        <v>0</v>
      </c>
      <c r="E85" t="n">
        <v>0</v>
      </c>
      <c r="F85" t="n">
        <v>0</v>
      </c>
    </row>
    <row r="86">
      <c r="A86" t="inlineStr">
        <is>
          <t>BS078</t>
        </is>
      </c>
      <c r="B86" t="inlineStr">
        <is>
          <t>4. Tài sản dài hạn khác</t>
        </is>
      </c>
      <c r="C86" t="n">
        <v>0</v>
      </c>
      <c r="D86" t="n">
        <v>0</v>
      </c>
      <c r="E86" t="n">
        <v>0</v>
      </c>
      <c r="F86" t="n">
        <v>0</v>
      </c>
    </row>
    <row r="87">
      <c r="A87" t="inlineStr">
        <is>
          <t>BS079</t>
        </is>
      </c>
      <c r="B87" t="inlineStr">
        <is>
          <t>5. Dự phòng phải thu dài hạn khó đòi</t>
        </is>
      </c>
      <c r="C87" t="n">
        <v>0</v>
      </c>
      <c r="D87" t="n">
        <v>0</v>
      </c>
      <c r="E87" t="n">
        <v>0</v>
      </c>
      <c r="F87" t="n">
        <v>0</v>
      </c>
    </row>
    <row r="88">
      <c r="A88" t="inlineStr">
        <is>
          <t>BS014</t>
        </is>
      </c>
      <c r="B88" t="inlineStr">
        <is>
          <t>VI. Lợi thế thương mại</t>
        </is>
      </c>
      <c r="C88" t="n">
        <v>0</v>
      </c>
      <c r="D88" t="n">
        <v>0</v>
      </c>
      <c r="E88" t="n">
        <v>0</v>
      </c>
      <c r="F88" t="n">
        <v>0</v>
      </c>
    </row>
    <row r="89">
      <c r="A89" t="inlineStr">
        <is>
          <t>BS015</t>
        </is>
      </c>
      <c r="B89" t="inlineStr">
        <is>
          <t>TỔNG NGUỒN VỐN</t>
        </is>
      </c>
      <c r="C89" t="n">
        <v>19947.691024</v>
      </c>
      <c r="D89" t="n">
        <v>61168.346639</v>
      </c>
      <c r="E89" t="n">
        <v>147804.996599</v>
      </c>
      <c r="F89" t="n">
        <v>0</v>
      </c>
    </row>
    <row r="90">
      <c r="A90" t="inlineStr">
        <is>
          <t>BS016</t>
        </is>
      </c>
      <c r="B90" t="inlineStr">
        <is>
          <t>A. NỢ PHẢI TRẢ</t>
        </is>
      </c>
      <c r="C90" t="n">
        <v>12148.540954</v>
      </c>
      <c r="D90" t="n">
        <v>47262.535326</v>
      </c>
      <c r="E90" t="n">
        <v>99410.36893500001</v>
      </c>
      <c r="F90" t="n">
        <v>0</v>
      </c>
    </row>
    <row r="91">
      <c r="A91" t="inlineStr">
        <is>
          <t>BS134</t>
        </is>
      </c>
      <c r="B91" t="inlineStr">
        <is>
          <t>1. Phải trả người bán</t>
        </is>
      </c>
      <c r="C91" t="n">
        <v>-99999</v>
      </c>
      <c r="D91" t="n">
        <v>-99999</v>
      </c>
      <c r="E91" t="n">
        <v>-99999</v>
      </c>
      <c r="F91" t="n">
        <v>-99999</v>
      </c>
    </row>
    <row r="92">
      <c r="A92" t="inlineStr">
        <is>
          <t>BS135</t>
        </is>
      </c>
      <c r="B92" t="inlineStr">
        <is>
          <t>2. Người mua trả tiền trước</t>
        </is>
      </c>
      <c r="C92" t="n">
        <v>-99999</v>
      </c>
      <c r="D92" t="n">
        <v>-99999</v>
      </c>
      <c r="E92" t="n">
        <v>-99999</v>
      </c>
      <c r="F92" t="n">
        <v>-99999</v>
      </c>
    </row>
    <row r="93">
      <c r="A93" t="inlineStr">
        <is>
          <t>BS136</t>
        </is>
      </c>
      <c r="B93" t="inlineStr">
        <is>
          <t>3. Thuế và các khoản phải nộp Nhà nước</t>
        </is>
      </c>
      <c r="C93" t="n">
        <v>-99999</v>
      </c>
      <c r="D93" t="n">
        <v>-99999</v>
      </c>
      <c r="E93" t="n">
        <v>-99999</v>
      </c>
      <c r="F93" t="n">
        <v>-99999</v>
      </c>
    </row>
    <row r="94">
      <c r="A94" t="inlineStr">
        <is>
          <t>BS137</t>
        </is>
      </c>
      <c r="B94" t="inlineStr">
        <is>
          <t>4. Phải trả người lao động</t>
        </is>
      </c>
      <c r="C94" t="n">
        <v>-99999</v>
      </c>
      <c r="D94" t="n">
        <v>-99999</v>
      </c>
      <c r="E94" t="n">
        <v>-99999</v>
      </c>
      <c r="F94" t="n">
        <v>-99999</v>
      </c>
    </row>
    <row r="95">
      <c r="A95" t="inlineStr">
        <is>
          <t>BS138</t>
        </is>
      </c>
      <c r="B95" t="inlineStr">
        <is>
          <t>5. Phải trả khác</t>
        </is>
      </c>
      <c r="C95" t="n">
        <v>-99999</v>
      </c>
      <c r="D95" t="n">
        <v>-99999</v>
      </c>
      <c r="E95" t="n">
        <v>-99999</v>
      </c>
      <c r="F95" t="n">
        <v>-99999</v>
      </c>
    </row>
    <row r="96">
      <c r="A96" t="inlineStr">
        <is>
          <t>BS139</t>
        </is>
      </c>
      <c r="B96" t="inlineStr">
        <is>
          <t>6. Vay và nợ thuê tài chính</t>
        </is>
      </c>
      <c r="C96" t="n">
        <v>-99999</v>
      </c>
      <c r="D96" t="n">
        <v>-99999</v>
      </c>
      <c r="E96" t="n">
        <v>-99999</v>
      </c>
      <c r="F96" t="n">
        <v>-99999</v>
      </c>
    </row>
    <row r="97">
      <c r="A97" t="inlineStr">
        <is>
          <t>BS140</t>
        </is>
      </c>
      <c r="B97" t="inlineStr">
        <is>
          <t>7. Phải trả nội bộ về vốn kinh doanh</t>
        </is>
      </c>
      <c r="C97" t="n">
        <v>-99999</v>
      </c>
      <c r="D97" t="n">
        <v>-99999</v>
      </c>
      <c r="E97" t="n">
        <v>-99999</v>
      </c>
      <c r="F97" t="n">
        <v>-99999</v>
      </c>
    </row>
    <row r="98">
      <c r="A98" t="inlineStr">
        <is>
          <t>BS141</t>
        </is>
      </c>
      <c r="B98" t="inlineStr">
        <is>
          <t>8. Dự phòng phải trả</t>
        </is>
      </c>
      <c r="C98" t="n">
        <v>-99999</v>
      </c>
      <c r="D98" t="n">
        <v>-99999</v>
      </c>
      <c r="E98" t="n">
        <v>-99999</v>
      </c>
      <c r="F98" t="n">
        <v>-99999</v>
      </c>
    </row>
    <row r="99">
      <c r="A99" t="inlineStr">
        <is>
          <t>BS142</t>
        </is>
      </c>
      <c r="B99" t="inlineStr">
        <is>
          <t>9. Quỹ khen thưởng, phúc lợi</t>
        </is>
      </c>
      <c r="C99" t="n">
        <v>-99999</v>
      </c>
      <c r="D99" t="n">
        <v>-99999</v>
      </c>
      <c r="E99" t="n">
        <v>-99999</v>
      </c>
      <c r="F99" t="n">
        <v>-99999</v>
      </c>
    </row>
    <row r="100">
      <c r="A100" t="inlineStr">
        <is>
          <t>BS143</t>
        </is>
      </c>
      <c r="B100" t="inlineStr">
        <is>
          <t>10. Quỹ phát triển khoa học và công nghệ</t>
        </is>
      </c>
      <c r="C100" t="n">
        <v>-99999</v>
      </c>
      <c r="D100" t="n">
        <v>-99999</v>
      </c>
      <c r="E100" t="n">
        <v>-99999</v>
      </c>
      <c r="F100" t="n">
        <v>-99999</v>
      </c>
    </row>
    <row r="101">
      <c r="A101" t="inlineStr">
        <is>
          <t>BS017</t>
        </is>
      </c>
      <c r="B101" t="inlineStr">
        <is>
          <t>I. Nợ ngắn hạn</t>
        </is>
      </c>
      <c r="C101" t="n">
        <v>12148.540954</v>
      </c>
      <c r="D101" t="n">
        <v>47262.535326</v>
      </c>
      <c r="E101" t="n">
        <v>99410.36893500001</v>
      </c>
      <c r="F101" t="n">
        <v>0</v>
      </c>
    </row>
    <row r="102">
      <c r="A102" t="inlineStr">
        <is>
          <t>BS080</t>
        </is>
      </c>
      <c r="B102" t="inlineStr">
        <is>
          <t>1. Vay và nợ ngắn hạn</t>
        </is>
      </c>
      <c r="C102" t="n">
        <v>3962.37248</v>
      </c>
      <c r="D102" t="n">
        <v>0</v>
      </c>
      <c r="E102" t="n">
        <v>27138.299197</v>
      </c>
      <c r="F102" t="n">
        <v>0</v>
      </c>
    </row>
    <row r="103">
      <c r="A103" t="inlineStr">
        <is>
          <t>BS081</t>
        </is>
      </c>
      <c r="B103" t="inlineStr">
        <is>
          <t>- Tr/đó: vay MSB</t>
        </is>
      </c>
      <c r="C103" t="n">
        <v>0</v>
      </c>
      <c r="D103" t="n">
        <v>0</v>
      </c>
      <c r="E103" t="n">
        <v>0</v>
      </c>
      <c r="F103" t="n">
        <v>0</v>
      </c>
    </row>
    <row r="104">
      <c r="A104" t="inlineStr">
        <is>
          <t>BS082</t>
        </is>
      </c>
      <c r="B104" t="inlineStr">
        <is>
          <t>2. Phải trả người bán</t>
        </is>
      </c>
      <c r="C104" t="n">
        <v>0</v>
      </c>
      <c r="D104" t="n">
        <v>23195.272991</v>
      </c>
      <c r="E104" t="n">
        <v>19017.162045</v>
      </c>
      <c r="F104" t="n">
        <v>0</v>
      </c>
    </row>
    <row r="105">
      <c r="A105" t="inlineStr">
        <is>
          <t>BS083</t>
        </is>
      </c>
      <c r="B105" t="inlineStr">
        <is>
          <t>3. Người mua trả tiền trước</t>
        </is>
      </c>
      <c r="C105" t="n">
        <v>3680.295181</v>
      </c>
      <c r="D105" t="n">
        <v>8046.359758</v>
      </c>
      <c r="E105" t="n">
        <v>24583.668879</v>
      </c>
      <c r="F105" t="n">
        <v>0</v>
      </c>
    </row>
    <row r="106">
      <c r="A106" t="inlineStr">
        <is>
          <t>BS084</t>
        </is>
      </c>
      <c r="B106" t="inlineStr">
        <is>
          <t>4. Thuế và các khoản phải nộp Nhà nước</t>
        </is>
      </c>
      <c r="C106" t="n">
        <v>1463.563514</v>
      </c>
      <c r="D106" t="n">
        <v>2039.719877</v>
      </c>
      <c r="E106" t="n">
        <v>7817.966288</v>
      </c>
      <c r="F106" t="n">
        <v>0</v>
      </c>
    </row>
    <row r="107">
      <c r="A107" t="inlineStr">
        <is>
          <t>BS085</t>
        </is>
      </c>
      <c r="B107" t="inlineStr">
        <is>
          <t>5. Phải trả người lao động</t>
        </is>
      </c>
      <c r="C107" t="n">
        <v>669.021042</v>
      </c>
      <c r="D107" t="n">
        <v>1021.321284</v>
      </c>
      <c r="E107" t="n">
        <v>3624.743162</v>
      </c>
      <c r="F107" t="n">
        <v>0</v>
      </c>
    </row>
    <row r="108">
      <c r="A108" t="inlineStr">
        <is>
          <t>BS086</t>
        </is>
      </c>
      <c r="B108" t="inlineStr">
        <is>
          <t>6. Chi phí phải trả</t>
        </is>
      </c>
      <c r="C108" t="n">
        <v>0</v>
      </c>
      <c r="D108" t="n">
        <v>163</v>
      </c>
      <c r="E108" t="n">
        <v>0</v>
      </c>
      <c r="F108" t="n">
        <v>0</v>
      </c>
    </row>
    <row r="109">
      <c r="A109" t="inlineStr">
        <is>
          <t>BS087</t>
        </is>
      </c>
      <c r="B109" t="inlineStr">
        <is>
          <t>7. Phải trả nội bộ</t>
        </is>
      </c>
      <c r="C109" t="n">
        <v>0</v>
      </c>
      <c r="D109" t="n">
        <v>0</v>
      </c>
      <c r="E109" t="n">
        <v>0</v>
      </c>
      <c r="F109" t="n">
        <v>0</v>
      </c>
    </row>
    <row r="110">
      <c r="A110" t="inlineStr">
        <is>
          <t>BS088</t>
        </is>
      </c>
      <c r="B110" t="inlineStr">
        <is>
          <t>8. Phải trả theo tiến độ kế hoạch hợp đồng xây dựng</t>
        </is>
      </c>
      <c r="C110" t="n">
        <v>0</v>
      </c>
      <c r="D110" t="n">
        <v>0</v>
      </c>
      <c r="E110" t="n">
        <v>0</v>
      </c>
      <c r="F110" t="n">
        <v>0</v>
      </c>
    </row>
    <row r="111">
      <c r="A111" t="inlineStr">
        <is>
          <t>BS089</t>
        </is>
      </c>
      <c r="B111" t="inlineStr">
        <is>
          <t>9. Các khoản phải trả, phải nộp ngắn hạn khác</t>
        </is>
      </c>
      <c r="C111" t="n">
        <v>7.5875</v>
      </c>
      <c r="D111" t="n">
        <v>7.392959</v>
      </c>
      <c r="E111" t="n">
        <v>5.153162</v>
      </c>
      <c r="F111" t="n">
        <v>0</v>
      </c>
    </row>
    <row r="112">
      <c r="A112" t="inlineStr">
        <is>
          <t>BS090</t>
        </is>
      </c>
      <c r="B112" t="inlineStr">
        <is>
          <t>10. Dự phòng phải trả ngắn hạn</t>
        </is>
      </c>
      <c r="C112" t="n">
        <v>2365.701237</v>
      </c>
      <c r="D112" t="n">
        <v>12789.468457</v>
      </c>
      <c r="E112" t="n">
        <v>17223.376202</v>
      </c>
      <c r="F112" t="n">
        <v>0</v>
      </c>
    </row>
    <row r="113">
      <c r="A113" t="inlineStr">
        <is>
          <t>BS091</t>
        </is>
      </c>
      <c r="B113" t="inlineStr">
        <is>
          <t>11. Quỹ khen thưởng, phúc lợi</t>
        </is>
      </c>
      <c r="C113" t="n">
        <v>0</v>
      </c>
      <c r="D113" t="n">
        <v>0</v>
      </c>
      <c r="E113" t="n">
        <v>0</v>
      </c>
      <c r="F113" t="n">
        <v>0</v>
      </c>
    </row>
    <row r="114">
      <c r="A114" t="inlineStr">
        <is>
          <t>BS092</t>
        </is>
      </c>
      <c r="B114" t="inlineStr">
        <is>
          <t>12. Giao dịch mua bán lại trái phiếu chính phủ</t>
        </is>
      </c>
      <c r="C114" t="n">
        <v>0</v>
      </c>
      <c r="D114" t="n">
        <v>0</v>
      </c>
      <c r="E114" t="n">
        <v>0</v>
      </c>
      <c r="F114" t="n">
        <v>0</v>
      </c>
    </row>
    <row r="115">
      <c r="A115" t="inlineStr">
        <is>
          <t>BS093</t>
        </is>
      </c>
      <c r="B115" t="inlineStr">
        <is>
          <t>13. Doanh thu chưa thực hiện ngắn hạn</t>
        </is>
      </c>
      <c r="C115" t="n">
        <v>0</v>
      </c>
      <c r="D115" t="n">
        <v>0</v>
      </c>
      <c r="E115" t="n">
        <v>0</v>
      </c>
      <c r="F115" t="n">
        <v>0</v>
      </c>
    </row>
    <row r="116">
      <c r="A116" t="inlineStr">
        <is>
          <t>BS018</t>
        </is>
      </c>
      <c r="B116" t="inlineStr">
        <is>
          <t>II. Nợ dài hạn</t>
        </is>
      </c>
      <c r="C116" t="n">
        <v>0</v>
      </c>
      <c r="D116" t="n">
        <v>0</v>
      </c>
      <c r="E116" t="n">
        <v>0</v>
      </c>
      <c r="F116" t="n">
        <v>0</v>
      </c>
    </row>
    <row r="117">
      <c r="A117" t="inlineStr">
        <is>
          <t>BS094</t>
        </is>
      </c>
      <c r="B117" t="inlineStr">
        <is>
          <t>1. Phải trả dài hạn người bán</t>
        </is>
      </c>
      <c r="C117" t="n">
        <v>0</v>
      </c>
      <c r="D117" t="n">
        <v>0</v>
      </c>
      <c r="E117" t="n">
        <v>0</v>
      </c>
      <c r="F117" t="n">
        <v>0</v>
      </c>
    </row>
    <row r="118">
      <c r="A118" t="inlineStr">
        <is>
          <t>BS095</t>
        </is>
      </c>
      <c r="B118" t="inlineStr">
        <is>
          <t>2. Phải trả dài hạn nội bộ</t>
        </is>
      </c>
      <c r="C118" t="n">
        <v>0</v>
      </c>
      <c r="D118" t="n">
        <v>0</v>
      </c>
      <c r="E118" t="n">
        <v>0</v>
      </c>
      <c r="F118" t="n">
        <v>0</v>
      </c>
    </row>
    <row r="119">
      <c r="A119" t="inlineStr">
        <is>
          <t>BS096</t>
        </is>
      </c>
      <c r="B119" t="inlineStr">
        <is>
          <t>3. Phải trả dài hạn khác</t>
        </is>
      </c>
      <c r="C119" t="n">
        <v>0</v>
      </c>
      <c r="D119" t="n">
        <v>0</v>
      </c>
      <c r="E119" t="n">
        <v>0</v>
      </c>
      <c r="F119" t="n">
        <v>0</v>
      </c>
    </row>
    <row r="120">
      <c r="A120" t="inlineStr">
        <is>
          <t>BS097</t>
        </is>
      </c>
      <c r="B120" t="inlineStr">
        <is>
          <t>4. Vay và nợ dài hạn</t>
        </is>
      </c>
      <c r="C120" t="n">
        <v>0</v>
      </c>
      <c r="D120" t="n">
        <v>0</v>
      </c>
      <c r="E120" t="n">
        <v>0</v>
      </c>
      <c r="F120" t="n">
        <v>0</v>
      </c>
    </row>
    <row r="121">
      <c r="A121" t="inlineStr">
        <is>
          <t>BS098</t>
        </is>
      </c>
      <c r="B121" t="inlineStr">
        <is>
          <t>- Tr/đó: vay MSB</t>
        </is>
      </c>
      <c r="C121" t="n">
        <v>0</v>
      </c>
      <c r="D121" t="n">
        <v>0</v>
      </c>
      <c r="E121" t="n">
        <v>0</v>
      </c>
      <c r="F121" t="n">
        <v>0</v>
      </c>
    </row>
    <row r="122">
      <c r="A122" t="inlineStr">
        <is>
          <t>BS099</t>
        </is>
      </c>
      <c r="B122" t="inlineStr">
        <is>
          <t>5. Thuế thu nhập hoãn lại phải trả</t>
        </is>
      </c>
      <c r="C122" t="n">
        <v>0</v>
      </c>
      <c r="D122" t="n">
        <v>0</v>
      </c>
      <c r="E122" t="n">
        <v>0</v>
      </c>
      <c r="F122" t="n">
        <v>0</v>
      </c>
    </row>
    <row r="123">
      <c r="A123" t="inlineStr">
        <is>
          <t>BS100</t>
        </is>
      </c>
      <c r="B123" t="inlineStr">
        <is>
          <t>6. Dự phòng trợ cấp mất việc làm</t>
        </is>
      </c>
      <c r="C123" t="n">
        <v>0</v>
      </c>
      <c r="D123" t="n">
        <v>0</v>
      </c>
      <c r="E123" t="n">
        <v>0</v>
      </c>
      <c r="F123" t="n">
        <v>0</v>
      </c>
    </row>
    <row r="124">
      <c r="A124" t="inlineStr">
        <is>
          <t>BS101</t>
        </is>
      </c>
      <c r="B124" t="inlineStr">
        <is>
          <t>7. Dự phòng phải trả người bán</t>
        </is>
      </c>
      <c r="C124" t="n">
        <v>0</v>
      </c>
      <c r="D124" t="n">
        <v>0</v>
      </c>
      <c r="E124" t="n">
        <v>0</v>
      </c>
      <c r="F124" t="n">
        <v>0</v>
      </c>
    </row>
    <row r="125">
      <c r="A125" t="inlineStr">
        <is>
          <t>BS102</t>
        </is>
      </c>
      <c r="B125" t="inlineStr">
        <is>
          <t>8. Doanh thu chưa thực hiện</t>
        </is>
      </c>
      <c r="C125" t="n">
        <v>0</v>
      </c>
      <c r="D125" t="n">
        <v>0</v>
      </c>
      <c r="E125" t="n">
        <v>0</v>
      </c>
      <c r="F125" t="n">
        <v>0</v>
      </c>
    </row>
    <row r="126">
      <c r="A126" t="inlineStr">
        <is>
          <t>BS103</t>
        </is>
      </c>
      <c r="B126" t="inlineStr">
        <is>
          <t>9. Quỹ phát triển khoa học công nghệ</t>
        </is>
      </c>
      <c r="C126" t="n">
        <v>0</v>
      </c>
      <c r="D126" t="n">
        <v>0</v>
      </c>
      <c r="E126" t="n">
        <v>0</v>
      </c>
      <c r="F126" t="n">
        <v>0</v>
      </c>
    </row>
    <row r="127">
      <c r="A127" t="inlineStr">
        <is>
          <t>BS104</t>
        </is>
      </c>
      <c r="B127" t="inlineStr">
        <is>
          <t>10. Phải trả, phải nộp dài hạn khác</t>
        </is>
      </c>
      <c r="C127" t="n">
        <v>0</v>
      </c>
      <c r="D127" t="n">
        <v>0</v>
      </c>
      <c r="E127" t="n">
        <v>0</v>
      </c>
      <c r="F127" t="n">
        <v>0</v>
      </c>
    </row>
    <row r="128">
      <c r="A128" t="inlineStr">
        <is>
          <t>BS019</t>
        </is>
      </c>
      <c r="B128" t="inlineStr">
        <is>
          <t>B. VỐN CHỦ SỞ HỮU</t>
        </is>
      </c>
      <c r="C128" t="n">
        <v>7799.15007</v>
      </c>
      <c r="D128" t="n">
        <v>13905.811313</v>
      </c>
      <c r="E128" t="n">
        <v>48394.627664</v>
      </c>
      <c r="F128" t="n">
        <v>0</v>
      </c>
    </row>
    <row r="129">
      <c r="A129" t="inlineStr">
        <is>
          <t>BS020</t>
        </is>
      </c>
      <c r="B129" t="inlineStr">
        <is>
          <t>I. Vốn chủ sở hữu</t>
        </is>
      </c>
      <c r="C129" t="n">
        <v>7799.15007</v>
      </c>
      <c r="D129" t="n">
        <v>13905.811313</v>
      </c>
      <c r="E129" t="n">
        <v>48394.627664</v>
      </c>
      <c r="F129" t="n">
        <v>0</v>
      </c>
    </row>
    <row r="130">
      <c r="A130" t="inlineStr">
        <is>
          <t>BS105</t>
        </is>
      </c>
      <c r="B130" t="inlineStr">
        <is>
          <t>1. Vốn đầu tư của chủ sở hữu</t>
        </is>
      </c>
      <c r="C130" t="n">
        <v>500</v>
      </c>
      <c r="D130" t="n">
        <v>500</v>
      </c>
      <c r="E130" t="n">
        <v>5000</v>
      </c>
      <c r="F130" t="n">
        <v>0</v>
      </c>
    </row>
    <row r="131">
      <c r="A131" t="inlineStr">
        <is>
          <t>BS106</t>
        </is>
      </c>
      <c r="B131" t="inlineStr">
        <is>
          <t>2. Thặng dư vốn cổ phần</t>
        </is>
      </c>
      <c r="C131" t="n">
        <v>0</v>
      </c>
      <c r="D131" t="n">
        <v>0</v>
      </c>
      <c r="E131" t="n">
        <v>0</v>
      </c>
      <c r="F131" t="n">
        <v>0</v>
      </c>
    </row>
    <row r="132">
      <c r="A132" t="inlineStr">
        <is>
          <t>BS107</t>
        </is>
      </c>
      <c r="B132" t="inlineStr">
        <is>
          <t>3. Vốn khác của chủ sở hữu</t>
        </is>
      </c>
      <c r="C132" t="n">
        <v>0</v>
      </c>
      <c r="D132" t="n">
        <v>0</v>
      </c>
      <c r="E132" t="n">
        <v>0</v>
      </c>
      <c r="F132" t="n">
        <v>0</v>
      </c>
    </row>
    <row r="133">
      <c r="A133" t="inlineStr">
        <is>
          <t>BS108</t>
        </is>
      </c>
      <c r="B133" t="inlineStr">
        <is>
          <t>4. Cổ phiếu quỹ</t>
        </is>
      </c>
      <c r="C133" t="n">
        <v>0</v>
      </c>
      <c r="D133" t="n">
        <v>0</v>
      </c>
      <c r="E133" t="n">
        <v>0</v>
      </c>
      <c r="F133" t="n">
        <v>0</v>
      </c>
    </row>
    <row r="134">
      <c r="A134" t="inlineStr">
        <is>
          <t>BS109</t>
        </is>
      </c>
      <c r="B134" t="inlineStr">
        <is>
          <t>5. Chênh lệch đánh giá lại tài sản</t>
        </is>
      </c>
      <c r="C134" t="n">
        <v>0</v>
      </c>
      <c r="D134" t="n">
        <v>0</v>
      </c>
      <c r="E134" t="n">
        <v>0</v>
      </c>
      <c r="F134" t="n">
        <v>0</v>
      </c>
    </row>
    <row r="135">
      <c r="A135" t="inlineStr">
        <is>
          <t>BS110</t>
        </is>
      </c>
      <c r="B135" t="inlineStr">
        <is>
          <t>6. Chênh lệch tỷ giá hối đoái</t>
        </is>
      </c>
      <c r="C135" t="n">
        <v>0</v>
      </c>
      <c r="D135" t="n">
        <v>0</v>
      </c>
      <c r="E135" t="n">
        <v>0</v>
      </c>
      <c r="F135" t="n">
        <v>0</v>
      </c>
    </row>
    <row r="136">
      <c r="A136" t="inlineStr">
        <is>
          <t>BS111</t>
        </is>
      </c>
      <c r="B136" t="inlineStr">
        <is>
          <t>7. Quỹ đầu tư phát triển</t>
        </is>
      </c>
      <c r="C136" t="n">
        <v>0</v>
      </c>
      <c r="D136" t="n">
        <v>0</v>
      </c>
      <c r="E136" t="n">
        <v>0</v>
      </c>
      <c r="F136" t="n">
        <v>0</v>
      </c>
    </row>
    <row r="137">
      <c r="A137" t="inlineStr">
        <is>
          <t>BS112</t>
        </is>
      </c>
      <c r="B137" t="inlineStr">
        <is>
          <t>8. Quỹ dự phòng tài chính</t>
        </is>
      </c>
      <c r="C137" t="n">
        <v>0</v>
      </c>
      <c r="D137" t="n">
        <v>0</v>
      </c>
      <c r="E137" t="n">
        <v>0</v>
      </c>
      <c r="F137" t="n">
        <v>0</v>
      </c>
    </row>
    <row r="138">
      <c r="A138" t="inlineStr">
        <is>
          <t>BS113</t>
        </is>
      </c>
      <c r="B138" t="inlineStr">
        <is>
          <t>9. Quỹ khác thuộc vốn chủ sở hữu</t>
        </is>
      </c>
      <c r="C138" t="n">
        <v>0</v>
      </c>
      <c r="D138" t="n">
        <v>0</v>
      </c>
      <c r="E138" t="n">
        <v>0</v>
      </c>
      <c r="F138" t="n">
        <v>0</v>
      </c>
    </row>
    <row r="139">
      <c r="A139" t="inlineStr">
        <is>
          <t>BS114</t>
        </is>
      </c>
      <c r="B139" t="inlineStr">
        <is>
          <t>10. Lợi nhuận sau thuế chưa phân phối</t>
        </is>
      </c>
      <c r="C139" t="n">
        <v>7299.15007</v>
      </c>
      <c r="D139" t="n">
        <v>13405.811313</v>
      </c>
      <c r="E139" t="n">
        <v>43394.627664</v>
      </c>
      <c r="F139" t="n">
        <v>0</v>
      </c>
    </row>
    <row r="140">
      <c r="A140" t="inlineStr">
        <is>
          <t>BS115</t>
        </is>
      </c>
      <c r="B140" t="inlineStr">
        <is>
          <t>11. Nguồn vốn đầu tư XDCB</t>
        </is>
      </c>
      <c r="C140" t="n">
        <v>0</v>
      </c>
      <c r="D140" t="n">
        <v>0</v>
      </c>
      <c r="E140" t="n">
        <v>0</v>
      </c>
      <c r="F140" t="n">
        <v>0</v>
      </c>
    </row>
    <row r="141">
      <c r="A141" t="inlineStr">
        <is>
          <t>BS116</t>
        </is>
      </c>
      <c r="B141" t="inlineStr">
        <is>
          <t>12. Quỹ hỗ trợ sắp xếp doanh nghiệp</t>
        </is>
      </c>
      <c r="C141" t="n">
        <v>0</v>
      </c>
      <c r="D141" t="n">
        <v>0</v>
      </c>
      <c r="E141" t="n">
        <v>0</v>
      </c>
      <c r="F141" t="n">
        <v>0</v>
      </c>
    </row>
    <row r="142">
      <c r="A142" t="inlineStr">
        <is>
          <t>BS021</t>
        </is>
      </c>
      <c r="B142" t="inlineStr">
        <is>
          <t xml:space="preserve">II. Nguồn kinh phí </t>
        </is>
      </c>
      <c r="C142" t="n">
        <v>0</v>
      </c>
      <c r="D142" t="n">
        <v>0</v>
      </c>
      <c r="E142" t="n">
        <v>0</v>
      </c>
      <c r="F142" t="n">
        <v>0</v>
      </c>
    </row>
    <row r="143">
      <c r="A143" t="inlineStr">
        <is>
          <t>BS117</t>
        </is>
      </c>
      <c r="B143" t="inlineStr">
        <is>
          <t>1. Nguồn kinh phí</t>
        </is>
      </c>
      <c r="C143" t="n">
        <v>0</v>
      </c>
      <c r="D143" t="n">
        <v>0</v>
      </c>
      <c r="E143" t="n">
        <v>0</v>
      </c>
      <c r="F143" t="n">
        <v>0</v>
      </c>
    </row>
    <row r="144">
      <c r="A144" t="inlineStr">
        <is>
          <t>BS118</t>
        </is>
      </c>
      <c r="B144" t="inlineStr">
        <is>
          <t>2. Nguồn kinh phí đã hình thành TSCĐ</t>
        </is>
      </c>
      <c r="C144" t="n">
        <v>0</v>
      </c>
      <c r="D144" t="n">
        <v>0</v>
      </c>
      <c r="E144" t="n">
        <v>0</v>
      </c>
      <c r="F144" t="n">
        <v>0</v>
      </c>
    </row>
    <row r="145">
      <c r="A145" t="inlineStr">
        <is>
          <t>IS002</t>
        </is>
      </c>
      <c r="B145" t="inlineStr">
        <is>
          <t>Doanh thu bán hàng và cung cấp dịch vụ</t>
        </is>
      </c>
      <c r="C145" t="n">
        <v>62245.878588</v>
      </c>
      <c r="D145" t="n">
        <v>228493.535147</v>
      </c>
      <c r="E145" t="n">
        <v>312092.432664</v>
      </c>
      <c r="F145" t="n">
        <v>0</v>
      </c>
    </row>
    <row r="146">
      <c r="A146" t="inlineStr">
        <is>
          <t>IS003</t>
        </is>
      </c>
      <c r="B146" t="inlineStr">
        <is>
          <t>Các khoản giảm trừ doanh thu</t>
        </is>
      </c>
      <c r="C146" t="n">
        <v>0</v>
      </c>
      <c r="D146" t="n">
        <v>0</v>
      </c>
      <c r="E146" t="n">
        <v>0</v>
      </c>
      <c r="F146" t="n">
        <v>0</v>
      </c>
    </row>
    <row r="147">
      <c r="A147" t="inlineStr">
        <is>
          <t>IS020</t>
        </is>
      </c>
      <c r="B147" t="inlineStr">
        <is>
          <t xml:space="preserve">      - Chiết khấu</t>
        </is>
      </c>
      <c r="C147" t="n">
        <v>0</v>
      </c>
      <c r="D147" t="n">
        <v>0</v>
      </c>
      <c r="E147" t="n">
        <v>0</v>
      </c>
      <c r="F147" t="n">
        <v>0</v>
      </c>
    </row>
    <row r="148">
      <c r="A148" t="inlineStr">
        <is>
          <t>IS021</t>
        </is>
      </c>
      <c r="B148" t="inlineStr">
        <is>
          <t xml:space="preserve">      - Giảm giá</t>
        </is>
      </c>
      <c r="C148" t="n">
        <v>0</v>
      </c>
      <c r="D148" t="n">
        <v>0</v>
      </c>
      <c r="E148" t="n">
        <v>0</v>
      </c>
      <c r="F148" t="n">
        <v>0</v>
      </c>
    </row>
    <row r="149">
      <c r="A149" t="inlineStr">
        <is>
          <t>IS022</t>
        </is>
      </c>
      <c r="B149" t="inlineStr">
        <is>
          <t xml:space="preserve">      - Hàng bán bị trả lại</t>
        </is>
      </c>
      <c r="C149" t="n">
        <v>0</v>
      </c>
      <c r="D149" t="n">
        <v>0</v>
      </c>
      <c r="E149" t="n">
        <v>0</v>
      </c>
      <c r="F149" t="n">
        <v>0</v>
      </c>
    </row>
    <row r="150">
      <c r="A150" t="inlineStr">
        <is>
          <t>IS023</t>
        </is>
      </c>
      <c r="B150" t="inlineStr">
        <is>
          <t xml:space="preserve">      - Thuế VAT, thuế xuất khẩu</t>
        </is>
      </c>
      <c r="C150" t="n">
        <v>0</v>
      </c>
      <c r="D150" t="n">
        <v>0</v>
      </c>
      <c r="E150" t="n">
        <v>0</v>
      </c>
      <c r="F150" t="n">
        <v>0</v>
      </c>
    </row>
    <row r="151">
      <c r="A151" t="inlineStr">
        <is>
          <t>IS004</t>
        </is>
      </c>
      <c r="B151" t="inlineStr">
        <is>
          <t>Doanh thu thuần về bán hàng và cung cấp dịch vụ</t>
        </is>
      </c>
      <c r="C151" t="n">
        <v>62245.878588</v>
      </c>
      <c r="D151" t="n">
        <v>228493.535147</v>
      </c>
      <c r="E151" t="n">
        <v>312092.432664</v>
      </c>
      <c r="F151" t="n">
        <v>0</v>
      </c>
    </row>
    <row r="152">
      <c r="A152" t="inlineStr">
        <is>
          <t>IS005</t>
        </is>
      </c>
      <c r="B152" t="inlineStr">
        <is>
          <t>Giá vốn hàng bán</t>
        </is>
      </c>
      <c r="C152" t="n">
        <v>44465.578842</v>
      </c>
      <c r="D152" t="n">
        <v>200453.582226</v>
      </c>
      <c r="E152" t="n">
        <v>237393.280095</v>
      </c>
      <c r="F152" t="n">
        <v>0</v>
      </c>
    </row>
    <row r="153">
      <c r="A153" t="inlineStr">
        <is>
          <t>IS024</t>
        </is>
      </c>
      <c r="B153" t="inlineStr">
        <is>
          <t xml:space="preserve">     - Tr/đó: Khấu hao trong giá vốn hàng bán</t>
        </is>
      </c>
      <c r="C153" t="n">
        <v>0</v>
      </c>
      <c r="D153" t="n">
        <v>0</v>
      </c>
      <c r="E153" t="n">
        <v>0</v>
      </c>
      <c r="F153" t="n">
        <v>0</v>
      </c>
    </row>
    <row r="154">
      <c r="A154" t="inlineStr">
        <is>
          <t>IS006</t>
        </is>
      </c>
      <c r="B154" t="inlineStr">
        <is>
          <t>Lợi nhuận gộp về bán hàng và cung cấp dịch vụ</t>
        </is>
      </c>
      <c r="C154" t="n">
        <v>17780.299746</v>
      </c>
      <c r="D154" t="n">
        <v>28039.952921</v>
      </c>
      <c r="E154" t="n">
        <v>74699.152569</v>
      </c>
      <c r="F154" t="n">
        <v>0</v>
      </c>
    </row>
    <row r="155">
      <c r="A155" t="inlineStr">
        <is>
          <t>IS007</t>
        </is>
      </c>
      <c r="B155" t="inlineStr">
        <is>
          <t>Doanh thu hoạt động tài chính</t>
        </is>
      </c>
      <c r="C155" t="n">
        <v>716.0865700000001</v>
      </c>
      <c r="D155" t="n">
        <v>3168.059964</v>
      </c>
      <c r="E155" t="n">
        <v>3926.783352</v>
      </c>
      <c r="F155" t="n">
        <v>0</v>
      </c>
    </row>
    <row r="156">
      <c r="A156" t="inlineStr">
        <is>
          <t>IS008</t>
        </is>
      </c>
      <c r="B156" t="inlineStr">
        <is>
          <t>Chi phí tài chính</t>
        </is>
      </c>
      <c r="C156" t="n">
        <v>611.856398</v>
      </c>
      <c r="D156" t="n">
        <v>1329.711838</v>
      </c>
      <c r="E156" t="n">
        <v>2243.455237</v>
      </c>
      <c r="F156" t="n">
        <v>0</v>
      </c>
    </row>
    <row r="157">
      <c r="A157" t="inlineStr">
        <is>
          <t>IS025</t>
        </is>
      </c>
      <c r="B157" t="inlineStr">
        <is>
          <t xml:space="preserve">     - Tr/đó: Chi phí lãi vay</t>
        </is>
      </c>
      <c r="C157" t="n">
        <v>348.138322</v>
      </c>
      <c r="D157" t="n">
        <v>113.497144</v>
      </c>
      <c r="E157" t="n">
        <v>620.1844599999999</v>
      </c>
      <c r="F157" t="n">
        <v>0</v>
      </c>
    </row>
    <row r="158">
      <c r="A158" t="inlineStr">
        <is>
          <t>IS009</t>
        </is>
      </c>
      <c r="B158" t="inlineStr">
        <is>
          <t>Chi phí bán hàng</t>
        </is>
      </c>
      <c r="C158" t="n">
        <v>5050.68248</v>
      </c>
      <c r="D158" t="n">
        <v>10791.840742</v>
      </c>
      <c r="E158" t="n">
        <v>18458.371198</v>
      </c>
      <c r="F158" t="n">
        <v>0</v>
      </c>
    </row>
    <row r="159">
      <c r="A159" t="inlineStr">
        <is>
          <t>IS026</t>
        </is>
      </c>
      <c r="B159" t="inlineStr">
        <is>
          <t xml:space="preserve">     - Tr/đó: Khấu hao trong giá vốn hàng bán</t>
        </is>
      </c>
      <c r="C159" t="n">
        <v>0</v>
      </c>
      <c r="D159" t="n">
        <v>0</v>
      </c>
      <c r="E159" t="n">
        <v>0</v>
      </c>
      <c r="F159" t="n">
        <v>0</v>
      </c>
    </row>
    <row r="160">
      <c r="A160" t="inlineStr">
        <is>
          <t>IS010</t>
        </is>
      </c>
      <c r="B160" t="inlineStr">
        <is>
          <t>Chi phí quản lý doanh nghiệp</t>
        </is>
      </c>
      <c r="C160" t="n">
        <v>7521.024904</v>
      </c>
      <c r="D160" t="n">
        <v>11045.499361</v>
      </c>
      <c r="E160" t="n">
        <v>18945.090529</v>
      </c>
      <c r="F160" t="n">
        <v>0</v>
      </c>
    </row>
    <row r="161">
      <c r="A161" t="inlineStr">
        <is>
          <t>IS027</t>
        </is>
      </c>
      <c r="B161" t="inlineStr">
        <is>
          <t xml:space="preserve">     - Tr/đó: Khấu hao trong giá vốn hàng bán</t>
        </is>
      </c>
      <c r="C161" t="n">
        <v>0</v>
      </c>
      <c r="D161" t="n">
        <v>0</v>
      </c>
      <c r="E161" t="n">
        <v>0</v>
      </c>
      <c r="F161" t="n">
        <v>0</v>
      </c>
    </row>
    <row r="162">
      <c r="A162" t="inlineStr">
        <is>
          <t>IS028</t>
        </is>
      </c>
      <c r="B162" t="inlineStr">
        <is>
          <t>Chi phí quản lý kinh doanh</t>
        </is>
      </c>
      <c r="C162" t="n">
        <v>-99999</v>
      </c>
      <c r="D162" t="n">
        <v>-99999</v>
      </c>
      <c r="E162" t="n">
        <v>-99999</v>
      </c>
      <c r="F162" t="n">
        <v>-99999</v>
      </c>
    </row>
    <row r="163">
      <c r="A163" t="inlineStr">
        <is>
          <t>IS011</t>
        </is>
      </c>
      <c r="B163" t="inlineStr">
        <is>
          <t>Lợi nhuận thuần từ HĐKD</t>
        </is>
      </c>
      <c r="C163" t="n">
        <v>5312.822534</v>
      </c>
      <c r="D163" t="n">
        <v>8040.960944</v>
      </c>
      <c r="E163" t="n">
        <v>38979.018957</v>
      </c>
      <c r="F163" t="n">
        <v>0</v>
      </c>
    </row>
    <row r="164">
      <c r="A164" t="inlineStr">
        <is>
          <t>IS012</t>
        </is>
      </c>
      <c r="B164" t="inlineStr">
        <is>
          <t>Thu nhập khác</t>
        </is>
      </c>
      <c r="C164" t="n">
        <v>50.005188</v>
      </c>
      <c r="D164" t="n">
        <v>372.882942</v>
      </c>
      <c r="E164" t="n">
        <v>3001.769308</v>
      </c>
      <c r="F164" t="n">
        <v>0</v>
      </c>
    </row>
    <row r="165">
      <c r="A165" t="inlineStr">
        <is>
          <t>IS013</t>
        </is>
      </c>
      <c r="B165" t="inlineStr">
        <is>
          <t>Chi phí khác</t>
        </is>
      </c>
      <c r="C165" t="n">
        <v>201.407545</v>
      </c>
      <c r="D165" t="n">
        <v>487.465298</v>
      </c>
      <c r="E165" t="n">
        <v>3548.315606</v>
      </c>
      <c r="F165" t="n">
        <v>0</v>
      </c>
    </row>
    <row r="166">
      <c r="A166" t="inlineStr">
        <is>
          <t>IS014</t>
        </is>
      </c>
      <c r="B166" t="inlineStr">
        <is>
          <t>Lợi nhuận khác</t>
        </is>
      </c>
      <c r="C166" t="n">
        <v>-151.402357</v>
      </c>
      <c r="D166" t="n">
        <v>-114.582356</v>
      </c>
      <c r="E166" t="n">
        <v>-546.546298</v>
      </c>
      <c r="F166" t="n">
        <v>0</v>
      </c>
    </row>
    <row r="167">
      <c r="A167" t="inlineStr">
        <is>
          <t>IS015</t>
        </is>
      </c>
      <c r="B167" t="inlineStr">
        <is>
          <t>Tổng lợi nhuận kế toán trước thuế</t>
        </is>
      </c>
      <c r="C167" t="n">
        <v>5161.420177</v>
      </c>
      <c r="D167" t="n">
        <v>7926.378588</v>
      </c>
      <c r="E167" t="n">
        <v>38432.472659</v>
      </c>
      <c r="F167" t="n">
        <v>0</v>
      </c>
    </row>
    <row r="168">
      <c r="A168" t="inlineStr">
        <is>
          <t>IS029</t>
        </is>
      </c>
      <c r="B168" t="inlineStr">
        <is>
          <t>Chi phí thuế TNDN</t>
        </is>
      </c>
      <c r="C168" t="n">
        <v>-99999</v>
      </c>
      <c r="D168" t="n">
        <v>-99999</v>
      </c>
      <c r="E168" t="n">
        <v>-99999</v>
      </c>
      <c r="F168" t="n">
        <v>-99999</v>
      </c>
    </row>
    <row r="169">
      <c r="A169" t="inlineStr">
        <is>
          <t>IS016</t>
        </is>
      </c>
      <c r="B169" t="inlineStr">
        <is>
          <t>Chi phí thuế TNDN hiện hành</t>
        </is>
      </c>
      <c r="C169" t="n">
        <v>1199.759222</v>
      </c>
      <c r="D169" t="n">
        <v>1819.717345</v>
      </c>
      <c r="E169" t="n">
        <v>7764.437251</v>
      </c>
      <c r="F169" t="n">
        <v>0</v>
      </c>
    </row>
    <row r="170">
      <c r="A170" t="inlineStr">
        <is>
          <t>IS017</t>
        </is>
      </c>
      <c r="B170" t="inlineStr">
        <is>
          <t>Chi phí thuế TNDN hoãn lại</t>
        </is>
      </c>
      <c r="C170" t="n">
        <v>0</v>
      </c>
      <c r="D170" t="n">
        <v>0</v>
      </c>
      <c r="E170" t="n">
        <v>0</v>
      </c>
      <c r="F170" t="n">
        <v>0</v>
      </c>
    </row>
    <row r="171">
      <c r="A171" t="inlineStr">
        <is>
          <t>IS018</t>
        </is>
      </c>
      <c r="B171" t="inlineStr">
        <is>
          <t>Lợi nhuận sau thuế TNDN</t>
        </is>
      </c>
      <c r="C171" t="n">
        <v>3961.660955</v>
      </c>
      <c r="D171" t="n">
        <v>6106.661243</v>
      </c>
      <c r="E171" t="n">
        <v>30668.035408</v>
      </c>
      <c r="F171" t="n">
        <v>0</v>
      </c>
    </row>
    <row r="172">
      <c r="A172" t="inlineStr">
        <is>
          <t>IS019</t>
        </is>
      </c>
      <c r="B172" t="inlineStr">
        <is>
          <t>Lãi cơ bản trên cổ phiếu</t>
        </is>
      </c>
      <c r="C172" t="n">
        <v>0</v>
      </c>
      <c r="D172" t="n">
        <v>0</v>
      </c>
      <c r="E172" t="n">
        <v>0</v>
      </c>
      <c r="F172" t="n">
        <v>0</v>
      </c>
    </row>
    <row r="173">
      <c r="A173" t="inlineStr">
        <is>
          <t>GI001</t>
        </is>
      </c>
      <c r="B173" t="inlineStr">
        <is>
          <t>Tổng Doanh thu</t>
        </is>
      </c>
      <c r="C173" t="n">
        <v>62245.878588</v>
      </c>
      <c r="D173" t="n">
        <v>228493.535147</v>
      </c>
      <c r="E173" t="n">
        <v>312092.432664</v>
      </c>
      <c r="F173" t="n">
        <v>0</v>
      </c>
    </row>
    <row r="174">
      <c r="A174" t="inlineStr">
        <is>
          <t>GI002</t>
        </is>
      </c>
      <c r="B174" t="inlineStr">
        <is>
          <t>Tổng tài sản</t>
        </is>
      </c>
      <c r="C174" t="n">
        <v>19947.691024</v>
      </c>
      <c r="D174" t="n">
        <v>61168.346639</v>
      </c>
      <c r="E174" t="n">
        <v>147804.996599</v>
      </c>
      <c r="F174" t="n">
        <v>0</v>
      </c>
    </row>
    <row r="175">
      <c r="A175" t="inlineStr">
        <is>
          <t>GI003</t>
        </is>
      </c>
      <c r="B175" t="inlineStr">
        <is>
          <t>Vốn CSH</t>
        </is>
      </c>
      <c r="C175" t="n">
        <v>7799.15007</v>
      </c>
      <c r="D175" t="n">
        <v>13905.811313</v>
      </c>
      <c r="E175" t="n">
        <v>48394.627664</v>
      </c>
      <c r="F175" t="n">
        <v>0</v>
      </c>
    </row>
    <row r="176">
      <c r="A176" t="inlineStr">
        <is>
          <t>GI004</t>
        </is>
      </c>
      <c r="B176" t="inlineStr">
        <is>
          <t>Lợi nhuận sau thuế</t>
        </is>
      </c>
      <c r="C176" t="n">
        <v>3961.660955</v>
      </c>
      <c r="D176" t="n">
        <v>6106.661243</v>
      </c>
      <c r="E176" t="n">
        <v>30668.035408</v>
      </c>
      <c r="F176" t="n">
        <v>0</v>
      </c>
    </row>
    <row r="177">
      <c r="A177" t="inlineStr">
        <is>
          <t>GI005</t>
        </is>
      </c>
      <c r="B177" t="inlineStr">
        <is>
          <t>Tổng vay và nợ ngắn + dài hạn</t>
        </is>
      </c>
      <c r="C177" t="n">
        <v>3962.37248</v>
      </c>
      <c r="D177" t="n">
        <v>0</v>
      </c>
      <c r="E177" t="n">
        <v>27138.299197</v>
      </c>
      <c r="F177" t="n">
        <v>0</v>
      </c>
    </row>
    <row r="178">
      <c r="A178" t="inlineStr">
        <is>
          <t>GI006</t>
        </is>
      </c>
      <c r="B178" t="inlineStr">
        <is>
          <t>Hệ số đòn bẩy (lần)</t>
        </is>
      </c>
      <c r="C178" t="n">
        <v>1.557674983166467</v>
      </c>
      <c r="D178" t="n">
        <v>3.3987614431253</v>
      </c>
      <c r="E178" t="n">
        <v>2.054161251641363</v>
      </c>
      <c r="F178" t="n">
        <v>-99999</v>
      </c>
    </row>
    <row r="179">
      <c r="A179" t="inlineStr">
        <is>
          <t>GI007</t>
        </is>
      </c>
      <c r="B179" t="inlineStr">
        <is>
          <t>KNTT hiện hành  (lần)</t>
        </is>
      </c>
      <c r="C179" t="n">
        <v>1.403689674551843</v>
      </c>
      <c r="D179" t="n">
        <v>1.177090429031547</v>
      </c>
      <c r="E179" t="n">
        <v>1.448867161826714</v>
      </c>
      <c r="F179" t="n">
        <v>-99999</v>
      </c>
    </row>
    <row r="180">
      <c r="A180" t="inlineStr">
        <is>
          <t>GI008</t>
        </is>
      </c>
      <c r="B180" t="inlineStr">
        <is>
          <t>Vòng quay VLĐ (vòng)</t>
        </is>
      </c>
      <c r="C180" t="n">
        <v>0</v>
      </c>
      <c r="D180" t="n">
        <v>4.107211558238104</v>
      </c>
      <c r="E180" t="n">
        <v>2.16682073817112</v>
      </c>
      <c r="F180" t="n">
        <v>-99999</v>
      </c>
    </row>
    <row r="181">
      <c r="A181" t="inlineStr">
        <is>
          <t>FR001</t>
        </is>
      </c>
      <c r="B181" t="inlineStr">
        <is>
          <t>Chỉ tiêu thanh khoản</t>
        </is>
      </c>
    </row>
    <row r="182">
      <c r="A182" t="inlineStr">
        <is>
          <t>FR006</t>
        </is>
      </c>
      <c r="B182" t="inlineStr">
        <is>
          <t>1.Khả năng thanh toán hiện hành (lần)</t>
        </is>
      </c>
      <c r="C182" t="n">
        <v>1.403689674551843</v>
      </c>
      <c r="D182" t="n">
        <v>1.177090429031547</v>
      </c>
      <c r="E182" t="n">
        <v>1.448867161826714</v>
      </c>
      <c r="F182" t="n">
        <v>-99999</v>
      </c>
    </row>
    <row r="183">
      <c r="A183" t="inlineStr">
        <is>
          <t>FR007</t>
        </is>
      </c>
      <c r="B183" t="inlineStr">
        <is>
          <t>2. Khả năng thanh toán nhanh (lần)</t>
        </is>
      </c>
      <c r="C183" t="n">
        <v>1.113025902303757</v>
      </c>
      <c r="D183" t="n">
        <v>1.048630603439837</v>
      </c>
      <c r="E183" t="n">
        <v>1.434064958708827</v>
      </c>
      <c r="F183" t="n">
        <v>-99999</v>
      </c>
    </row>
    <row r="184">
      <c r="A184" t="inlineStr">
        <is>
          <t>FR008</t>
        </is>
      </c>
      <c r="B184" t="inlineStr">
        <is>
          <t>3. Khả năng thanh toán tức thời (lần)</t>
        </is>
      </c>
      <c r="C184" t="n">
        <v>0.4861885659656311</v>
      </c>
      <c r="D184" t="n">
        <v>0.1220505860765088</v>
      </c>
      <c r="E184" t="n">
        <v>0.03506089094467558</v>
      </c>
      <c r="F184" t="n">
        <v>-99999</v>
      </c>
    </row>
    <row r="185">
      <c r="A185" t="inlineStr">
        <is>
          <t>FR002</t>
        </is>
      </c>
      <c r="B185" t="inlineStr">
        <is>
          <t>Chỉ tiêu hoạt động</t>
        </is>
      </c>
    </row>
    <row r="186">
      <c r="A186" t="inlineStr">
        <is>
          <t>FR009</t>
        </is>
      </c>
      <c r="B186" t="inlineStr">
        <is>
          <t>4. Vòng quay vốn lưu động (vòng)</t>
        </is>
      </c>
      <c r="C186" t="n">
        <v>3.650189184403751</v>
      </c>
      <c r="D186" t="n">
        <v>4.107211558238104</v>
      </c>
      <c r="E186" t="n">
        <v>2.16682073817112</v>
      </c>
      <c r="F186" t="n">
        <v>-99999</v>
      </c>
    </row>
    <row r="187">
      <c r="A187" t="inlineStr">
        <is>
          <t>FR010</t>
        </is>
      </c>
      <c r="B187" t="inlineStr">
        <is>
          <t>5. Vòng quay hàng tồn kho (vòng)</t>
        </is>
      </c>
      <c r="C187" t="n">
        <v>12.59241194374133</v>
      </c>
      <c r="D187" t="n">
        <v>33.01638185135545</v>
      </c>
      <c r="E187" t="n">
        <v>161.3282326963014</v>
      </c>
      <c r="F187" t="n">
        <v>-99999</v>
      </c>
    </row>
    <row r="188">
      <c r="A188" t="inlineStr">
        <is>
          <t>FR011</t>
        </is>
      </c>
      <c r="B188" t="inlineStr">
        <is>
          <t>6. Vòng quay các khoản phải thu (vòng)</t>
        </is>
      </c>
      <c r="C188" t="n">
        <v>15.82116921935204</v>
      </c>
      <c r="D188" t="n">
        <v>34.96776157195677</v>
      </c>
      <c r="E188" t="n">
        <v>5.195025435035369</v>
      </c>
      <c r="F188" t="n">
        <v>-99999</v>
      </c>
    </row>
    <row r="189">
      <c r="A189" t="inlineStr">
        <is>
          <t>FR012</t>
        </is>
      </c>
      <c r="B189" t="inlineStr">
        <is>
          <t>7. Vòng quay khoản phải trả (Payables Turnover)</t>
        </is>
      </c>
      <c r="C189" t="n">
        <v>-99999</v>
      </c>
      <c r="D189" t="n">
        <v>8.642001424332364</v>
      </c>
      <c r="E189" t="n">
        <v>12.48310760213644</v>
      </c>
      <c r="F189" t="n">
        <v>-99999</v>
      </c>
    </row>
    <row r="190">
      <c r="A190" t="inlineStr">
        <is>
          <t>FR013</t>
        </is>
      </c>
      <c r="B190" t="inlineStr">
        <is>
          <t>8. Hiệu suất sử dụng TSCĐ (lần)</t>
        </is>
      </c>
      <c r="C190" t="n">
        <v>26.62849729466885</v>
      </c>
      <c r="D190" t="n">
        <v>45.89398174537423</v>
      </c>
      <c r="E190" t="n">
        <v>84.97912769004425</v>
      </c>
      <c r="F190" t="n">
        <v>-99999</v>
      </c>
    </row>
    <row r="191">
      <c r="A191" t="inlineStr">
        <is>
          <t>FR014</t>
        </is>
      </c>
      <c r="B191" t="inlineStr">
        <is>
          <t>9. Vòng quay kinh doanh</t>
        </is>
      </c>
      <c r="C191" t="n">
        <v>7.011670901255433</v>
      </c>
      <c r="D191" t="n">
        <v>16.98203302140877</v>
      </c>
      <c r="E191" t="n">
        <v>5.032956246781926</v>
      </c>
      <c r="F191" t="n">
        <v>-99999</v>
      </c>
    </row>
    <row r="192">
      <c r="A192" t="inlineStr">
        <is>
          <t>FR015</t>
        </is>
      </c>
      <c r="B192" t="inlineStr">
        <is>
          <t>10. Tiền và tương đương tiền/Tổng tài sản</t>
        </is>
      </c>
      <c r="C192" t="n">
        <v>0.2960985157577203</v>
      </c>
      <c r="D192" t="n">
        <v>0.05544431593051547</v>
      </c>
      <c r="E192" t="n">
        <v>0.01306732619628549</v>
      </c>
      <c r="F192" t="n">
        <v>-99999</v>
      </c>
    </row>
    <row r="193">
      <c r="A193" t="inlineStr">
        <is>
          <t>FR016</t>
        </is>
      </c>
      <c r="B193" t="inlineStr">
        <is>
          <t>11. Phải thu khác/Tài sản ngắn hạn</t>
        </is>
      </c>
      <c r="C193" t="n">
        <v>0.003655896254069273</v>
      </c>
      <c r="D193" t="n">
        <v>0.3082173453140186</v>
      </c>
      <c r="E193" t="n">
        <v>0.2242905374358282</v>
      </c>
      <c r="F193" t="n">
        <v>-99999</v>
      </c>
    </row>
    <row r="194">
      <c r="A194" t="inlineStr">
        <is>
          <t>FR036</t>
        </is>
      </c>
      <c r="B194" t="inlineStr">
        <is>
          <t>12. Số ngày thiếu tiền</t>
        </is>
      </c>
      <c r="C194" t="n">
        <v>-99999</v>
      </c>
      <c r="D194" t="n">
        <v>-20.74228254948733</v>
      </c>
      <c r="E194" t="n">
        <v>43.2824754431326</v>
      </c>
      <c r="F194" t="n">
        <v>-99999</v>
      </c>
    </row>
    <row r="195">
      <c r="A195" t="inlineStr">
        <is>
          <t>FR037</t>
        </is>
      </c>
      <c r="B195" t="inlineStr">
        <is>
          <t>13. Nhu cầu vốn 1 chu kỳ</t>
        </is>
      </c>
      <c r="C195" t="n">
        <v>-99999</v>
      </c>
      <c r="D195" t="n">
        <v>-11391.4105221605</v>
      </c>
      <c r="E195" t="n">
        <v>28150.5994961001</v>
      </c>
      <c r="F195" t="n">
        <v>-99999</v>
      </c>
    </row>
    <row r="196">
      <c r="A196" t="inlineStr">
        <is>
          <t>FR038</t>
        </is>
      </c>
      <c r="B196" t="inlineStr">
        <is>
          <t>14. Nhu cầu vốn 1 chu kì/Tiền và tương đương tiền</t>
        </is>
      </c>
      <c r="C196" t="n">
        <v>-99999</v>
      </c>
      <c r="D196" t="n">
        <v>-3.358874148437261</v>
      </c>
      <c r="E196" t="n">
        <v>14.57510861476181</v>
      </c>
      <c r="F196" t="n">
        <v>-99999</v>
      </c>
    </row>
    <row r="197">
      <c r="A197" t="inlineStr">
        <is>
          <t>FR039</t>
        </is>
      </c>
      <c r="B197" t="inlineStr">
        <is>
          <t>15. Nhu cầu vốn 1 chu kì / Nợ vay ngắn hạn</t>
        </is>
      </c>
      <c r="C197" t="n">
        <v>-99999</v>
      </c>
      <c r="D197" t="e">
        <v>#DIV/0!</v>
      </c>
      <c r="E197" t="n">
        <v>1.037301538012817</v>
      </c>
      <c r="F197" t="n">
        <v>-99999</v>
      </c>
    </row>
    <row r="198">
      <c r="A198" t="inlineStr">
        <is>
          <t>FR040</t>
        </is>
      </c>
      <c r="B198" t="inlineStr">
        <is>
          <t>16. (Phải thu ngắn hạn - Phải thu khách hàng ngắn hạn)/Tài sản ngắn hạn</t>
        </is>
      </c>
      <c r="C198" t="n">
        <v>0.05464041746557773</v>
      </c>
      <c r="D198" t="n">
        <v>0.6491544551058375</v>
      </c>
      <c r="E198" t="n">
        <v>0.4574552589618158</v>
      </c>
      <c r="F198" t="n">
        <v>-99999</v>
      </c>
    </row>
    <row r="199">
      <c r="A199" t="inlineStr">
        <is>
          <t>FR041</t>
        </is>
      </c>
      <c r="B199" t="inlineStr">
        <is>
          <t>17. (Phải thu ngắn hạn khác + Phải thu dài hạn khác)/Tổng tài sản</t>
        </is>
      </c>
      <c r="C199" t="n">
        <v>0.003125334151456025</v>
      </c>
      <c r="D199" t="n">
        <v>0.2803219961983972</v>
      </c>
      <c r="E199" t="n">
        <v>0.2185657415536828</v>
      </c>
      <c r="F199" t="n">
        <v>-99999</v>
      </c>
    </row>
    <row r="200">
      <c r="A200" t="inlineStr">
        <is>
          <t>FR003</t>
        </is>
      </c>
      <c r="B200" t="inlineStr">
        <is>
          <t>Chỉ tiêu cân nợ</t>
        </is>
      </c>
    </row>
    <row r="201">
      <c r="A201" t="inlineStr">
        <is>
          <t>FR034</t>
        </is>
      </c>
      <c r="B201" t="inlineStr">
        <is>
          <t>18. Tổng nợ phải trả/ Tổng tài sản (lần)</t>
        </is>
      </c>
      <c r="C201" t="n">
        <v>0.6090199080877843</v>
      </c>
      <c r="D201" t="n">
        <v>0.7726632796686731</v>
      </c>
      <c r="E201" t="n">
        <v>0.6725778642294734</v>
      </c>
      <c r="F201" t="n">
        <v>-99999</v>
      </c>
    </row>
    <row r="202">
      <c r="A202" t="inlineStr">
        <is>
          <t>FR017</t>
        </is>
      </c>
      <c r="B202" t="inlineStr">
        <is>
          <t>19. Nợ dài dạn/Vốn CSH (lần)</t>
        </is>
      </c>
      <c r="C202" t="n">
        <v>0</v>
      </c>
      <c r="D202" t="n">
        <v>0</v>
      </c>
      <c r="E202" t="n">
        <v>0</v>
      </c>
      <c r="F202" t="n">
        <v>-99999</v>
      </c>
    </row>
    <row r="203">
      <c r="A203" t="inlineStr">
        <is>
          <t>FR018</t>
        </is>
      </c>
      <c r="B203" t="inlineStr">
        <is>
          <t>20. Tổng nợ/Vốn CSH (lần)</t>
        </is>
      </c>
      <c r="C203" t="n">
        <v>1.557674983166467</v>
      </c>
      <c r="D203" t="n">
        <v>3.3987614431253</v>
      </c>
      <c r="E203" t="n">
        <v>2.054161251641363</v>
      </c>
      <c r="F203" t="n">
        <v>-99999</v>
      </c>
    </row>
    <row r="204">
      <c r="A204" t="inlineStr">
        <is>
          <t>FR019</t>
        </is>
      </c>
      <c r="B204" t="inlineStr">
        <is>
          <t>21. Khả năng thực hiện nghĩa vụ trả nợ ngắn hạn</t>
        </is>
      </c>
      <c r="C204" t="n">
        <v>3.374736665342477</v>
      </c>
      <c r="D204" t="n">
        <v>0.6896741302940071</v>
      </c>
      <c r="E204" t="n">
        <v>1.375311895751069</v>
      </c>
      <c r="F204" t="n">
        <v>-99999</v>
      </c>
    </row>
    <row r="205">
      <c r="A205" t="inlineStr">
        <is>
          <t>FR020</t>
        </is>
      </c>
      <c r="B205" t="inlineStr">
        <is>
          <t>Chỉ tiêu thu nhập</t>
        </is>
      </c>
    </row>
    <row r="206">
      <c r="A206" t="inlineStr">
        <is>
          <t>FR004</t>
        </is>
      </c>
      <c r="B206" t="inlineStr">
        <is>
          <t>22. Lợi nhuận từ hoạt động kinh doanh</t>
        </is>
      </c>
      <c r="C206" t="n">
        <v>5208.592362</v>
      </c>
      <c r="D206" t="n">
        <v>6202.612818</v>
      </c>
      <c r="E206" t="n">
        <v>37295.690842</v>
      </c>
      <c r="F206" t="n">
        <v>0</v>
      </c>
    </row>
    <row r="207">
      <c r="A207" t="inlineStr">
        <is>
          <t>FR021</t>
        </is>
      </c>
      <c r="B207" t="inlineStr">
        <is>
          <t>23. Lợi nhuận gộp/Doanh thu thuần (lần)</t>
        </is>
      </c>
      <c r="C207" t="n">
        <v>0.2856462170561724</v>
      </c>
      <c r="D207" t="n">
        <v>0.1227166138550076</v>
      </c>
      <c r="E207" t="n">
        <v>0.2393494514794001</v>
      </c>
      <c r="F207" t="n">
        <v>0</v>
      </c>
    </row>
    <row r="208">
      <c r="A208" t="inlineStr">
        <is>
          <t>FR022</t>
        </is>
      </c>
      <c r="B208" t="inlineStr">
        <is>
          <t>24. Lợi nhuận từ hoạt động KD/Doanh thu thuần (lần)</t>
        </is>
      </c>
      <c r="C208" t="n">
        <v>0.08367770654303421</v>
      </c>
      <c r="D208" t="n">
        <v>0.02714568188552724</v>
      </c>
      <c r="E208" t="n">
        <v>0.119502067139682</v>
      </c>
      <c r="F208" t="n">
        <v>-99999</v>
      </c>
    </row>
    <row r="209">
      <c r="A209" t="inlineStr">
        <is>
          <t>FR023</t>
        </is>
      </c>
      <c r="B209" t="inlineStr">
        <is>
          <t>25. Lợi nhuận sau thuế/Vốn CSH (lần)</t>
        </is>
      </c>
      <c r="C209" t="n">
        <v>0.5079606007632572</v>
      </c>
      <c r="D209" t="n">
        <v>0.4391445493936136</v>
      </c>
      <c r="E209" t="n">
        <v>0.6337074358940356</v>
      </c>
      <c r="F209" t="n">
        <v>-99999</v>
      </c>
    </row>
    <row r="210">
      <c r="A210" t="inlineStr">
        <is>
          <t>FR024</t>
        </is>
      </c>
      <c r="B210" t="inlineStr">
        <is>
          <t>26. Lợi nhuận sau thuế/Tổng tài sản bình quân (lần)</t>
        </is>
      </c>
      <c r="C210" t="n">
        <v>0.1986024823742026</v>
      </c>
      <c r="D210" t="n">
        <v>0.0998336816105225</v>
      </c>
      <c r="E210" t="n">
        <v>0.2074898421140892</v>
      </c>
      <c r="F210" t="n">
        <v>-99999</v>
      </c>
    </row>
    <row r="211">
      <c r="A211" t="inlineStr">
        <is>
          <t>FR025</t>
        </is>
      </c>
      <c r="B211" t="inlineStr">
        <is>
          <t>27. Lợi nhuận gộp/Tổng tài sản</t>
        </is>
      </c>
      <c r="C211" t="n">
        <v>0.8913462578003484</v>
      </c>
      <c r="D211" t="n">
        <v>0.4584062584932148</v>
      </c>
      <c r="E211" t="n">
        <v>0.505389900800589</v>
      </c>
      <c r="F211" t="n">
        <v>-99999</v>
      </c>
    </row>
    <row r="212">
      <c r="A212" t="inlineStr">
        <is>
          <t>FR026</t>
        </is>
      </c>
      <c r="B212" t="inlineStr">
        <is>
          <t>28. EBIT/Chi phí lãi vay (lần)</t>
        </is>
      </c>
      <c r="C212" t="n">
        <v>15.8257742708371</v>
      </c>
      <c r="D212" t="n">
        <v>70.83769202157193</v>
      </c>
      <c r="E212" t="n">
        <v>62.96942222480067</v>
      </c>
      <c r="F212" t="n">
        <v>-99999</v>
      </c>
    </row>
    <row r="213">
      <c r="A213" t="inlineStr">
        <is>
          <t>FR027</t>
        </is>
      </c>
      <c r="B213" t="inlineStr">
        <is>
          <t>29. Doanh thu thuần/Nợ vay ngắn hạn</t>
        </is>
      </c>
      <c r="C213" t="n">
        <v>15.70924462608826</v>
      </c>
      <c r="D213" t="n">
        <v>-99999</v>
      </c>
      <c r="E213" t="n">
        <v>11.50007339805953</v>
      </c>
      <c r="F213" t="n">
        <v>-99999</v>
      </c>
    </row>
    <row r="214">
      <c r="A214" t="inlineStr">
        <is>
          <t>FR028</t>
        </is>
      </c>
      <c r="B214" t="inlineStr">
        <is>
          <t>30. Doanh thu thuần/Nợ phải trả</t>
        </is>
      </c>
      <c r="C214" t="n">
        <v>5.12373286830836</v>
      </c>
      <c r="D214" t="n">
        <v>4.83455941520982</v>
      </c>
      <c r="E214" t="n">
        <v>3.139435413101256</v>
      </c>
      <c r="F214" t="n">
        <v>-99999</v>
      </c>
    </row>
    <row r="215">
      <c r="A215" t="inlineStr">
        <is>
          <t>FR029</t>
        </is>
      </c>
      <c r="B215" t="inlineStr">
        <is>
          <t>31. Doanh thu thuần/Tổng tài sản</t>
        </is>
      </c>
      <c r="C215" t="n">
        <v>3.120455320523517</v>
      </c>
      <c r="D215" t="n">
        <v>3.735486533509082</v>
      </c>
      <c r="E215" t="n">
        <v>2.111514765030017</v>
      </c>
      <c r="F215" t="n">
        <v>-99999</v>
      </c>
    </row>
    <row r="216">
      <c r="A216" t="inlineStr">
        <is>
          <t>FR042</t>
        </is>
      </c>
      <c r="B216" t="inlineStr">
        <is>
          <t>32. Tỷ số lợi nhuận gộp trên tổng nợ</t>
        </is>
      </c>
      <c r="C216" t="n">
        <v>1.463574911038654</v>
      </c>
      <c r="D216" t="n">
        <v>0.5932807609153946</v>
      </c>
      <c r="E216" t="n">
        <v>0.7514221440807894</v>
      </c>
      <c r="F216" t="n">
        <v>-99999</v>
      </c>
    </row>
    <row r="217">
      <c r="A217" t="inlineStr">
        <is>
          <t>FR043</t>
        </is>
      </c>
      <c r="B217" t="inlineStr">
        <is>
          <t>33. Lợi nhuận gộp/Chi phí lãi vay</t>
        </is>
      </c>
      <c r="C217" t="n">
        <v>51.07251521135326</v>
      </c>
      <c r="D217" t="n">
        <v>247.0542599820838</v>
      </c>
      <c r="E217" t="n">
        <v>120.4466693167384</v>
      </c>
      <c r="F217" t="n">
        <v>-99999</v>
      </c>
    </row>
    <row r="218">
      <c r="A218" t="inlineStr">
        <is>
          <t>FR044</t>
        </is>
      </c>
      <c r="B218" t="inlineStr">
        <is>
          <t>34. Tỷ số lợi nhuận sau thuế trên tổng nợ</t>
        </is>
      </c>
      <c r="C218" t="n">
        <v>0.3261017903302695</v>
      </c>
      <c r="D218" t="n">
        <v>0.1292072293811249</v>
      </c>
      <c r="E218" t="n">
        <v>0.3084993621545903</v>
      </c>
      <c r="F218" t="n">
        <v>-99999</v>
      </c>
    </row>
    <row r="219">
      <c r="A219" t="inlineStr">
        <is>
          <t>FR045</t>
        </is>
      </c>
      <c r="B219" t="inlineStr">
        <is>
          <t>35. EBIT/Tổng nguồn vốn</t>
        </is>
      </c>
      <c r="C219" t="n">
        <v>0.2762003127264801</v>
      </c>
      <c r="D219" t="n">
        <v>0.1314385000374344</v>
      </c>
      <c r="E219" t="n">
        <v>0.2642174352532289</v>
      </c>
      <c r="F219" t="n">
        <v>-99999</v>
      </c>
    </row>
    <row r="220">
      <c r="A220" t="inlineStr">
        <is>
          <t>FR046</t>
        </is>
      </c>
      <c r="B220" t="inlineStr">
        <is>
          <t>36. Tổng nợ vay/Vốn CSH</t>
        </is>
      </c>
      <c r="C220" t="n">
        <v>0.5080518318581347</v>
      </c>
      <c r="D220" t="n">
        <v>0</v>
      </c>
      <c r="E220" t="n">
        <v>0.5607709059240836</v>
      </c>
      <c r="F220" t="n">
        <v>-99999</v>
      </c>
    </row>
    <row r="221">
      <c r="A221" t="inlineStr">
        <is>
          <t>FR030</t>
        </is>
      </c>
      <c r="B221" t="inlineStr">
        <is>
          <t>36. Khả năng đảm bảo vốn kinh doanh</t>
        </is>
      </c>
      <c r="C221" t="inlineStr"/>
      <c r="D221" t="inlineStr"/>
      <c r="E221" t="inlineStr"/>
    </row>
    <row r="222">
      <c r="A222" t="inlineStr">
        <is>
          <t>FR005</t>
        </is>
      </c>
      <c r="B222" t="inlineStr">
        <is>
          <t>37. Nguồn vốn dài hạn</t>
        </is>
      </c>
      <c r="C222" t="n">
        <v>7799.15007</v>
      </c>
      <c r="D222" t="n">
        <v>13905.811313</v>
      </c>
      <c r="E222" t="n">
        <v>48394.627664</v>
      </c>
      <c r="F222" t="n">
        <v>0</v>
      </c>
    </row>
    <row r="223">
      <c r="A223" t="inlineStr">
        <is>
          <t>FR031</t>
        </is>
      </c>
      <c r="B223" t="inlineStr">
        <is>
          <t>- Vốn CSH</t>
        </is>
      </c>
      <c r="C223" t="n">
        <v>7799.15007</v>
      </c>
      <c r="D223" t="n">
        <v>13905.811313</v>
      </c>
      <c r="E223" t="n">
        <v>48394.627664</v>
      </c>
      <c r="F223" t="n">
        <v>0</v>
      </c>
    </row>
    <row r="224">
      <c r="A224" t="inlineStr">
        <is>
          <t>FR032</t>
        </is>
      </c>
      <c r="B224" t="inlineStr">
        <is>
          <t>- Vay dài hạn</t>
        </is>
      </c>
      <c r="C224" t="n">
        <v>0</v>
      </c>
      <c r="D224" t="n">
        <v>0</v>
      </c>
      <c r="E224" t="n">
        <v>0</v>
      </c>
      <c r="F224" t="n">
        <v>0</v>
      </c>
    </row>
    <row r="225">
      <c r="A225" t="inlineStr">
        <is>
          <t>FR033</t>
        </is>
      </c>
      <c r="B225" t="inlineStr">
        <is>
          <t>38. Tài sản cố định và đầu tư tài chính dài hạn</t>
        </is>
      </c>
      <c r="C225" t="n">
        <v>2894.909526</v>
      </c>
      <c r="D225" t="n">
        <v>5536.068655</v>
      </c>
      <c r="E225" t="n">
        <v>3772.577504</v>
      </c>
      <c r="F225" t="n">
        <v>0</v>
      </c>
    </row>
    <row r="226">
      <c r="A226" t="inlineStr">
        <is>
          <t>FR035</t>
        </is>
      </c>
      <c r="B226" t="inlineStr">
        <is>
          <t>39. Vốn Lưu động thường xuyên</t>
        </is>
      </c>
      <c r="C226" t="n">
        <v>4904.240544</v>
      </c>
      <c r="D226" t="n">
        <v>8369.742657999999</v>
      </c>
      <c r="E226" t="n">
        <v>44622.05016</v>
      </c>
      <c r="F226" t="n">
        <v>0</v>
      </c>
    </row>
    <row r="227">
      <c r="A227" t="inlineStr">
        <is>
          <t>CF001</t>
        </is>
      </c>
      <c r="B227" t="inlineStr">
        <is>
          <t>Doanh thu</t>
        </is>
      </c>
      <c r="D227" t="n">
        <v>228493.535147</v>
      </c>
      <c r="E227" t="n">
        <v>312092.432664</v>
      </c>
      <c r="F227" t="n">
        <v>0</v>
      </c>
    </row>
    <row r="228">
      <c r="A228" t="inlineStr">
        <is>
          <t>CF002</t>
        </is>
      </c>
      <c r="B228" t="inlineStr">
        <is>
          <t>Các khoản giảm trừ không tính thuế</t>
        </is>
      </c>
      <c r="D228" t="n">
        <v>0</v>
      </c>
      <c r="E228" t="n">
        <v>0</v>
      </c>
      <c r="F228" t="n">
        <v>0</v>
      </c>
    </row>
    <row r="229">
      <c r="A229" t="inlineStr">
        <is>
          <t>CF003</t>
        </is>
      </c>
      <c r="B229" t="inlineStr">
        <is>
          <t>Biến đổi Các khoản Phải thu từ người mua</t>
        </is>
      </c>
      <c r="D229" t="n">
        <v>-2600.064302</v>
      </c>
      <c r="E229" t="n">
        <v>-53540.840777</v>
      </c>
      <c r="F229" t="n">
        <v>60075.246323</v>
      </c>
    </row>
    <row r="230">
      <c r="A230" t="inlineStr">
        <is>
          <t>CF004</t>
        </is>
      </c>
      <c r="B230" t="inlineStr">
        <is>
          <t>Dòng tiền thu từ bán hàng</t>
        </is>
      </c>
      <c r="D230" t="n">
        <v>225893.470845</v>
      </c>
      <c r="E230" t="n">
        <v>258551.591887</v>
      </c>
      <c r="F230" t="n">
        <v>60075.246323</v>
      </c>
    </row>
    <row r="231">
      <c r="A231" t="inlineStr">
        <is>
          <t>CF005</t>
        </is>
      </c>
      <c r="B231" t="inlineStr">
        <is>
          <t>Giá vốn hàng bán không tính khấu hao</t>
        </is>
      </c>
      <c r="D231" t="n">
        <v>-200453.582226</v>
      </c>
      <c r="E231" t="n">
        <v>-237393.280095</v>
      </c>
      <c r="F231" t="n">
        <v>0</v>
      </c>
    </row>
    <row r="232">
      <c r="A232" t="inlineStr">
        <is>
          <t>CF006</t>
        </is>
      </c>
      <c r="B232" t="inlineStr">
        <is>
          <t>Biến đổi Hàng tồn kho</t>
        </is>
      </c>
      <c r="D232" t="n">
        <v>-2540.196304</v>
      </c>
      <c r="E232" t="n">
        <v>4599.844572</v>
      </c>
      <c r="F232" t="n">
        <v>1471.492473</v>
      </c>
    </row>
    <row r="233">
      <c r="A233" t="inlineStr">
        <is>
          <t>CF007</t>
        </is>
      </c>
      <c r="B233" t="inlineStr">
        <is>
          <t>Biến đổi Các khoản phải trả người bán</t>
        </is>
      </c>
      <c r="D233" t="n">
        <v>23195.272991</v>
      </c>
      <c r="E233" t="n">
        <v>-4178.110946000001</v>
      </c>
      <c r="F233" t="n">
        <v>-19017.162045</v>
      </c>
    </row>
    <row r="234">
      <c r="A234" t="inlineStr">
        <is>
          <t>CF008</t>
        </is>
      </c>
      <c r="B234" t="inlineStr">
        <is>
          <t>Chi phí sản xuất bằng Dòng tiền</t>
        </is>
      </c>
      <c r="D234" t="n">
        <v>-179798.505539</v>
      </c>
      <c r="E234" t="n">
        <v>-236971.546469</v>
      </c>
      <c r="F234" t="n">
        <v>-17545.669572</v>
      </c>
    </row>
    <row r="235">
      <c r="A235" t="inlineStr">
        <is>
          <t>CF009</t>
        </is>
      </c>
      <c r="B235" t="inlineStr">
        <is>
          <t>Dòng tiền Lợi nhuận gộp</t>
        </is>
      </c>
      <c r="D235" t="n">
        <v>46094.96530599997</v>
      </c>
      <c r="E235" t="n">
        <v>21580.04541800002</v>
      </c>
      <c r="F235" t="n">
        <v>42529.576751</v>
      </c>
    </row>
    <row r="236">
      <c r="A236" t="inlineStr">
        <is>
          <t>CF010</t>
        </is>
      </c>
      <c r="B236" t="inlineStr">
        <is>
          <t>Chi phí bán hàng và quản lý không tính KH</t>
        </is>
      </c>
      <c r="D236" t="n">
        <v>-21837.340103</v>
      </c>
      <c r="E236" t="n">
        <v>-37403.461727</v>
      </c>
      <c r="F236" t="n">
        <v>0</v>
      </c>
    </row>
    <row r="237">
      <c r="A237" t="inlineStr">
        <is>
          <t>CF011</t>
        </is>
      </c>
      <c r="B237" t="inlineStr">
        <is>
          <t>Biến đổi Các khoản trả trước và ký quỹ</t>
        </is>
      </c>
      <c r="D237" t="n">
        <v>-18097.680167</v>
      </c>
      <c r="E237" t="n">
        <v>-11294.889637</v>
      </c>
      <c r="F237" t="n">
        <v>30319.340904</v>
      </c>
    </row>
    <row r="238">
      <c r="A238" t="inlineStr">
        <is>
          <t>CF012</t>
        </is>
      </c>
      <c r="B238" t="inlineStr">
        <is>
          <t>Biến đổi Người mua trả tiền trước</t>
        </is>
      </c>
      <c r="D238" t="n">
        <v>4366.064576999999</v>
      </c>
      <c r="E238" t="n">
        <v>16537.309121</v>
      </c>
      <c r="F238" t="n">
        <v>-24583.668879</v>
      </c>
    </row>
    <row r="239">
      <c r="A239" t="inlineStr">
        <is>
          <t>CF013</t>
        </is>
      </c>
      <c r="B239" t="inlineStr">
        <is>
          <t>Dòng tiền Chi phí hoạt động</t>
        </is>
      </c>
      <c r="D239" t="n">
        <v>-35568.955693</v>
      </c>
      <c r="E239" t="n">
        <v>-32161.042243</v>
      </c>
      <c r="F239" t="n">
        <v>5735.672025</v>
      </c>
    </row>
    <row r="240">
      <c r="A240" t="inlineStr">
        <is>
          <t>CF014</t>
        </is>
      </c>
      <c r="B240" t="inlineStr">
        <is>
          <t>Dòng tiền thuần từ hoạt động</t>
        </is>
      </c>
      <c r="D240" t="n">
        <v>10526.00961299997</v>
      </c>
      <c r="E240" t="n">
        <v>-10580.99682499998</v>
      </c>
      <c r="F240" t="n">
        <v>48265.248776</v>
      </c>
    </row>
    <row r="241">
      <c r="A241" t="inlineStr">
        <is>
          <t>CF015</t>
        </is>
      </c>
      <c r="B241" t="inlineStr">
        <is>
          <t>Thu nhập từ hoạt động tài chính</t>
        </is>
      </c>
      <c r="D241" t="n">
        <v>3168.059964</v>
      </c>
      <c r="E241" t="n">
        <v>3926.783352</v>
      </c>
      <c r="F241" t="n">
        <v>0</v>
      </c>
    </row>
    <row r="242">
      <c r="A242" t="inlineStr">
        <is>
          <t>CF016</t>
        </is>
      </c>
      <c r="B242" t="inlineStr">
        <is>
          <t>Thu nhập từ hoạt động khác</t>
        </is>
      </c>
      <c r="D242" t="n">
        <v>-114.582356</v>
      </c>
      <c r="E242" t="n">
        <v>-546.546298</v>
      </c>
      <c r="F242" t="n">
        <v>0</v>
      </c>
    </row>
    <row r="243">
      <c r="A243" t="inlineStr">
        <is>
          <t>CF017</t>
        </is>
      </c>
      <c r="B243" t="inlineStr">
        <is>
          <t>Biến đổi Các khoản phải thu khác</t>
        </is>
      </c>
      <c r="D243" t="n">
        <v>-17084.489834</v>
      </c>
      <c r="E243" t="n">
        <v>-19073.054754</v>
      </c>
      <c r="F243" t="n">
        <v>36162.544588</v>
      </c>
    </row>
    <row r="244">
      <c r="A244" t="inlineStr">
        <is>
          <t>CF018</t>
        </is>
      </c>
      <c r="B244" t="inlineStr">
        <is>
          <t>Biến đổi Tài sản có ngắn hạn khác</t>
        </is>
      </c>
      <c r="D244" t="n">
        <v>0</v>
      </c>
      <c r="E244" t="n">
        <v>0</v>
      </c>
      <c r="F244" t="n">
        <v>0</v>
      </c>
    </row>
    <row r="245">
      <c r="A245" t="inlineStr">
        <is>
          <t>CF019</t>
        </is>
      </c>
      <c r="B245" t="inlineStr">
        <is>
          <t>Biến đổi Các khoản phải trả khác</t>
        </is>
      </c>
      <c r="D245" t="n">
        <v>515.3002420000001</v>
      </c>
      <c r="E245" t="n">
        <v>2440.421878</v>
      </c>
      <c r="F245" t="n">
        <v>-3624.743162</v>
      </c>
    </row>
    <row r="246">
      <c r="A246" t="inlineStr">
        <is>
          <t>CF020</t>
        </is>
      </c>
      <c r="B246" t="inlineStr">
        <is>
          <t>Biến đổi Tài sản nợ ngắn hạn khác</t>
        </is>
      </c>
      <c r="D246" t="n">
        <v>10423.572679</v>
      </c>
      <c r="E246" t="n">
        <v>4431.667947999997</v>
      </c>
      <c r="F246" t="n">
        <v>-17228.529364</v>
      </c>
    </row>
    <row r="247">
      <c r="A247" t="inlineStr">
        <is>
          <t>CF021</t>
        </is>
      </c>
      <c r="B247" t="inlineStr">
        <is>
          <t>Biến đổi Tài sản có  khác</t>
        </is>
      </c>
      <c r="D247" t="n">
        <v>0</v>
      </c>
      <c r="E247" t="n">
        <v>-42.6568</v>
      </c>
      <c r="F247" t="n">
        <v>100</v>
      </c>
    </row>
    <row r="248">
      <c r="A248" t="inlineStr">
        <is>
          <t>CF022</t>
        </is>
      </c>
      <c r="B248" t="inlineStr">
        <is>
          <t>Biến đổi Tài sản nợ khác</t>
        </is>
      </c>
      <c r="D248" t="n">
        <v>0</v>
      </c>
      <c r="E248" t="n">
        <v>0</v>
      </c>
      <c r="F248" t="n">
        <v>0</v>
      </c>
    </row>
    <row r="249">
      <c r="A249" t="inlineStr">
        <is>
          <t>CF023</t>
        </is>
      </c>
      <c r="B249" t="inlineStr">
        <is>
          <t>Biến đổi từ các hoạt động bất thường</t>
        </is>
      </c>
      <c r="D249" t="n">
        <v>-3092.139304999999</v>
      </c>
      <c r="E249" t="n">
        <v>-8863.384673999999</v>
      </c>
      <c r="F249" t="n">
        <v>15409.272062</v>
      </c>
    </row>
    <row r="250">
      <c r="A250" t="inlineStr">
        <is>
          <t>CF024</t>
        </is>
      </c>
      <c r="B250" t="inlineStr">
        <is>
          <t>Thuế phải trả năm nay</t>
        </is>
      </c>
      <c r="D250" t="n">
        <v>-1819.717345</v>
      </c>
      <c r="E250" t="n">
        <v>-7764.437251</v>
      </c>
      <c r="F250" t="n">
        <v>0</v>
      </c>
    </row>
    <row r="251">
      <c r="A251" t="inlineStr">
        <is>
          <t>CF025</t>
        </is>
      </c>
      <c r="B251" t="inlineStr">
        <is>
          <t>Biến đổi thuế hoàn lại phải thu</t>
        </is>
      </c>
      <c r="D251" t="n">
        <v>1604.872552</v>
      </c>
      <c r="E251" t="n">
        <v>-11374.204547</v>
      </c>
      <c r="F251" t="n">
        <v>12518.378703</v>
      </c>
    </row>
    <row r="252">
      <c r="A252" t="inlineStr">
        <is>
          <t>CF026</t>
        </is>
      </c>
      <c r="B252" t="inlineStr">
        <is>
          <t>Biến đổi thuế hoàn lại Ngân sách nợ</t>
        </is>
      </c>
      <c r="D252" t="n">
        <v>0</v>
      </c>
      <c r="E252" t="n">
        <v>0</v>
      </c>
      <c r="F252" t="n">
        <v>0</v>
      </c>
    </row>
    <row r="253">
      <c r="A253" t="inlineStr">
        <is>
          <t>CF027</t>
        </is>
      </c>
      <c r="B253" t="inlineStr">
        <is>
          <t>Biến đổi thuế còn phải nộp ngân sách</t>
        </is>
      </c>
      <c r="D253" t="n">
        <v>576.1563630000001</v>
      </c>
      <c r="E253" t="n">
        <v>5778.246411</v>
      </c>
      <c r="F253" t="n">
        <v>-7817.966288</v>
      </c>
    </row>
    <row r="254">
      <c r="A254" t="inlineStr">
        <is>
          <t>CF028</t>
        </is>
      </c>
      <c r="B254" t="inlineStr">
        <is>
          <t>Biến đổi thuế nợ ngân sách phải trả</t>
        </is>
      </c>
      <c r="D254" t="n">
        <v>0</v>
      </c>
      <c r="E254" t="n">
        <v>0</v>
      </c>
      <c r="F254" t="n">
        <v>0</v>
      </c>
    </row>
    <row r="255">
      <c r="A255" t="inlineStr">
        <is>
          <t>CF029</t>
        </is>
      </c>
      <c r="B255" t="inlineStr">
        <is>
          <t>Dòng tiền thuế đã nộp trong kỳ</t>
        </is>
      </c>
      <c r="D255" t="n">
        <v>361.3115699999998</v>
      </c>
      <c r="E255" t="n">
        <v>-13360.395387</v>
      </c>
      <c r="F255" t="n">
        <v>4700.412415000001</v>
      </c>
    </row>
    <row r="256">
      <c r="A256" t="inlineStr">
        <is>
          <t>CF030</t>
        </is>
      </c>
      <c r="B256" t="inlineStr">
        <is>
          <t>Dòng tiền thuần sau HĐKD</t>
        </is>
      </c>
      <c r="D256" t="n">
        <v>7795.181877999967</v>
      </c>
      <c r="E256" t="n">
        <v>-32804.77688599998</v>
      </c>
      <c r="F256" t="n">
        <v>68374.933253</v>
      </c>
    </row>
    <row r="257">
      <c r="A257" t="inlineStr">
        <is>
          <t>CF031</t>
        </is>
      </c>
      <c r="B257" t="inlineStr">
        <is>
          <t>Dòng tiền chi phí trả lãi vay</t>
        </is>
      </c>
      <c r="D257" t="n">
        <v>-113.497144</v>
      </c>
      <c r="E257" t="n">
        <v>-620.1844599999999</v>
      </c>
      <c r="F257" t="n">
        <v>0</v>
      </c>
    </row>
    <row r="258">
      <c r="A258" t="inlineStr">
        <is>
          <t>CF032</t>
        </is>
      </c>
      <c r="B258" t="inlineStr">
        <is>
          <t>Chi phí tài chính khác</t>
        </is>
      </c>
      <c r="D258" t="n">
        <v>-1216.214694</v>
      </c>
      <c r="E258" t="n">
        <v>-1623.270777</v>
      </c>
      <c r="F258" t="n">
        <v>0</v>
      </c>
    </row>
    <row r="259">
      <c r="A259" t="inlineStr">
        <is>
          <t>CF033</t>
        </is>
      </c>
      <c r="B259" t="inlineStr">
        <is>
          <t xml:space="preserve"> Lợi tức phải trả/ nộp cấp trên hoặc trích quỹ</t>
        </is>
      </c>
      <c r="D259" t="n">
        <v>9.094947017729282e-13</v>
      </c>
      <c r="E259" t="n">
        <v>-679.2190569999984</v>
      </c>
      <c r="F259" t="n">
        <v>-43394.627664</v>
      </c>
    </row>
    <row r="260">
      <c r="A260" t="inlineStr">
        <is>
          <t>CF034</t>
        </is>
      </c>
      <c r="B260" t="inlineStr">
        <is>
          <t>Dòng tiền chi phí trong hoạt động tài chính</t>
        </is>
      </c>
      <c r="D260" t="n">
        <v>-1329.711837999999</v>
      </c>
      <c r="E260" t="n">
        <v>-2922.674293999999</v>
      </c>
      <c r="F260" t="n">
        <v>-43394.627664</v>
      </c>
    </row>
    <row r="261">
      <c r="A261" t="inlineStr">
        <is>
          <t>CF035</t>
        </is>
      </c>
      <c r="B261" t="inlineStr">
        <is>
          <t>Dòng tiền lợi nhuận ròng</t>
        </is>
      </c>
      <c r="D261" t="n">
        <v>6465.470039999967</v>
      </c>
      <c r="E261" t="n">
        <v>-35727.45117999997</v>
      </c>
      <c r="F261" t="n">
        <v>24980.305589</v>
      </c>
    </row>
    <row r="262">
      <c r="A262" t="inlineStr">
        <is>
          <t>CF036</t>
        </is>
      </c>
      <c r="B262" t="inlineStr">
        <is>
          <t>Vay dài hạn đến hạn phải trả</t>
        </is>
      </c>
      <c r="D262" t="n">
        <v>0</v>
      </c>
      <c r="E262" t="n">
        <v>0</v>
      </c>
      <c r="F262" t="n">
        <v>0</v>
      </c>
    </row>
    <row r="263">
      <c r="A263" t="inlineStr">
        <is>
          <t>CF037</t>
        </is>
      </c>
      <c r="B263" t="inlineStr">
        <is>
          <t>Thuê mua tài chính đến hạn phải trả</t>
        </is>
      </c>
      <c r="D263" t="n">
        <v>0</v>
      </c>
      <c r="E263" t="n">
        <v>0</v>
      </c>
      <c r="F263" t="n">
        <v>0</v>
      </c>
    </row>
    <row r="264">
      <c r="A264" t="inlineStr">
        <is>
          <t>CF038</t>
        </is>
      </c>
      <c r="B264" t="inlineStr">
        <is>
          <t>Nợ dài hạn đến hạn phải trả khác</t>
        </is>
      </c>
      <c r="D264" t="n">
        <v>0</v>
      </c>
      <c r="E264" t="n">
        <v>0</v>
      </c>
      <c r="F264" t="n">
        <v>0</v>
      </c>
    </row>
    <row r="265">
      <c r="A265" t="inlineStr">
        <is>
          <t>CF039</t>
        </is>
      </c>
      <c r="B265" t="inlineStr">
        <is>
          <t>Dòng tiền trả gốc vay theo kế hoạch</t>
        </is>
      </c>
      <c r="D265" t="n">
        <v>0</v>
      </c>
      <c r="E265" t="n">
        <v>0</v>
      </c>
      <c r="F265" t="n">
        <v>0</v>
      </c>
    </row>
    <row r="266">
      <c r="A266" t="inlineStr">
        <is>
          <t>CF040</t>
        </is>
      </c>
      <c r="B266" t="inlineStr">
        <is>
          <t>Dòng tiền thuần sau trả gốc</t>
        </is>
      </c>
      <c r="D266" t="n">
        <v>6465.470039999967</v>
      </c>
      <c r="E266" t="n">
        <v>-35727.45117999997</v>
      </c>
      <c r="F266" t="n">
        <v>24980.305589</v>
      </c>
    </row>
    <row r="267">
      <c r="A267" t="inlineStr">
        <is>
          <t>CF041</t>
        </is>
      </c>
      <c r="B267" t="inlineStr">
        <is>
          <t>Biến đổi TSCĐ hữu hình  thuần</t>
        </is>
      </c>
      <c r="D267" t="n">
        <v>-184.9091289999997</v>
      </c>
      <c r="E267" t="n">
        <v>-1150.102049</v>
      </c>
      <c r="F267" t="n">
        <v>3672.577504</v>
      </c>
    </row>
    <row r="268">
      <c r="A268" t="inlineStr">
        <is>
          <t>CF042</t>
        </is>
      </c>
      <c r="B268" t="inlineStr">
        <is>
          <t>Biến đổi TS thuê tài chính thuần</t>
        </is>
      </c>
      <c r="D268" t="n">
        <v>0</v>
      </c>
      <c r="E268" t="n">
        <v>0</v>
      </c>
      <c r="F268" t="n">
        <v>0</v>
      </c>
    </row>
    <row r="269">
      <c r="A269" t="inlineStr">
        <is>
          <t>CF043</t>
        </is>
      </c>
      <c r="B269" t="inlineStr">
        <is>
          <t>Biến đổi TSCĐ vô hình thuần</t>
        </is>
      </c>
      <c r="D269" t="n">
        <v>0</v>
      </c>
      <c r="E269" t="n">
        <v>0</v>
      </c>
      <c r="F269" t="n">
        <v>0</v>
      </c>
    </row>
    <row r="270">
      <c r="A270" t="inlineStr">
        <is>
          <t>CF044</t>
        </is>
      </c>
      <c r="B270" t="inlineStr">
        <is>
          <t>Tổng khấu hao</t>
        </is>
      </c>
      <c r="D270" t="n">
        <v>0</v>
      </c>
      <c r="E270" t="n">
        <v>0</v>
      </c>
      <c r="F270" t="n">
        <v>0</v>
      </c>
    </row>
    <row r="271">
      <c r="A271" t="inlineStr">
        <is>
          <t>CF045</t>
        </is>
      </c>
      <c r="B271" t="inlineStr">
        <is>
          <t>Biến đổi Xây dựng cơ bản dở dang</t>
        </is>
      </c>
      <c r="D271" t="n">
        <v>-2456.25</v>
      </c>
      <c r="E271" t="n">
        <v>2456.25</v>
      </c>
      <c r="F271" t="n">
        <v>0</v>
      </c>
    </row>
    <row r="272">
      <c r="A272" t="inlineStr">
        <is>
          <t>CF046</t>
        </is>
      </c>
      <c r="B272" t="inlineStr">
        <is>
          <t>Chi phí vốn thuần</t>
        </is>
      </c>
      <c r="D272" t="n">
        <v>-2641.159129</v>
      </c>
      <c r="E272" t="n">
        <v>1306.147951</v>
      </c>
      <c r="F272" t="n">
        <v>3672.577504</v>
      </c>
    </row>
    <row r="273">
      <c r="A273" t="inlineStr">
        <is>
          <t>CF047</t>
        </is>
      </c>
      <c r="B273" t="inlineStr">
        <is>
          <t>Biến đổi Hoạt động đầu tư</t>
        </is>
      </c>
      <c r="D273" t="n">
        <v>0</v>
      </c>
      <c r="E273" t="n">
        <v>500</v>
      </c>
      <c r="F273" t="n">
        <v>0</v>
      </c>
    </row>
    <row r="274">
      <c r="A274" t="inlineStr">
        <is>
          <t>CF048</t>
        </is>
      </c>
      <c r="B274" t="inlineStr">
        <is>
          <t>Tổng Dòng tiền chi phí tài sản vốn và đầu tư</t>
        </is>
      </c>
      <c r="D274" t="n">
        <v>-2641.159129</v>
      </c>
      <c r="E274" t="n">
        <v>1806.147951</v>
      </c>
      <c r="F274" t="n">
        <v>3672.577504</v>
      </c>
    </row>
    <row r="275">
      <c r="A275" t="inlineStr">
        <is>
          <t>CF049</t>
        </is>
      </c>
      <c r="B275" t="inlineStr">
        <is>
          <t>Nhu cầu vốn tài trợ</t>
        </is>
      </c>
      <c r="D275" t="n">
        <v>3824.310910999968</v>
      </c>
      <c r="E275" t="n">
        <v>-33921.30322899998</v>
      </c>
      <c r="F275" t="n">
        <v>28652.883093</v>
      </c>
    </row>
    <row r="276">
      <c r="A276" t="inlineStr">
        <is>
          <t>CF050</t>
        </is>
      </c>
      <c r="B276" t="inlineStr">
        <is>
          <t>Biến đổi vay ngắn hạn</t>
        </is>
      </c>
      <c r="D276" t="n">
        <v>-3962.37248</v>
      </c>
      <c r="E276" t="n">
        <v>27138.299197</v>
      </c>
      <c r="F276" t="n">
        <v>-27138.299197</v>
      </c>
    </row>
    <row r="277">
      <c r="A277" t="inlineStr">
        <is>
          <t>CF051</t>
        </is>
      </c>
      <c r="B277" t="inlineStr">
        <is>
          <t>Biến đổi vay trung và dài hạn</t>
        </is>
      </c>
      <c r="D277" t="n">
        <v>0</v>
      </c>
      <c r="E277" t="n">
        <v>0</v>
      </c>
      <c r="F277" t="n">
        <v>0</v>
      </c>
    </row>
    <row r="278">
      <c r="A278" t="inlineStr">
        <is>
          <t>CF052</t>
        </is>
      </c>
      <c r="B278" t="inlineStr">
        <is>
          <t>Biến đổi Vốn góp và quỹ</t>
        </is>
      </c>
      <c r="D278" t="n">
        <v>0</v>
      </c>
      <c r="E278" t="n">
        <v>4500</v>
      </c>
      <c r="F278" t="n">
        <v>-5000</v>
      </c>
    </row>
    <row r="279">
      <c r="A279" t="inlineStr">
        <is>
          <t>CF053</t>
        </is>
      </c>
      <c r="B279" t="inlineStr">
        <is>
          <t>Tổng số Dòng tiền tài trợ</t>
        </is>
      </c>
      <c r="D279" t="n">
        <v>-3962.37248</v>
      </c>
      <c r="E279" t="n">
        <v>31638.299197</v>
      </c>
      <c r="F279" t="n">
        <v>-32138.299197</v>
      </c>
    </row>
    <row r="280">
      <c r="A280" t="inlineStr">
        <is>
          <t>CF054</t>
        </is>
      </c>
      <c r="B280" t="inlineStr">
        <is>
          <t>Biến đổi Dòng tiền theo tính toán</t>
        </is>
      </c>
      <c r="D280" t="n">
        <v>-138.0615690000323</v>
      </c>
      <c r="E280" t="n">
        <v>-2283.004031999975</v>
      </c>
      <c r="F280" t="n">
        <v>-3485.416104000004</v>
      </c>
    </row>
    <row r="281">
      <c r="A281" t="inlineStr">
        <is>
          <t>CF055</t>
        </is>
      </c>
      <c r="B281" t="inlineStr">
        <is>
          <t>Biến đổi Dòng tiền mặt</t>
        </is>
      </c>
      <c r="D281" t="n">
        <v>-2515.044569</v>
      </c>
      <c r="E281" t="n">
        <v>-1460.021032</v>
      </c>
      <c r="F281" t="n">
        <v>-1931.416104</v>
      </c>
    </row>
    <row r="282">
      <c r="A282" t="inlineStr">
        <is>
          <t>CF056</t>
        </is>
      </c>
      <c r="B282" t="inlineStr">
        <is>
          <t>Biến đổi Đầu tư chứng khoán ngắn hạn</t>
        </is>
      </c>
      <c r="D282" t="n">
        <v>2376.983</v>
      </c>
      <c r="E282" t="n">
        <v>-822.9830000000002</v>
      </c>
      <c r="F282" t="n">
        <v>-1554</v>
      </c>
    </row>
    <row r="283">
      <c r="A283" t="inlineStr">
        <is>
          <t>CF057</t>
        </is>
      </c>
      <c r="B283" t="inlineStr">
        <is>
          <t>Biến đổi Dòng tiền thực tế</t>
        </is>
      </c>
      <c r="D283" t="n">
        <v>-138.061569</v>
      </c>
      <c r="E283" t="n">
        <v>-2283.004032</v>
      </c>
      <c r="F283" t="n">
        <v>-3485.416104</v>
      </c>
    </row>
    <row r="284">
      <c r="A284" t="inlineStr">
        <is>
          <t>CF058</t>
        </is>
      </c>
      <c r="B284" t="inlineStr">
        <is>
          <t>Chênh lệch =Biến đổi theo tính toán - Biến đổi thực tế</t>
        </is>
      </c>
      <c r="D284" t="n">
        <v>-3.228706191293895e-11</v>
      </c>
      <c r="E284" t="n">
        <v>2.501110429875553e-11</v>
      </c>
      <c r="F284" t="n">
        <v>-3.637978807091713e-12</v>
      </c>
    </row>
    <row r="285">
      <c r="A285" t="inlineStr">
        <is>
          <t>CF059</t>
        </is>
      </c>
      <c r="B285" t="inlineStr">
        <is>
          <t>Chi phí khấu hao</t>
        </is>
      </c>
      <c r="D285" t="n">
        <v>0</v>
      </c>
      <c r="E285" t="n">
        <v>0</v>
      </c>
      <c r="F285" t="n">
        <v>0</v>
      </c>
    </row>
    <row r="286">
      <c r="A286" t="inlineStr">
        <is>
          <t>CF060</t>
        </is>
      </c>
      <c r="B286" t="inlineStr">
        <is>
          <t>Lợi nhuận gộp</t>
        </is>
      </c>
      <c r="D286" t="n">
        <v>28039.952921</v>
      </c>
      <c r="E286" t="n">
        <v>74699.152569</v>
      </c>
      <c r="F286" t="n">
        <v>0</v>
      </c>
    </row>
    <row r="287">
      <c r="A287" t="inlineStr">
        <is>
          <t>CF061</t>
        </is>
      </c>
      <c r="B287" t="inlineStr">
        <is>
          <t>Biến đổi Các khoản Phải thu từ người mua</t>
        </is>
      </c>
      <c r="D287" t="n">
        <v>-2600.064302</v>
      </c>
      <c r="E287" t="n">
        <v>-53540.840777</v>
      </c>
      <c r="F287" t="n">
        <v>60075.246323</v>
      </c>
    </row>
    <row r="288">
      <c r="A288" t="inlineStr">
        <is>
          <t>CF062</t>
        </is>
      </c>
      <c r="B288" t="inlineStr">
        <is>
          <t>Biến đổi Hàng tồn kho</t>
        </is>
      </c>
      <c r="D288" t="n">
        <v>-2540.196304</v>
      </c>
      <c r="E288" t="n">
        <v>4599.844572</v>
      </c>
      <c r="F288" t="n">
        <v>1471.492473</v>
      </c>
    </row>
    <row r="289">
      <c r="A289" t="inlineStr">
        <is>
          <t>CF063</t>
        </is>
      </c>
      <c r="B289" t="inlineStr">
        <is>
          <t>Biến đổi Các khoản phải trả người bán</t>
        </is>
      </c>
      <c r="D289" t="n">
        <v>23195.272991</v>
      </c>
      <c r="E289" t="n">
        <v>-4178.110946000001</v>
      </c>
      <c r="F289" t="n">
        <v>-19017.162045</v>
      </c>
    </row>
    <row r="290">
      <c r="A290" t="inlineStr">
        <is>
          <t>CF064</t>
        </is>
      </c>
      <c r="B290" t="inlineStr">
        <is>
          <t>Dòng tiền từ hoạt động bán hàng và cung cấp dịch vụ</t>
        </is>
      </c>
      <c r="D290" t="n">
        <v>46094.965306</v>
      </c>
      <c r="E290" t="n">
        <v>21580.045418</v>
      </c>
      <c r="F290" t="n">
        <v>42529.576751</v>
      </c>
    </row>
    <row r="291">
      <c r="A291" t="inlineStr">
        <is>
          <t>CF065</t>
        </is>
      </c>
      <c r="B291" t="inlineStr">
        <is>
          <t>Dòng tiền Chi phí hoạt động</t>
        </is>
      </c>
      <c r="D291" t="n">
        <v>-35568.955693</v>
      </c>
      <c r="E291" t="n">
        <v>-32161.042243</v>
      </c>
      <c r="F291" t="n">
        <v>5735.672025</v>
      </c>
    </row>
    <row r="292">
      <c r="A292" t="inlineStr">
        <is>
          <t>CF066</t>
        </is>
      </c>
      <c r="B292" t="inlineStr">
        <is>
          <t>Dòng tiền thuần từ hoạt động</t>
        </is>
      </c>
      <c r="D292" t="n">
        <v>10526.00961299999</v>
      </c>
      <c r="E292" t="n">
        <v>-10580.996825</v>
      </c>
      <c r="F292" t="n">
        <v>48265.248776</v>
      </c>
    </row>
    <row r="293">
      <c r="A293" t="inlineStr">
        <is>
          <t>CF067</t>
        </is>
      </c>
      <c r="B293" t="inlineStr">
        <is>
          <t>Biến đổi từ các hoạt động bất thường</t>
        </is>
      </c>
      <c r="D293" t="n">
        <v>-3092.139304999999</v>
      </c>
      <c r="E293" t="n">
        <v>-8863.384673999999</v>
      </c>
      <c r="F293" t="n">
        <v>15409.272062</v>
      </c>
    </row>
    <row r="294">
      <c r="A294" t="inlineStr">
        <is>
          <t>CF068</t>
        </is>
      </c>
      <c r="B294" t="inlineStr">
        <is>
          <t>Dòng tiền thuế đã nộp trong kỳ</t>
        </is>
      </c>
      <c r="D294" t="n">
        <v>361.3115699999998</v>
      </c>
      <c r="E294" t="n">
        <v>-13360.395387</v>
      </c>
      <c r="F294" t="n">
        <v>4700.412415000001</v>
      </c>
    </row>
    <row r="295">
      <c r="A295" t="inlineStr">
        <is>
          <t>CF069</t>
        </is>
      </c>
      <c r="B295" t="inlineStr">
        <is>
          <t>Dòng tiền chi phí trong hoạt động tài chính</t>
        </is>
      </c>
      <c r="D295" t="n">
        <v>-1329.711837999999</v>
      </c>
      <c r="E295" t="n">
        <v>-2922.674293999999</v>
      </c>
      <c r="F295" t="n">
        <v>-43394.627664</v>
      </c>
    </row>
    <row r="296">
      <c r="A296" t="inlineStr">
        <is>
          <t>CF070</t>
        </is>
      </c>
      <c r="B296" t="inlineStr">
        <is>
          <t>Dòng tiền lợi nhuận ròng</t>
        </is>
      </c>
      <c r="D296" t="n">
        <v>6465.470039999997</v>
      </c>
      <c r="E296" t="n">
        <v>-35727.45117999999</v>
      </c>
      <c r="F296" t="n">
        <v>24980.305589</v>
      </c>
    </row>
    <row r="297">
      <c r="A297" t="inlineStr">
        <is>
          <t>CF071</t>
        </is>
      </c>
      <c r="B297" t="inlineStr">
        <is>
          <t>Dòng tiền chi phí tài sản vốn và đầu tư</t>
        </is>
      </c>
      <c r="D297" t="n">
        <v>0</v>
      </c>
      <c r="E297" t="n">
        <v>0</v>
      </c>
      <c r="F297" t="n">
        <v>0</v>
      </c>
    </row>
    <row r="298">
      <c r="A298" t="inlineStr">
        <is>
          <t>CF072</t>
        </is>
      </c>
      <c r="B298" t="inlineStr">
        <is>
          <t>Dòng tiền tài trợ</t>
        </is>
      </c>
      <c r="D298" t="n">
        <v>-3962.37248</v>
      </c>
      <c r="E298" t="n">
        <v>31638.299197</v>
      </c>
      <c r="F298" t="n">
        <v>-32138.299197</v>
      </c>
    </row>
    <row r="299">
      <c r="A299" t="inlineStr">
        <is>
          <t>CF073</t>
        </is>
      </c>
      <c r="B299" t="inlineStr">
        <is>
          <t>Biến đổi Dòng tiền theo tính toán</t>
        </is>
      </c>
      <c r="D299" t="n">
        <v>2503.097559999997</v>
      </c>
      <c r="E299" t="n">
        <v>-4089.151982999989</v>
      </c>
      <c r="F299" t="n">
        <v>-7157.993608000004</v>
      </c>
    </row>
    <row r="300">
      <c r="A300" t="inlineStr">
        <is>
          <t>CF074</t>
        </is>
      </c>
      <c r="B300" t="inlineStr">
        <is>
          <t>Hệ số khả năng trả nợ gốc trung, dài hạn = (LN thuần sau thuế trong kỳ + khấu hao trong kỳ)/ Vốn vay đầu tư trung dài hạn (lần)</t>
        </is>
      </c>
      <c r="D300" t="e">
        <v>#DIV/0!</v>
      </c>
      <c r="E300" t="e">
        <v>#DIV/0!</v>
      </c>
      <c r="F300" t="e">
        <v>#DIV/0!</v>
      </c>
    </row>
    <row r="301">
      <c r="A301" t="inlineStr">
        <is>
          <t>CF075</t>
        </is>
      </c>
      <c r="B301" t="inlineStr">
        <is>
          <t>Hệ số khả năng trả lãi = EBIT / Chi phí trả lãi hàng năm (lần)</t>
        </is>
      </c>
      <c r="D301" t="n">
        <v>70.83769202157193</v>
      </c>
      <c r="E301" t="n">
        <v>62.96942222480067</v>
      </c>
      <c r="F301" t="e">
        <v>#DIV/0!</v>
      </c>
    </row>
    <row r="302">
      <c r="A302" t="inlineStr">
        <is>
          <t>CF076</t>
        </is>
      </c>
      <c r="B302" t="inlineStr">
        <is>
          <t>Hệ số dòng tiền = Tiền phát sinh từ HDKD / LN sau thuế và lãi (lần)</t>
        </is>
      </c>
      <c r="D302" t="n">
        <v>1.27650471637599</v>
      </c>
      <c r="E302" t="n">
        <v>-1.069673242826718</v>
      </c>
      <c r="F302" t="e">
        <v>#DIV/0!</v>
      </c>
    </row>
    <row r="303">
      <c r="A303" t="inlineStr">
        <is>
          <t>CF077</t>
        </is>
      </c>
      <c r="B303" t="inlineStr">
        <is>
          <t>Hệ số dòng tiền được dùng để tái đầu tư = (Biến đổi TSCD hữu hình + biến đổi từ TSLD thuần) / (LN sau thuần sau thuế + khấu hao) (lần)</t>
        </is>
      </c>
      <c r="D303" t="n">
        <v>0.5372154855913311</v>
      </c>
      <c r="E303" t="n">
        <v>1.144586048177162</v>
      </c>
      <c r="F303" t="e">
        <v>#DIV/0!</v>
      </c>
    </row>
    <row r="304">
      <c r="A304" t="inlineStr">
        <is>
          <t>CF078</t>
        </is>
      </c>
      <c r="B304" t="inlineStr">
        <is>
          <t>Luồng tiền từ hoạt động kinh doanh/ nợ ngắn hạn</t>
        </is>
      </c>
      <c r="D304" t="n">
        <v>0.2227136047695142</v>
      </c>
      <c r="E304" t="n">
        <v>-0.1064375571517939</v>
      </c>
      <c r="F304" t="e">
        <v>#DIV/0!</v>
      </c>
    </row>
    <row r="305">
      <c r="A305" t="inlineStr">
        <is>
          <t>ER001</t>
        </is>
      </c>
      <c r="B305" t="inlineStr">
        <is>
          <t>Nợ phải trả</t>
        </is>
      </c>
      <c r="E305" t="n">
        <v>99410.36893500001</v>
      </c>
      <c r="I305" t="n">
        <v>0</v>
      </c>
    </row>
    <row r="306">
      <c r="A306" t="inlineStr">
        <is>
          <t>ER002</t>
        </is>
      </c>
      <c r="B306" t="inlineStr">
        <is>
          <t>Nợ ngắn hạn</t>
        </is>
      </c>
      <c r="E306" t="n">
        <v>99410.36893500001</v>
      </c>
    </row>
    <row r="307">
      <c r="A307" t="inlineStr">
        <is>
          <t>ER003</t>
        </is>
      </c>
      <c r="B307" t="inlineStr">
        <is>
          <t>Nợ vay ngắn hạn (điều chỉnh)</t>
        </is>
      </c>
      <c r="E307" t="n">
        <v>27138.299197</v>
      </c>
    </row>
    <row r="308">
      <c r="A308" t="inlineStr">
        <is>
          <t>ER004</t>
        </is>
      </c>
      <c r="B308" t="inlineStr">
        <is>
          <t>Vốn CSH (điều chỉnh)</t>
        </is>
      </c>
      <c r="E308" t="n">
        <v>48394.627664</v>
      </c>
    </row>
    <row r="309">
      <c r="A309" t="inlineStr">
        <is>
          <t>ER005</t>
        </is>
      </c>
      <c r="B309" t="inlineStr">
        <is>
          <t>Lợi nhuận sản xuất kinh doanh</t>
        </is>
      </c>
      <c r="E309" t="n">
        <v>37295.690842</v>
      </c>
    </row>
    <row r="310">
      <c r="A310" t="inlineStr">
        <is>
          <t>ER006</t>
        </is>
      </c>
      <c r="B310" t="inlineStr">
        <is>
          <t>Lợi nhuận sau thuế</t>
        </is>
      </c>
      <c r="E310" t="n">
        <v>30668.035408</v>
      </c>
    </row>
    <row r="311">
      <c r="A311" t="inlineStr">
        <is>
          <t>ER007</t>
        </is>
      </c>
      <c r="B311" t="inlineStr">
        <is>
          <t xml:space="preserve">Khả năng thanh toán hiện hành </t>
        </is>
      </c>
      <c r="E311" t="n">
        <v>1.448867161826714</v>
      </c>
    </row>
    <row r="312">
      <c r="A312" t="inlineStr">
        <is>
          <t>ER008</t>
        </is>
      </c>
      <c r="B312" t="inlineStr">
        <is>
          <t>Khả năng thanh toán tức thời</t>
        </is>
      </c>
      <c r="E312" t="n">
        <v>0.03506089094467558</v>
      </c>
    </row>
    <row r="313">
      <c r="A313" t="inlineStr">
        <is>
          <t>ER009</t>
        </is>
      </c>
      <c r="B313" t="inlineStr">
        <is>
          <t>Khả năng thực hiện nghĩa vụ trả nợ ngắn hạn</t>
        </is>
      </c>
      <c r="E313" t="n">
        <v>1.375311895751069</v>
      </c>
    </row>
    <row r="314">
      <c r="A314" t="inlineStr">
        <is>
          <t>ER010</t>
        </is>
      </c>
      <c r="B314" t="inlineStr">
        <is>
          <t>Tổng nợ/Tổng tài sản</t>
        </is>
      </c>
      <c r="E314" t="n">
        <v>0.6725778642294734</v>
      </c>
    </row>
    <row r="315">
      <c r="A315" t="inlineStr">
        <is>
          <t>ER011</t>
        </is>
      </c>
      <c r="B315" t="inlineStr">
        <is>
          <t>Tổng nợ/Vốn chủ sở hữu</t>
        </is>
      </c>
      <c r="E315" t="n">
        <v>2.054161251641364</v>
      </c>
    </row>
    <row r="316">
      <c r="A316" t="inlineStr">
        <is>
          <t>ER012</t>
        </is>
      </c>
      <c r="B316" t="inlineStr">
        <is>
          <t>Lợi nhuận sau thuế/Tổng tài sản</t>
        </is>
      </c>
      <c r="E316" t="n">
        <v>0.2074898421140892</v>
      </c>
    </row>
    <row r="317">
      <c r="A317" t="inlineStr">
        <is>
          <t>ER013</t>
        </is>
      </c>
      <c r="B317" t="inlineStr">
        <is>
          <t>Doanh thu thuần/Nợ vay ngắn hạn</t>
        </is>
      </c>
      <c r="E317" t="n">
        <v>11.50007339805953</v>
      </c>
    </row>
    <row r="318">
      <c r="A318" t="inlineStr">
        <is>
          <t>ER014</t>
        </is>
      </c>
      <c r="B318" t="inlineStr">
        <is>
          <t>Doanh thu thuần/Tổng nợ</t>
        </is>
      </c>
      <c r="E318" t="n">
        <v>3.139435413101256</v>
      </c>
    </row>
    <row r="319">
      <c r="A319" t="inlineStr">
        <is>
          <t>ER015</t>
        </is>
      </c>
      <c r="B319" t="inlineStr">
        <is>
          <t>Phải thu ngắn hạn khách hàng</t>
        </is>
      </c>
      <c r="E319" t="n">
        <v>60075.246323</v>
      </c>
    </row>
    <row r="320">
      <c r="A320" t="inlineStr">
        <is>
          <t>ER016</t>
        </is>
      </c>
      <c r="B320" t="inlineStr">
        <is>
          <t>Tài sản ngắn hạn</t>
        </is>
      </c>
      <c r="E320" t="n">
        <v>144032.419095</v>
      </c>
    </row>
    <row r="321">
      <c r="A321" t="inlineStr">
        <is>
          <t>ER017</t>
        </is>
      </c>
      <c r="B321" t="inlineStr">
        <is>
          <t>Tổng tài sản</t>
        </is>
      </c>
      <c r="E321" t="n">
        <v>147804.996599</v>
      </c>
    </row>
    <row r="322">
      <c r="A322" t="inlineStr">
        <is>
          <t>ER018</t>
        </is>
      </c>
      <c r="B322" t="inlineStr">
        <is>
          <t>Tiền và tương đương tiền/Tổng tài sản</t>
        </is>
      </c>
      <c r="E322" t="n">
        <v>0.01306732619628549</v>
      </c>
    </row>
    <row r="323">
      <c r="A323" t="inlineStr">
        <is>
          <t>ER019</t>
        </is>
      </c>
      <c r="B323" t="inlineStr">
        <is>
          <t>Phải thu khác/Tài sản ngắn hạn</t>
        </is>
      </c>
      <c r="E323" t="n">
        <v>0.2242905374358282</v>
      </c>
    </row>
    <row r="324">
      <c r="A324" t="inlineStr">
        <is>
          <t>ER031</t>
        </is>
      </c>
      <c r="B324" t="inlineStr">
        <is>
          <t>Phải thu khác/Tổng tài sản</t>
        </is>
      </c>
      <c r="E324" t="n">
        <v>-99999</v>
      </c>
    </row>
    <row r="325">
      <c r="A325" t="inlineStr">
        <is>
          <t>ER020</t>
        </is>
      </c>
      <c r="B325" t="inlineStr">
        <is>
          <t>Doanh thu thuần/Tổng tài sản</t>
        </is>
      </c>
      <c r="E325" t="n">
        <v>2.111514765030017</v>
      </c>
    </row>
    <row r="326">
      <c r="A326" t="inlineStr">
        <is>
          <t>ER021</t>
        </is>
      </c>
      <c r="B326" t="inlineStr">
        <is>
          <t>Chi phí lãi vay</t>
        </is>
      </c>
      <c r="E326" t="n">
        <v>620.1844599999999</v>
      </c>
    </row>
    <row r="327">
      <c r="A327" t="inlineStr">
        <is>
          <t>ER022</t>
        </is>
      </c>
      <c r="B327" t="inlineStr">
        <is>
          <t>Nhu cầu vốn 1 chu kì / Nợ vay ngắn hạn</t>
        </is>
      </c>
      <c r="E327" t="n">
        <v>-3.684792450480993</v>
      </c>
    </row>
    <row r="328">
      <c r="A328" t="inlineStr">
        <is>
          <t>ER023</t>
        </is>
      </c>
      <c r="B328" t="inlineStr">
        <is>
          <t>(Phải thu ngắn hạn - Phải thu khách hàng ngắn hạn)/Tài sản ngắn hạn</t>
        </is>
      </c>
      <c r="E328" t="n">
        <v>0.4574552589618157</v>
      </c>
    </row>
    <row r="329">
      <c r="A329" t="inlineStr">
        <is>
          <t>ER024</t>
        </is>
      </c>
      <c r="B329" t="inlineStr">
        <is>
          <t>(Phải thu ngắn hạn khác + Phải thu dài hạn khác)/Tổng tài sản</t>
        </is>
      </c>
      <c r="E329" t="n">
        <v>0.2185657415536828</v>
      </c>
    </row>
    <row r="330">
      <c r="A330" t="inlineStr">
        <is>
          <t>ER025</t>
        </is>
      </c>
      <c r="B330" t="inlineStr">
        <is>
          <t>Tỷ số lợi nhuận gộp trên tổng nợ</t>
        </is>
      </c>
      <c r="E330" t="n">
        <v>0.7514221440807893</v>
      </c>
    </row>
    <row r="331">
      <c r="A331" t="inlineStr">
        <is>
          <t>ER026</t>
        </is>
      </c>
      <c r="B331" t="inlineStr">
        <is>
          <t>Lợi nhuận gộp/Chi phí lãi vay</t>
        </is>
      </c>
      <c r="E331" t="n">
        <v>120.4466693167385</v>
      </c>
    </row>
    <row r="332">
      <c r="A332" t="inlineStr">
        <is>
          <t>ER027</t>
        </is>
      </c>
      <c r="B332" t="inlineStr">
        <is>
          <t>Tỷ số lợi nhuận sau thuế trên tổng nợ</t>
        </is>
      </c>
      <c r="E332" t="n">
        <v>0.3084993621545903</v>
      </c>
    </row>
    <row r="333">
      <c r="A333" t="inlineStr">
        <is>
          <t>ER028</t>
        </is>
      </c>
      <c r="B333" t="inlineStr">
        <is>
          <t>EBIT/Tổng nguồn vốn</t>
        </is>
      </c>
      <c r="E333" t="n">
        <v>0.2642174352532289</v>
      </c>
    </row>
    <row r="334">
      <c r="A334" t="inlineStr">
        <is>
          <t>ER029</t>
        </is>
      </c>
      <c r="B334" t="inlineStr">
        <is>
          <t>Tiền và tương đương tiền + phải thu ngắn hạn khách hàng + hàng tồn kho</t>
        </is>
      </c>
      <c r="E334" t="n">
        <v>63478.1549</v>
      </c>
    </row>
    <row r="335">
      <c r="A335" t="inlineStr">
        <is>
          <t>ER030</t>
        </is>
      </c>
      <c r="B335" t="inlineStr">
        <is>
          <t>Phải trả người bán ngắn hạn + nợ vay ngắn hạn</t>
        </is>
      </c>
      <c r="E335" t="n">
        <v>46155.461242</v>
      </c>
    </row>
  </sheetData>
  <sheetProtection selectLockedCells="1" selectUnlockedCells="0" algorithmName="SHA-512" sheet="1" objects="1" insertRows="1" insertHyperlinks="1" autoFilter="1" scenarios="1" formatColumns="1" deleteColumns="1" insertColumns="1" pivotTables="1" deleteRows="1" formatCells="1" saltValue="+ZJUxBp3zgbrW/DKGWPa6A==" formatRows="1" sort="1" spinCount="100000" hashValue="xa5chBT/8g+GgMqZ1Sn48c7cvbfinAryDzNHhxFqV0VVqEP0BP6wqEukurOQDZ8cv4gYJ3jX27F+XJjeT7v8D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hangvtt2</dc:creator>
  <dcterms:created xmlns:dcterms="http://purl.org/dc/terms/" xmlns:xsi="http://www.w3.org/2001/XMLSchema-instance" xsi:type="dcterms:W3CDTF">2019-07-25T01:41:38Z</dcterms:created>
  <dcterms:modified xmlns:dcterms="http://purl.org/dc/terms/" xmlns:xsi="http://www.w3.org/2001/XMLSchema-instance" xsi:type="dcterms:W3CDTF">2026-08-30T12:03:25Z</dcterms:modified>
  <cp:lastModifiedBy>Sen Vo Thi Huong (EB-GVA)</cp:lastModifiedBy>
</cp:coreProperties>
</file>