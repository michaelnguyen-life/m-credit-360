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SC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0"/>
    </font>
    <font>
      <name val="Times New Roman"/>
      <family val="1"/>
      <color theme="1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sz val="12"/>
    </font>
    <font>
      <name val="Times New Roman"/>
      <family val="1"/>
      <b val="1"/>
      <color theme="1"/>
      <sz val="22"/>
    </font>
    <font>
      <name val="Aptos Narrow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1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2" pivotButton="0" quotePrefix="0" xfId="0"/>
    <xf numFmtId="164" fontId="4" fillId="0" borderId="2" pivotButton="0" quotePrefix="0" xfId="1"/>
    <xf numFmtId="0" fontId="5" fillId="0" borderId="3" applyAlignment="1" pivotButton="0" quotePrefix="1" xfId="0">
      <alignment horizontal="center"/>
    </xf>
    <xf numFmtId="164" fontId="4" fillId="0" borderId="4" pivotButton="0" quotePrefix="0" xfId="1"/>
    <xf numFmtId="164" fontId="5" fillId="0" borderId="0" pivotButton="0" quotePrefix="0" xfId="1"/>
    <xf numFmtId="0" fontId="5" fillId="0" borderId="3" pivotButton="0" quotePrefix="0" xfId="0"/>
    <xf numFmtId="164" fontId="4" fillId="0" borderId="5" applyAlignment="1" pivotButton="0" quotePrefix="0" xfId="1">
      <alignment horizontal="right"/>
    </xf>
    <xf numFmtId="164" fontId="6" fillId="0" borderId="3" applyProtection="1" pivotButton="0" quotePrefix="0" xfId="1">
      <protection locked="0" hidden="0"/>
    </xf>
    <xf numFmtId="164" fontId="7" fillId="2" borderId="1" pivotButton="0" quotePrefix="0" xfId="1"/>
    <xf numFmtId="164" fontId="7" fillId="2" borderId="1" applyAlignment="1" pivotButton="0" quotePrefix="0" xfId="1">
      <alignment horizontal="center"/>
    </xf>
    <xf numFmtId="164" fontId="4" fillId="2" borderId="1" pivotButton="0" quotePrefix="0" xfId="1"/>
    <xf numFmtId="164" fontId="7" fillId="0" borderId="0" pivotButton="0" quotePrefix="0" xfId="1"/>
    <xf numFmtId="164" fontId="4" fillId="0" borderId="2" pivotButton="0" quotePrefix="0" xfId="1"/>
    <xf numFmtId="0" fontId="5" fillId="0" borderId="2" applyAlignment="1" pivotButton="0" quotePrefix="1" xfId="0">
      <alignment horizontal="center"/>
    </xf>
    <xf numFmtId="0" fontId="5" fillId="0" borderId="4" pivotButton="0" quotePrefix="0" xfId="0"/>
    <xf numFmtId="0" fontId="5" fillId="0" borderId="4" applyAlignment="1" pivotButton="0" quotePrefix="1" xfId="0">
      <alignment horizontal="center"/>
    </xf>
    <xf numFmtId="14" fontId="5" fillId="0" borderId="2" pivotButton="0" quotePrefix="0" xfId="0"/>
    <xf numFmtId="164" fontId="4" fillId="0" borderId="2" applyAlignment="1" pivotButton="0" quotePrefix="1" xfId="1">
      <alignment horizontal="center"/>
    </xf>
    <xf numFmtId="164" fontId="0" fillId="0" borderId="0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2" fillId="3" borderId="8" applyAlignment="1" pivotButton="0" quotePrefix="0" xfId="0">
      <alignment horizontal="center" vertical="center" wrapText="1"/>
    </xf>
    <xf numFmtId="0" fontId="0" fillId="0" borderId="7" pivotButton="0" quotePrefix="0" xfId="0"/>
  </cellXfs>
  <cellStyles count="3">
    <cellStyle name="Normal" xfId="0" builtinId="0"/>
    <cellStyle name="Comma" xfId="1" builtinId="3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topLeftCell="A7" zoomScale="70" zoomScaleNormal="70" workbookViewId="0">
      <pane xSplit="2" topLeftCell="C1" activePane="topRight" state="frozen"/>
      <selection activeCell="A13" sqref="A13"/>
      <selection pane="topRight" activeCell="G3" sqref="G1:H1048576"/>
    </sheetView>
  </sheetViews>
  <sheetFormatPr baseColWidth="8" defaultRowHeight="14.25"/>
  <cols>
    <col width="11.125" bestFit="1" customWidth="1" min="1" max="1"/>
    <col width="62.25" bestFit="1" customWidth="1" min="2" max="2"/>
    <col width="11.75" customWidth="1" min="3" max="3"/>
    <col hidden="1" width="17.75" customWidth="1" min="4" max="4"/>
    <col hidden="1" width="12.75" customWidth="1" min="5" max="5"/>
    <col width="17.75" bestFit="1" customWidth="1" min="6" max="6"/>
    <col hidden="1" width="17.5" customWidth="1" min="7" max="7"/>
    <col hidden="1" width="16.375" customWidth="1" min="8" max="8"/>
    <col width="17.75" bestFit="1" customWidth="1" min="9" max="9"/>
    <col width="17.125" bestFit="1" customWidth="1" min="10" max="10"/>
    <col width="14.75" customWidth="1" min="11" max="11"/>
    <col width="15.5" bestFit="1" customWidth="1" min="12" max="12"/>
    <col width="17.125" bestFit="1" customWidth="1" min="13" max="13"/>
    <col width="17.75" bestFit="1" customWidth="1" min="14" max="15"/>
  </cols>
  <sheetData>
    <row r="1" ht="29.45" customHeight="1">
      <c r="A1" s="26" t="inlineStr">
        <is>
          <t>BẢNG THEO DÕI TSCĐ NĂM 2025</t>
        </is>
      </c>
    </row>
    <row r="2" ht="15" customHeight="1">
      <c r="F2" s="27" t="inlineStr">
        <is>
          <t>NGUYÊN GIÁ</t>
        </is>
      </c>
      <c r="G2" s="28" t="n"/>
      <c r="H2" s="28" t="n"/>
      <c r="I2" s="29" t="n"/>
      <c r="J2" s="25" t="inlineStr">
        <is>
          <t>KHẤU HAO LŨY KẾ</t>
        </is>
      </c>
      <c r="K2" s="28" t="n"/>
      <c r="L2" s="28" t="n"/>
      <c r="M2" s="29" t="n"/>
      <c r="N2" s="24" t="inlineStr">
        <is>
          <t>GIÁ TRỊ CÒN LẠI</t>
        </is>
      </c>
      <c r="O2" s="29" t="n"/>
    </row>
    <row r="3" ht="14.45" customFormat="1" customHeight="1" s="1">
      <c r="A3" s="30" t="inlineStr">
        <is>
          <t>Mã TSCĐ</t>
        </is>
      </c>
      <c r="B3" s="30" t="inlineStr">
        <is>
          <t>Tên TSCĐ</t>
        </is>
      </c>
      <c r="C3" s="30" t="inlineStr">
        <is>
          <t>Ngày bắt đầu tính khấu hao</t>
        </is>
      </c>
      <c r="D3" s="30" t="inlineStr">
        <is>
          <t>Nguyên giá TSCĐ</t>
        </is>
      </c>
      <c r="E3" s="30" t="inlineStr">
        <is>
          <t>Thời gian sử dụng (tháng)</t>
        </is>
      </c>
      <c r="F3" s="30" t="inlineStr">
        <is>
          <t>Giá trị đầu kỳ</t>
        </is>
      </c>
      <c r="G3" s="30" t="inlineStr">
        <is>
          <t>Mua trong kỳ</t>
        </is>
      </c>
      <c r="H3" s="30" t="inlineStr">
        <is>
          <t xml:space="preserve">Thanh lý </t>
        </is>
      </c>
      <c r="I3" s="30" t="inlineStr">
        <is>
          <t>Giá trị cuối kỳ</t>
        </is>
      </c>
      <c r="J3" s="30" t="inlineStr">
        <is>
          <t>Giá trị đầu kỳ</t>
        </is>
      </c>
      <c r="K3" s="30" t="inlineStr">
        <is>
          <t>KH Trong kỳ</t>
        </is>
      </c>
      <c r="L3" s="30" t="inlineStr">
        <is>
          <t xml:space="preserve">Thanh lý </t>
        </is>
      </c>
      <c r="M3" s="30" t="inlineStr">
        <is>
          <t>Giá trị cuối kỳ</t>
        </is>
      </c>
      <c r="N3" s="30" t="inlineStr">
        <is>
          <t>Giá trị đầu kỳ</t>
        </is>
      </c>
      <c r="O3" s="30" t="inlineStr">
        <is>
          <t>Giá trị cuối kỳ</t>
        </is>
      </c>
    </row>
    <row r="4" ht="38.25" customFormat="1" customHeight="1" s="2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</row>
    <row r="5" ht="20.1" customFormat="1" customHeight="1" s="7">
      <c r="A5" s="3" t="inlineStr">
        <is>
          <t>PTVC-001</t>
        </is>
      </c>
      <c r="B5" s="3" t="inlineStr">
        <is>
          <t>Xe ô tô Kia 51K-48596</t>
        </is>
      </c>
      <c r="C5" s="19" t="n">
        <v>44835</v>
      </c>
      <c r="D5" s="15" t="n">
        <v>1517705489</v>
      </c>
      <c r="E5" s="5" t="n">
        <v>72</v>
      </c>
      <c r="F5" s="15" t="n">
        <v>1517705489</v>
      </c>
      <c r="G5" s="16" t="n"/>
      <c r="H5" s="15" t="n">
        <v>1517705489</v>
      </c>
      <c r="I5" s="15">
        <f>+F5+G5-H5</f>
        <v/>
      </c>
      <c r="J5" s="20" t="n">
        <v>569139561</v>
      </c>
      <c r="K5" s="20" t="n">
        <v>150954579</v>
      </c>
      <c r="L5" s="20">
        <f>+J5+K5</f>
        <v/>
      </c>
      <c r="M5" s="20">
        <f>+J5+K5-L5</f>
        <v/>
      </c>
      <c r="N5" s="20">
        <f>+F5-J5</f>
        <v/>
      </c>
      <c r="O5" s="20">
        <f>+I5-M5</f>
        <v/>
      </c>
    </row>
    <row r="6" ht="20.1" customFormat="1" customHeight="1" s="7">
      <c r="A6" s="8" t="inlineStr">
        <is>
          <t>PTVC-002</t>
        </is>
      </c>
      <c r="B6" s="3" t="inlineStr">
        <is>
          <t>Xe ô tô Ford</t>
        </is>
      </c>
      <c r="C6" s="19" t="n">
        <v>44866</v>
      </c>
      <c r="D6" s="15" t="n">
        <v>559000000</v>
      </c>
      <c r="E6" s="5" t="n">
        <v>57</v>
      </c>
      <c r="F6" s="9" t="n">
        <v>559000000</v>
      </c>
      <c r="G6" s="16" t="n"/>
      <c r="H6" s="16" t="n"/>
      <c r="I6" s="15">
        <f>+F6+G6-H6</f>
        <v/>
      </c>
      <c r="J6" s="20" t="n">
        <v>254982468</v>
      </c>
      <c r="K6" s="20" t="n">
        <v>117684216</v>
      </c>
      <c r="L6" s="20" t="n"/>
      <c r="M6" s="20">
        <f>+J6+K6-L6</f>
        <v/>
      </c>
      <c r="N6" s="20">
        <f>+F6-J6</f>
        <v/>
      </c>
      <c r="O6" s="20">
        <f>+I6-M6</f>
        <v/>
      </c>
    </row>
    <row r="7" ht="20.1" customFormat="1" customHeight="1" s="7">
      <c r="A7" s="8" t="inlineStr">
        <is>
          <t>TBGS-001</t>
        </is>
      </c>
      <c r="B7" s="3" t="inlineStr">
        <is>
          <t>Máy toán đạc Leica TC 702, HĐ 194</t>
        </is>
      </c>
      <c r="C7" s="19" t="n">
        <v>44866</v>
      </c>
      <c r="D7" s="15" t="n">
        <v>60000000</v>
      </c>
      <c r="E7" s="5" t="n">
        <v>60</v>
      </c>
      <c r="F7" s="10" t="n">
        <v>60000000</v>
      </c>
      <c r="G7" s="16" t="n"/>
      <c r="H7" s="16" t="n"/>
      <c r="I7" s="15">
        <f>+F7+G7-H7</f>
        <v/>
      </c>
      <c r="J7" s="20" t="n">
        <v>26000000</v>
      </c>
      <c r="K7" s="20" t="n">
        <v>12000000</v>
      </c>
      <c r="L7" s="20" t="n"/>
      <c r="M7" s="20">
        <f>+J7+K7-L7</f>
        <v/>
      </c>
      <c r="N7" s="20">
        <f>+F7-J7</f>
        <v/>
      </c>
      <c r="O7" s="20">
        <f>+I7-M7</f>
        <v/>
      </c>
    </row>
    <row r="8" ht="20.1" customFormat="1" customHeight="1" s="7">
      <c r="A8" s="3" t="inlineStr">
        <is>
          <t>TBSX-001</t>
        </is>
      </c>
      <c r="B8" s="3" t="inlineStr">
        <is>
          <t>Máy hàn bu long, HĐ 35</t>
        </is>
      </c>
      <c r="C8" s="19" t="n">
        <v>44958</v>
      </c>
      <c r="D8" s="15" t="n">
        <v>90500000</v>
      </c>
      <c r="E8" s="5" t="n">
        <v>60</v>
      </c>
      <c r="F8" s="15" t="n">
        <v>90500000</v>
      </c>
      <c r="G8" s="16" t="n"/>
      <c r="H8" s="16" t="n"/>
      <c r="I8" s="15">
        <f>+F8+G8-H8</f>
        <v/>
      </c>
      <c r="J8" s="20" t="n">
        <v>34691659</v>
      </c>
      <c r="K8" s="20" t="n">
        <v>18099996</v>
      </c>
      <c r="L8" s="20" t="n"/>
      <c r="M8" s="20">
        <f>+J8+K8-L8</f>
        <v/>
      </c>
      <c r="N8" s="20">
        <f>+F8-J8</f>
        <v/>
      </c>
      <c r="O8" s="20">
        <f>+I8-M8</f>
        <v/>
      </c>
    </row>
    <row r="9" ht="20.1" customFormat="1" customHeight="1" s="7">
      <c r="A9" s="3" t="inlineStr">
        <is>
          <t>TBGS-002</t>
        </is>
      </c>
      <c r="B9" s="3" t="inlineStr">
        <is>
          <t>Máy toàn đạc, HĐ 33</t>
        </is>
      </c>
      <c r="C9" s="19" t="n">
        <v>45047</v>
      </c>
      <c r="D9" s="15" t="n">
        <v>140000000</v>
      </c>
      <c r="E9" s="5" t="n">
        <v>60</v>
      </c>
      <c r="F9" s="15" t="n">
        <v>140000000</v>
      </c>
      <c r="G9" s="16" t="n"/>
      <c r="H9" s="16" t="n"/>
      <c r="I9" s="15">
        <f>+F9+G9-H9</f>
        <v/>
      </c>
      <c r="J9" s="20" t="n">
        <v>46666660</v>
      </c>
      <c r="K9" s="20" t="n">
        <v>27999996</v>
      </c>
      <c r="L9" s="20" t="n"/>
      <c r="M9" s="20">
        <f>+J9+K9-L9</f>
        <v/>
      </c>
      <c r="N9" s="20">
        <f>+F9-J9</f>
        <v/>
      </c>
      <c r="O9" s="20">
        <f>+I9-M9</f>
        <v/>
      </c>
    </row>
    <row r="10" ht="20.1" customFormat="1" customHeight="1" s="7">
      <c r="A10" s="3" t="inlineStr">
        <is>
          <t>TBSX-002</t>
        </is>
      </c>
      <c r="B10" s="3" t="inlineStr">
        <is>
          <t>Máy hàn Ehave II CM500B-Megmeet 1(TP3), HĐ 1483</t>
        </is>
      </c>
      <c r="C10" s="19" t="n">
        <v>45323</v>
      </c>
      <c r="D10" s="15" t="n">
        <v>79800000</v>
      </c>
      <c r="E10" s="5" t="n">
        <v>60</v>
      </c>
      <c r="F10" s="15" t="n">
        <v>79800000</v>
      </c>
      <c r="G10" s="16" t="n"/>
      <c r="H10" s="16" t="n"/>
      <c r="I10" s="15">
        <f>+F10+G10-H10</f>
        <v/>
      </c>
      <c r="J10" s="20" t="n">
        <v>14630000</v>
      </c>
      <c r="K10" s="20" t="n">
        <v>15960000</v>
      </c>
      <c r="L10" s="20" t="n"/>
      <c r="M10" s="20">
        <f>+J10+K10-L10</f>
        <v/>
      </c>
      <c r="N10" s="20">
        <f>+F10-J10</f>
        <v/>
      </c>
      <c r="O10" s="20">
        <f>+I10-M10</f>
        <v/>
      </c>
    </row>
    <row r="11" ht="20.1" customFormat="1" customHeight="1" s="7">
      <c r="A11" s="3" t="inlineStr">
        <is>
          <t>PTVC-004</t>
        </is>
      </c>
      <c r="B11" s="3" t="inlineStr">
        <is>
          <t>Xe ô tô Huyndai Creta 1.5 MPI 5 chỗ, biển số 51L-461.91T, HĐ 68</t>
        </is>
      </c>
      <c r="C11" s="19" t="n">
        <v>45323</v>
      </c>
      <c r="D11" s="15" t="n">
        <v>644976364</v>
      </c>
      <c r="E11" s="5" t="n">
        <v>72</v>
      </c>
      <c r="F11" s="15" t="n">
        <v>644976364</v>
      </c>
      <c r="G11" s="16" t="n"/>
      <c r="H11" s="16" t="n"/>
      <c r="I11" s="15">
        <f>+F11+G11-H11</f>
        <v/>
      </c>
      <c r="J11" s="20" t="n">
        <v>98538055</v>
      </c>
      <c r="K11" s="20" t="n">
        <v>107496060</v>
      </c>
      <c r="L11" s="20" t="n"/>
      <c r="M11" s="20">
        <f>+J11+K11-L11</f>
        <v/>
      </c>
      <c r="N11" s="20">
        <f>+F11-J11</f>
        <v/>
      </c>
      <c r="O11" s="20">
        <f>+I11-M11</f>
        <v/>
      </c>
    </row>
    <row r="12" ht="20.1" customFormat="1" customHeight="1" s="7">
      <c r="A12" s="3" t="inlineStr">
        <is>
          <t>TBVP-001</t>
        </is>
      </c>
      <c r="B12" s="3" t="inlineStr">
        <is>
          <t>Hệ thống máy chủ đường truyền internet nội bộ, HĐ 3</t>
        </is>
      </c>
      <c r="C12" s="19" t="n">
        <v>45383</v>
      </c>
      <c r="D12" s="15" t="n">
        <v>51980000</v>
      </c>
      <c r="E12" s="5" t="n">
        <v>36</v>
      </c>
      <c r="F12" s="15" t="n">
        <v>51980000</v>
      </c>
      <c r="G12" s="16" t="n"/>
      <c r="H12" s="16" t="n"/>
      <c r="I12" s="15">
        <f>+F12+G12-H12</f>
        <v/>
      </c>
      <c r="J12" s="20" t="n">
        <v>12995001</v>
      </c>
      <c r="K12" s="20" t="n">
        <v>17326668</v>
      </c>
      <c r="L12" s="20" t="n"/>
      <c r="M12" s="20">
        <f>+J12+K12-L12</f>
        <v/>
      </c>
      <c r="N12" s="20">
        <f>+F12-J12</f>
        <v/>
      </c>
      <c r="O12" s="20">
        <f>+I12-M12</f>
        <v/>
      </c>
    </row>
    <row r="13" ht="20.1" customFormat="1" customHeight="1" s="7">
      <c r="A13" s="8" t="inlineStr">
        <is>
          <t>TBSX-007</t>
        </is>
      </c>
      <c r="B13" s="3" t="inlineStr">
        <is>
          <t>Máy toàn đạc Leica, HĐ 167</t>
        </is>
      </c>
      <c r="C13" s="19" t="n">
        <v>45444</v>
      </c>
      <c r="D13" s="15" t="n">
        <v>70000000</v>
      </c>
      <c r="E13" s="5" t="n">
        <v>60</v>
      </c>
      <c r="F13" s="9" t="n">
        <v>70000000</v>
      </c>
      <c r="G13" s="16" t="n"/>
      <c r="H13" s="16" t="n"/>
      <c r="I13" s="15">
        <f>+F13+G13-H13</f>
        <v/>
      </c>
      <c r="J13" s="20" t="n">
        <v>8166669</v>
      </c>
      <c r="K13" s="20" t="n">
        <v>14000004</v>
      </c>
      <c r="L13" s="20" t="n"/>
      <c r="M13" s="20">
        <f>+J13+K13-L13</f>
        <v/>
      </c>
      <c r="N13" s="20">
        <f>+F13-J13</f>
        <v/>
      </c>
      <c r="O13" s="20">
        <f>+I13-M13</f>
        <v/>
      </c>
    </row>
    <row r="14" ht="20.1" customFormat="1" customHeight="1" s="7">
      <c r="A14" s="8" t="inlineStr">
        <is>
          <t>TBSX-008</t>
        </is>
      </c>
      <c r="B14" s="3" t="inlineStr">
        <is>
          <t>Bộ thiết bị kiểm tra khuyết tật siêu âm USM 36 DAC Lemo, HĐ 372-373</t>
        </is>
      </c>
      <c r="C14" s="19" t="n">
        <v>45453</v>
      </c>
      <c r="D14" s="15" t="n">
        <v>276912200</v>
      </c>
      <c r="E14" s="5" t="n">
        <v>60</v>
      </c>
      <c r="F14" s="10" t="n">
        <v>276912200</v>
      </c>
      <c r="G14" s="16" t="n"/>
      <c r="H14" s="16" t="n"/>
      <c r="I14" s="15">
        <f>+F14+G14-H14</f>
        <v/>
      </c>
      <c r="J14" s="20" t="n">
        <v>30921860</v>
      </c>
      <c r="K14" s="20" t="n">
        <v>55382436</v>
      </c>
      <c r="L14" s="20" t="n"/>
      <c r="M14" s="20">
        <f>+J14+K14-L14</f>
        <v/>
      </c>
      <c r="N14" s="20">
        <f>+F14-J14</f>
        <v/>
      </c>
      <c r="O14" s="20">
        <f>+I14-M14</f>
        <v/>
      </c>
    </row>
    <row r="15" ht="20.1" customFormat="1" customHeight="1" s="7">
      <c r="A15" s="3" t="inlineStr">
        <is>
          <t>TBSX-009</t>
        </is>
      </c>
      <c r="B15" s="3" t="inlineStr">
        <is>
          <t>Máy toàn đạc điện tử Leica TS03 5"R500, HĐ 249</t>
        </is>
      </c>
      <c r="C15" s="19" t="n">
        <v>45505</v>
      </c>
      <c r="D15" s="15" t="n">
        <v>140000000</v>
      </c>
      <c r="E15" s="5" t="n">
        <v>60</v>
      </c>
      <c r="F15" s="15" t="n">
        <v>140000000</v>
      </c>
      <c r="G15" s="16" t="n"/>
      <c r="H15" s="16" t="n"/>
      <c r="I15" s="15">
        <f>+F15+G15-H15</f>
        <v/>
      </c>
      <c r="J15" s="20" t="n">
        <v>11666665</v>
      </c>
      <c r="K15" s="20" t="n">
        <v>27999996</v>
      </c>
      <c r="L15" s="20" t="n"/>
      <c r="M15" s="20">
        <f>+J15+K15-L15</f>
        <v/>
      </c>
      <c r="N15" s="20">
        <f>+F15-J15</f>
        <v/>
      </c>
      <c r="O15" s="20">
        <f>+I15-M15</f>
        <v/>
      </c>
    </row>
    <row r="16" ht="20.1" customFormat="1" customHeight="1" s="7">
      <c r="A16" s="3" t="inlineStr">
        <is>
          <t>PTVC-005</t>
        </is>
      </c>
      <c r="B16" s="3" t="inlineStr">
        <is>
          <t>Xe Innova 7 chỗ ngồi, màu trắng ngọc trai, BS: 51K-585.68, HĐ 218</t>
        </is>
      </c>
      <c r="C16" s="19" t="n">
        <v>45671</v>
      </c>
      <c r="D16" s="15" t="n">
        <v>1030776431</v>
      </c>
      <c r="E16" s="18" t="n">
        <v>72</v>
      </c>
      <c r="F16" s="6" t="n"/>
      <c r="G16" s="15" t="n">
        <v>1030776431</v>
      </c>
      <c r="H16" s="18" t="n"/>
      <c r="I16" s="15">
        <f>+F16+G16-H16</f>
        <v/>
      </c>
      <c r="J16" s="15" t="n"/>
      <c r="K16" s="15" t="n">
        <v>186871685</v>
      </c>
      <c r="L16" s="15" t="n"/>
      <c r="M16" s="20">
        <f>+J16+K16-L16</f>
        <v/>
      </c>
      <c r="N16" s="20">
        <f>+F16-J16</f>
        <v/>
      </c>
      <c r="O16" s="20">
        <f>+I16-M16</f>
        <v/>
      </c>
    </row>
    <row r="17" ht="20.1" customFormat="1" customHeight="1" s="7">
      <c r="A17" s="3" t="inlineStr">
        <is>
          <t>TBVP-002</t>
        </is>
      </c>
      <c r="B17" s="3" t="inlineStr">
        <is>
          <t>Ti vi QLED Samsung QA85Q60DAKXXV, HĐ 353</t>
        </is>
      </c>
      <c r="C17" s="19" t="n">
        <v>45747</v>
      </c>
      <c r="D17" s="15" t="n">
        <v>35000000</v>
      </c>
      <c r="E17" s="18" t="n">
        <v>36</v>
      </c>
      <c r="F17" s="6" t="n"/>
      <c r="G17" s="15" t="n">
        <v>35000000</v>
      </c>
      <c r="H17" s="18" t="n"/>
      <c r="I17" s="15">
        <f>+F17+G17-H17</f>
        <v/>
      </c>
      <c r="J17" s="15" t="n"/>
      <c r="K17" s="15" t="n">
        <v>8781360</v>
      </c>
      <c r="L17" s="15" t="n"/>
      <c r="M17" s="20">
        <f>+J17+K17-L17</f>
        <v/>
      </c>
      <c r="N17" s="20">
        <f>+F17-J17</f>
        <v/>
      </c>
      <c r="O17" s="20">
        <f>+I17-M17</f>
        <v/>
      </c>
    </row>
    <row r="18" ht="20.1" customFormat="1" customHeight="1" s="7">
      <c r="A18" s="3" t="inlineStr">
        <is>
          <t>TBVP-003</t>
        </is>
      </c>
      <c r="B18" s="3" t="inlineStr">
        <is>
          <t>Bàn họp văn phòng  - Kích thước: D3800*R1300*H760mm- HĐ 138</t>
        </is>
      </c>
      <c r="C18" s="19" t="n">
        <v>45796</v>
      </c>
      <c r="D18" s="15" t="n">
        <v>95000000</v>
      </c>
      <c r="E18" s="18" t="n">
        <v>60</v>
      </c>
      <c r="F18" s="6" t="n"/>
      <c r="G18" s="15" t="n">
        <v>95000000</v>
      </c>
      <c r="H18" s="18" t="n"/>
      <c r="I18" s="15">
        <f>+F18+G18-H18</f>
        <v/>
      </c>
      <c r="J18" s="15" t="n"/>
      <c r="K18" s="15" t="n">
        <v>11747309</v>
      </c>
      <c r="L18" s="15" t="n"/>
      <c r="M18" s="20">
        <f>+J18+K18-L18</f>
        <v/>
      </c>
      <c r="N18" s="20">
        <f>+F18-J18</f>
        <v/>
      </c>
      <c r="O18" s="20">
        <f>+I18-M18</f>
        <v/>
      </c>
    </row>
    <row r="19" ht="20.1" customFormat="1" customHeight="1" s="7">
      <c r="A19" s="17" t="inlineStr">
        <is>
          <t>TBVP-004</t>
        </is>
      </c>
      <c r="B19" s="17" t="inlineStr">
        <is>
          <t>Hệ Thống Camera, HĐ 36</t>
        </is>
      </c>
      <c r="C19" s="19" t="n">
        <v>45875</v>
      </c>
      <c r="D19" s="15" t="n">
        <v>88112037</v>
      </c>
      <c r="E19" s="18" t="n">
        <v>36</v>
      </c>
      <c r="F19" s="15" t="n"/>
      <c r="G19" s="15" t="n">
        <v>88112037</v>
      </c>
      <c r="H19" s="15" t="n"/>
      <c r="I19" s="15">
        <f>+F19+G19-H19</f>
        <v/>
      </c>
      <c r="J19" s="15" t="n"/>
      <c r="K19" s="15" t="n">
        <v>11843018</v>
      </c>
      <c r="L19" s="15" t="n"/>
      <c r="M19" s="20">
        <f>+J19+K19-L19</f>
        <v/>
      </c>
      <c r="N19" s="20">
        <f>+F19-J19</f>
        <v/>
      </c>
      <c r="O19" s="20">
        <f>+I19-M19</f>
        <v/>
      </c>
    </row>
    <row r="20" ht="20.1" customFormat="1" customHeight="1" s="7">
      <c r="A20" s="17" t="inlineStr">
        <is>
          <t>PTVC-006</t>
        </is>
      </c>
      <c r="B20" s="17" t="inlineStr">
        <is>
          <t>Xe Carnival Signature 7s đen, BS: 51K-485.96, HĐ số KIATHAODIEN - 414/TT ngày 02/08/2025, HĐ số 15825</t>
        </is>
      </c>
      <c r="C20" s="19" t="n">
        <v>45884</v>
      </c>
      <c r="D20" s="15" t="n">
        <v>1582971818</v>
      </c>
      <c r="E20" s="5" t="n">
        <v>72</v>
      </c>
      <c r="F20" s="15" t="n"/>
      <c r="G20" s="15" t="n">
        <v>1582971818</v>
      </c>
      <c r="H20" s="15" t="n"/>
      <c r="I20" s="15">
        <f>+F20+G20-H20</f>
        <v/>
      </c>
      <c r="J20" s="15" t="n"/>
      <c r="K20" s="15" t="n">
        <v>99999565</v>
      </c>
      <c r="L20" s="15" t="n"/>
      <c r="M20" s="20">
        <f>+J20+K20-L20</f>
        <v/>
      </c>
      <c r="N20" s="20">
        <f>+F20-J20</f>
        <v/>
      </c>
      <c r="O20" s="20">
        <f>+I20-M20</f>
        <v/>
      </c>
    </row>
    <row r="21" ht="20.1" customFormat="1" customHeight="1" s="7">
      <c r="A21" s="17" t="n"/>
      <c r="B21" s="17" t="n"/>
      <c r="C21" s="3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 ht="21.75" customFormat="1" customHeight="1" s="14">
      <c r="A22" s="11" t="n"/>
      <c r="B22" s="12" t="inlineStr">
        <is>
          <t>Tổng cộng</t>
        </is>
      </c>
      <c r="C22" s="12" t="n"/>
      <c r="D22" s="13">
        <f>SUM(D5:D21)</f>
        <v/>
      </c>
      <c r="E22" s="11" t="n"/>
      <c r="F22" s="13">
        <f>SUM(F5:F21)</f>
        <v/>
      </c>
      <c r="G22" s="13">
        <f>SUM(G5:G21)</f>
        <v/>
      </c>
      <c r="H22" s="13">
        <f>SUM(H5:H21)</f>
        <v/>
      </c>
      <c r="I22" s="13">
        <f>SUM(I5:I21)</f>
        <v/>
      </c>
      <c r="J22" s="13">
        <f>SUM(J5:J21)</f>
        <v/>
      </c>
      <c r="K22" s="13">
        <f>SUM(K5:K21)</f>
        <v/>
      </c>
      <c r="L22" s="13">
        <f>SUM(L5:L21)</f>
        <v/>
      </c>
      <c r="M22" s="13">
        <f>SUM(M5:M21)</f>
        <v/>
      </c>
      <c r="N22" s="13">
        <f>SUM(N5:N21)</f>
        <v/>
      </c>
      <c r="O22" s="13">
        <f>SUM(O5:O21)</f>
        <v/>
      </c>
    </row>
    <row r="23"/>
    <row r="24"/>
    <row r="25">
      <c r="M25" s="21" t="n"/>
    </row>
  </sheetData>
  <mergeCells count="19">
    <mergeCell ref="L3:L4"/>
    <mergeCell ref="B3:B4"/>
    <mergeCell ref="N3:N4"/>
    <mergeCell ref="F3:F4"/>
    <mergeCell ref="J2:M2"/>
    <mergeCell ref="A3:A4"/>
    <mergeCell ref="G3:G4"/>
    <mergeCell ref="N2:O2"/>
    <mergeCell ref="M3:M4"/>
    <mergeCell ref="I3:I4"/>
    <mergeCell ref="D3:D4"/>
    <mergeCell ref="H3:H4"/>
    <mergeCell ref="J3:J4"/>
    <mergeCell ref="K3:K4"/>
    <mergeCell ref="C3:C4"/>
    <mergeCell ref="O3:O4"/>
    <mergeCell ref="F2:I2"/>
    <mergeCell ref="E3:E4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 Hieu</dc:creator>
  <dcterms:created xmlns:dcterms="http://purl.org/dc/terms/" xmlns:xsi="http://www.w3.org/2001/XMLSchema-instance" xsi:type="dcterms:W3CDTF">2025-02-19T07:10:54Z</dcterms:created>
  <dcterms:modified xmlns:dcterms="http://purl.org/dc/terms/" xmlns:xsi="http://www.w3.org/2001/XMLSchema-instance" xsi:type="dcterms:W3CDTF">2026-08-30T12:03:58Z</dcterms:modified>
  <cp:lastModifiedBy>Sen Vo Thi Huong (EB-GVA)</cp:lastModifiedBy>
</cp:coreProperties>
</file>